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DirkS\Downloads\"/>
    </mc:Choice>
  </mc:AlternateContent>
  <xr:revisionPtr revIDLastSave="0" documentId="8_{2B3CE9FD-71A0-4B7F-BF0A-92D922EBF11C}" xr6:coauthVersionLast="47" xr6:coauthVersionMax="47" xr10:uidLastSave="{00000000-0000-0000-0000-000000000000}"/>
  <bookViews>
    <workbookView xWindow="28680" yWindow="-120" windowWidth="29040" windowHeight="17520" tabRatio="500" firstSheet="2" activeTab="2" xr2:uid="{00000000-000D-0000-FFFF-FFFF00000000}"/>
  </bookViews>
  <sheets>
    <sheet name="Handleiding" sheetId="1" r:id="rId1"/>
    <sheet name="Toegestane deelnemers" sheetId="2" r:id="rId2"/>
    <sheet name="Deelnemers" sheetId="3" r:id="rId3"/>
    <sheet name="Scores" sheetId="4" r:id="rId4"/>
    <sheet name="Stand" sheetId="5" r:id="rId5"/>
    <sheet name="Wedstrijdschema" sheetId="6" r:id="rId6"/>
    <sheet name="Score briefjes Indoor" sheetId="7" r:id="rId7"/>
    <sheet name="Score briefjes 25M1P" sheetId="8" r:id="rId8"/>
    <sheet name="Naambriefje" sheetId="9" r:id="rId9"/>
  </sheets>
  <definedNames>
    <definedName name="_xlnm.Print_Area" localSheetId="8">Naambriefje!$A$1:$D$28</definedName>
    <definedName name="_xlnm.Print_Area" localSheetId="7">'Score briefjes 25M1P'!$A$2:$V$86</definedName>
    <definedName name="_xlnm.Print_Area" localSheetId="6">'Score briefjes Indoor'!$A$1:$V$97</definedName>
    <definedName name="_xlnm.Print_Area" localSheetId="3">Scores!$H$2:$AA$14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7" i="6" l="1"/>
  <c r="L7" i="6"/>
  <c r="N5" i="6"/>
  <c r="M5" i="6"/>
  <c r="N4" i="6"/>
  <c r="M4" i="6"/>
  <c r="O3" i="6"/>
  <c r="N3" i="6"/>
  <c r="AD11" i="4"/>
  <c r="AE11" i="4" s="1"/>
  <c r="AD10" i="4"/>
  <c r="AE10" i="4" s="1"/>
  <c r="AD9" i="4"/>
  <c r="AE9" i="4" s="1"/>
  <c r="AD8" i="4"/>
  <c r="AE8" i="4" s="1"/>
  <c r="I11" i="4"/>
  <c r="J11" i="4" s="1"/>
  <c r="I10" i="4"/>
  <c r="J10" i="4" s="1"/>
  <c r="I9" i="4"/>
  <c r="J9" i="4" s="1"/>
  <c r="I8" i="4"/>
  <c r="J8" i="4" s="1"/>
  <c r="A20" i="9"/>
  <c r="A19" i="9"/>
  <c r="A18" i="9"/>
  <c r="A3" i="9"/>
  <c r="A2" i="9"/>
  <c r="A1" i="9"/>
  <c r="R71" i="8"/>
  <c r="C71" i="8"/>
  <c r="S70" i="8"/>
  <c r="D70" i="8"/>
  <c r="R47" i="8"/>
  <c r="C47" i="8"/>
  <c r="S46" i="8"/>
  <c r="D46" i="8"/>
  <c r="R28" i="8"/>
  <c r="C28" i="8"/>
  <c r="S27" i="8"/>
  <c r="D27" i="8"/>
  <c r="S3" i="8"/>
  <c r="D3" i="8"/>
  <c r="Z2" i="8"/>
  <c r="R76" i="7"/>
  <c r="C76" i="7"/>
  <c r="S75" i="7"/>
  <c r="D75" i="7"/>
  <c r="R52" i="7"/>
  <c r="C52" i="7"/>
  <c r="S51" i="7"/>
  <c r="D51" i="7"/>
  <c r="R28" i="7"/>
  <c r="C28" i="7"/>
  <c r="S27" i="7"/>
  <c r="D27" i="7"/>
  <c r="R4" i="7"/>
  <c r="C4" i="7"/>
  <c r="S3" i="7"/>
  <c r="D3" i="7"/>
  <c r="Z2" i="7"/>
  <c r="I74" i="7" s="1"/>
  <c r="A2" i="6"/>
  <c r="L1" i="6"/>
  <c r="K8" i="6" s="1"/>
  <c r="B5" i="5"/>
  <c r="B4" i="5"/>
  <c r="B3" i="5"/>
  <c r="B2" i="5"/>
  <c r="F44" i="4"/>
  <c r="E44" i="4"/>
  <c r="F43" i="4"/>
  <c r="E43" i="4"/>
  <c r="F42" i="4"/>
  <c r="E42" i="4"/>
  <c r="F41" i="4"/>
  <c r="E41" i="4"/>
  <c r="F38" i="4"/>
  <c r="E38" i="4"/>
  <c r="F37" i="4"/>
  <c r="E37" i="4"/>
  <c r="F36" i="4"/>
  <c r="E36" i="4"/>
  <c r="F35" i="4"/>
  <c r="E35" i="4"/>
  <c r="F32" i="4"/>
  <c r="E32" i="4"/>
  <c r="F31" i="4"/>
  <c r="E31" i="4"/>
  <c r="F30" i="4"/>
  <c r="E30" i="4"/>
  <c r="F29" i="4"/>
  <c r="E29" i="4"/>
  <c r="F26" i="4"/>
  <c r="E26" i="4"/>
  <c r="F25" i="4"/>
  <c r="E25" i="4"/>
  <c r="F24" i="4"/>
  <c r="E24" i="4"/>
  <c r="F23" i="4"/>
  <c r="E23" i="4"/>
  <c r="R6" i="4" s="1"/>
  <c r="F20" i="4"/>
  <c r="E20" i="4"/>
  <c r="F19" i="4"/>
  <c r="E19" i="4"/>
  <c r="F18" i="4"/>
  <c r="E18" i="4"/>
  <c r="F17" i="4"/>
  <c r="E17" i="4"/>
  <c r="P6" i="4" s="1"/>
  <c r="F14" i="4"/>
  <c r="E14" i="4"/>
  <c r="AG13" i="4"/>
  <c r="AD13" i="4"/>
  <c r="AE13" i="4" s="1"/>
  <c r="I13" i="4"/>
  <c r="J13" i="4" s="1"/>
  <c r="F13" i="4"/>
  <c r="E13" i="4"/>
  <c r="AG12" i="4"/>
  <c r="AD12" i="4"/>
  <c r="AE12" i="4" s="1"/>
  <c r="I12" i="4"/>
  <c r="J12" i="4" s="1"/>
  <c r="F12" i="4"/>
  <c r="E12" i="4"/>
  <c r="AG11" i="4"/>
  <c r="F11" i="4"/>
  <c r="E11" i="4"/>
  <c r="N6" i="4" s="1"/>
  <c r="AG10" i="4"/>
  <c r="AG9" i="4"/>
  <c r="AG8" i="4"/>
  <c r="F8" i="4"/>
  <c r="E8" i="4"/>
  <c r="AG7" i="4"/>
  <c r="AD7" i="4"/>
  <c r="AE7" i="4" s="1"/>
  <c r="K7" i="4"/>
  <c r="I7" i="4"/>
  <c r="J7" i="4" s="1"/>
  <c r="F7" i="4"/>
  <c r="E7" i="4"/>
  <c r="AG6" i="4"/>
  <c r="AD6" i="4"/>
  <c r="AE6" i="4" s="1"/>
  <c r="Q6" i="4"/>
  <c r="O6" i="4"/>
  <c r="M6" i="4"/>
  <c r="K6" i="4"/>
  <c r="I6" i="4"/>
  <c r="J6" i="4" s="1"/>
  <c r="F6" i="4"/>
  <c r="E6" i="4"/>
  <c r="F5" i="4"/>
  <c r="L7" i="4" s="1"/>
  <c r="E5" i="4"/>
  <c r="L6" i="4" s="1"/>
  <c r="AC2" i="4"/>
  <c r="U13" i="4" s="1"/>
  <c r="A43" i="3"/>
  <c r="K9" i="9" s="1"/>
  <c r="A38" i="3"/>
  <c r="J9" i="9" s="1"/>
  <c r="A33" i="3"/>
  <c r="K8" i="9" s="1"/>
  <c r="A28" i="3"/>
  <c r="J8" i="9" s="1"/>
  <c r="A23" i="3"/>
  <c r="K7" i="9" s="1"/>
  <c r="A18" i="3"/>
  <c r="J7" i="9" s="1"/>
  <c r="A13" i="3"/>
  <c r="A8" i="3"/>
  <c r="R8" i="4" l="1"/>
  <c r="Q10" i="4"/>
  <c r="P10" i="4"/>
  <c r="O4" i="6"/>
  <c r="M9" i="4"/>
  <c r="N11" i="4"/>
  <c r="X7" i="4"/>
  <c r="M7" i="4"/>
  <c r="O9" i="4"/>
  <c r="O11" i="4"/>
  <c r="P4" i="6"/>
  <c r="S10" i="4"/>
  <c r="N9" i="4"/>
  <c r="N7" i="4"/>
  <c r="P9" i="4"/>
  <c r="P11" i="4"/>
  <c r="Q4" i="6"/>
  <c r="Q8" i="4"/>
  <c r="R10" i="4"/>
  <c r="O7" i="4"/>
  <c r="Q9" i="4"/>
  <c r="Q11" i="4"/>
  <c r="M8" i="4"/>
  <c r="R9" i="4"/>
  <c r="R11" i="4"/>
  <c r="N8" i="4"/>
  <c r="S9" i="4"/>
  <c r="S11" i="4"/>
  <c r="Q6" i="6"/>
  <c r="O8" i="4"/>
  <c r="N10" i="4"/>
  <c r="S8" i="4"/>
  <c r="P8" i="4"/>
  <c r="O10" i="4"/>
  <c r="M7" i="6"/>
  <c r="C29" i="6" s="1"/>
  <c r="F29" i="6" s="1"/>
  <c r="M10" i="4"/>
  <c r="M11" i="4"/>
  <c r="P6" i="6"/>
  <c r="O7" i="6"/>
  <c r="O5" i="6"/>
  <c r="P7" i="6"/>
  <c r="P7" i="4"/>
  <c r="T8" i="4"/>
  <c r="T9" i="4"/>
  <c r="T10" i="4"/>
  <c r="T11" i="4"/>
  <c r="P5" i="6"/>
  <c r="Q7" i="6"/>
  <c r="Q7" i="4"/>
  <c r="U8" i="4"/>
  <c r="U9" i="4"/>
  <c r="U10" i="4"/>
  <c r="U11" i="4"/>
  <c r="Q5" i="6"/>
  <c r="N8" i="6"/>
  <c r="R7" i="4"/>
  <c r="V8" i="4"/>
  <c r="V9" i="4"/>
  <c r="V10" i="4"/>
  <c r="V11" i="4"/>
  <c r="P3" i="6"/>
  <c r="M6" i="6"/>
  <c r="O8" i="6"/>
  <c r="K8" i="4"/>
  <c r="K9" i="4"/>
  <c r="K10" i="4"/>
  <c r="K11" i="4"/>
  <c r="Q3" i="6"/>
  <c r="N6" i="6"/>
  <c r="K7" i="6"/>
  <c r="A28" i="6" s="1"/>
  <c r="L8" i="4"/>
  <c r="L9" i="4"/>
  <c r="L10" i="4"/>
  <c r="L11" i="4"/>
  <c r="O6" i="6"/>
  <c r="K12" i="4"/>
  <c r="O12" i="4"/>
  <c r="S12" i="4"/>
  <c r="L13" i="4"/>
  <c r="W12" i="4"/>
  <c r="P13" i="4"/>
  <c r="X13" i="4"/>
  <c r="T13" i="4"/>
  <c r="J6" i="9"/>
  <c r="C23" i="9" s="1"/>
  <c r="B23" i="9" s="1"/>
  <c r="A23" i="9"/>
  <c r="B6" i="9"/>
  <c r="A6" i="9"/>
  <c r="W8" i="4"/>
  <c r="W9" i="4"/>
  <c r="W10" i="4"/>
  <c r="X11" i="4"/>
  <c r="M12" i="4"/>
  <c r="Q12" i="4"/>
  <c r="U12" i="4"/>
  <c r="N13" i="4"/>
  <c r="R13" i="4"/>
  <c r="V13" i="4"/>
  <c r="S3" i="6"/>
  <c r="S4" i="6"/>
  <c r="S5" i="6"/>
  <c r="S6" i="6"/>
  <c r="S7" i="6"/>
  <c r="K6" i="9"/>
  <c r="W7" i="4"/>
  <c r="X8" i="4"/>
  <c r="X9" i="4"/>
  <c r="X10" i="4"/>
  <c r="N12" i="4"/>
  <c r="R12" i="4"/>
  <c r="V12" i="4"/>
  <c r="K13" i="4"/>
  <c r="O13" i="4"/>
  <c r="S13" i="4"/>
  <c r="W13" i="4"/>
  <c r="G10" i="5"/>
  <c r="L3" i="6"/>
  <c r="L4" i="6"/>
  <c r="L5" i="6"/>
  <c r="L6" i="6"/>
  <c r="M3" i="6"/>
  <c r="W11" i="4"/>
  <c r="L12" i="4"/>
  <c r="P12" i="4"/>
  <c r="T12" i="4"/>
  <c r="X12" i="4"/>
  <c r="M13" i="4"/>
  <c r="Q13" i="4"/>
  <c r="R9" i="6"/>
  <c r="N9" i="6"/>
  <c r="S8" i="6"/>
  <c r="Q9" i="6"/>
  <c r="M9" i="6"/>
  <c r="R8" i="6"/>
  <c r="P9" i="6"/>
  <c r="Q8" i="6"/>
  <c r="M8" i="6"/>
  <c r="R7" i="6"/>
  <c r="S9" i="6"/>
  <c r="O9" i="6"/>
  <c r="K9" i="6"/>
  <c r="P8" i="6"/>
  <c r="R3" i="6"/>
  <c r="R4" i="6"/>
  <c r="R5" i="6"/>
  <c r="R6" i="6"/>
  <c r="I50" i="7"/>
  <c r="I45" i="8"/>
  <c r="I69" i="8"/>
  <c r="I26" i="7"/>
  <c r="I2" i="7"/>
  <c r="I2" i="8"/>
  <c r="I26" i="8"/>
  <c r="AF12" i="4" l="1"/>
  <c r="Z12" i="4"/>
  <c r="AF8" i="4"/>
  <c r="Z13" i="4"/>
  <c r="AF13" i="4"/>
  <c r="Y12" i="4"/>
  <c r="Y13" i="4"/>
  <c r="AC19" i="7"/>
  <c r="AC6" i="7" s="1"/>
  <c r="AF11" i="4"/>
  <c r="AC15" i="8"/>
  <c r="AC6" i="8" s="1"/>
  <c r="AF10" i="4"/>
  <c r="AF9" i="4"/>
  <c r="Y8" i="4"/>
  <c r="Y10" i="4"/>
  <c r="Y11" i="4"/>
  <c r="Y9" i="4"/>
  <c r="Z11" i="4"/>
  <c r="Z10" i="4"/>
  <c r="Z9" i="4"/>
  <c r="Z8" i="4"/>
  <c r="AH15" i="8"/>
  <c r="AH6" i="8" s="1"/>
  <c r="A32" i="6"/>
  <c r="D32" i="6" s="1"/>
  <c r="AH19" i="7"/>
  <c r="AH6" i="7" s="1"/>
  <c r="AC16" i="7"/>
  <c r="AC3" i="7" s="1"/>
  <c r="AC12" i="8"/>
  <c r="AC3" i="8" s="1"/>
  <c r="C11" i="6"/>
  <c r="F11" i="6" s="1"/>
  <c r="AH13" i="8"/>
  <c r="AH4" i="8" s="1"/>
  <c r="A20" i="6"/>
  <c r="D20" i="6" s="1"/>
  <c r="AH17" i="7"/>
  <c r="AH4" i="7" s="1"/>
  <c r="AH11" i="8"/>
  <c r="A8" i="6"/>
  <c r="D8" i="6" s="1"/>
  <c r="AH15" i="7"/>
  <c r="A40" i="6"/>
  <c r="L9" i="6"/>
  <c r="AC20" i="7"/>
  <c r="AC7" i="7" s="1"/>
  <c r="AC16" i="8"/>
  <c r="AC7" i="8" s="1"/>
  <c r="C35" i="6"/>
  <c r="AH16" i="8"/>
  <c r="AH7" i="8" s="1"/>
  <c r="AH20" i="7"/>
  <c r="AH7" i="7" s="1"/>
  <c r="A38" i="6"/>
  <c r="D38" i="6" s="1"/>
  <c r="A34" i="6"/>
  <c r="L8" i="6"/>
  <c r="AH17" i="8"/>
  <c r="AH8" i="8" s="1"/>
  <c r="A44" i="6"/>
  <c r="D44" i="6" s="1"/>
  <c r="AH21" i="7"/>
  <c r="AH8" i="7" s="1"/>
  <c r="AG17" i="7"/>
  <c r="AG4" i="7" s="1"/>
  <c r="C19" i="6"/>
  <c r="F19" i="6" s="1"/>
  <c r="AG13" i="8"/>
  <c r="AG4" i="8" s="1"/>
  <c r="AG15" i="7"/>
  <c r="AG11" i="8"/>
  <c r="C7" i="6"/>
  <c r="F7" i="6" s="1"/>
  <c r="AB14" i="8"/>
  <c r="AB5" i="8" s="1"/>
  <c r="AB18" i="7"/>
  <c r="AB5" i="7" s="1"/>
  <c r="A23" i="6"/>
  <c r="D23" i="6" s="1"/>
  <c r="AB12" i="8"/>
  <c r="AB3" i="8" s="1"/>
  <c r="AB16" i="7"/>
  <c r="AB3" i="7" s="1"/>
  <c r="A11" i="6"/>
  <c r="D11" i="6" s="1"/>
  <c r="AD15" i="8"/>
  <c r="AD6" i="8" s="1"/>
  <c r="AD19" i="7"/>
  <c r="AD6" i="7" s="1"/>
  <c r="A30" i="6"/>
  <c r="D30" i="6" s="1"/>
  <c r="C24" i="6"/>
  <c r="F24" i="6" s="1"/>
  <c r="AE14" i="8"/>
  <c r="AE5" i="8" s="1"/>
  <c r="AE18" i="7"/>
  <c r="AE5" i="7" s="1"/>
  <c r="C12" i="6"/>
  <c r="F12" i="6" s="1"/>
  <c r="AE12" i="8"/>
  <c r="AE3" i="8" s="1"/>
  <c r="AE16" i="7"/>
  <c r="AE3" i="7" s="1"/>
  <c r="AD14" i="8"/>
  <c r="AD5" i="8" s="1"/>
  <c r="AD18" i="7"/>
  <c r="AD5" i="7" s="1"/>
  <c r="A24" i="6"/>
  <c r="D24" i="6" s="1"/>
  <c r="AF16" i="8"/>
  <c r="AF7" i="8" s="1"/>
  <c r="AF20" i="7"/>
  <c r="AF7" i="7" s="1"/>
  <c r="A37" i="6"/>
  <c r="D37" i="6" s="1"/>
  <c r="AC18" i="7"/>
  <c r="AC5" i="7" s="1"/>
  <c r="AC14" i="8"/>
  <c r="AC5" i="8" s="1"/>
  <c r="C23" i="6"/>
  <c r="F23" i="6" s="1"/>
  <c r="AE15" i="8"/>
  <c r="AE6" i="8" s="1"/>
  <c r="AE19" i="7"/>
  <c r="AE6" i="7" s="1"/>
  <c r="C30" i="6"/>
  <c r="F30" i="6" s="1"/>
  <c r="AD13" i="8"/>
  <c r="AD4" i="8" s="1"/>
  <c r="AD17" i="7"/>
  <c r="AD4" i="7" s="1"/>
  <c r="A18" i="6"/>
  <c r="D18" i="6" s="1"/>
  <c r="AD11" i="8"/>
  <c r="AD15" i="7"/>
  <c r="A6" i="6"/>
  <c r="C42" i="6"/>
  <c r="F42" i="6" s="1"/>
  <c r="AE17" i="8"/>
  <c r="AE8" i="8" s="1"/>
  <c r="AE21" i="7"/>
  <c r="AE8" i="7" s="1"/>
  <c r="AG20" i="7"/>
  <c r="AG7" i="7" s="1"/>
  <c r="AG16" i="8"/>
  <c r="AG7" i="8" s="1"/>
  <c r="C37" i="6"/>
  <c r="F37" i="6" s="1"/>
  <c r="AC21" i="7"/>
  <c r="AC8" i="7" s="1"/>
  <c r="C41" i="6"/>
  <c r="F41" i="6" s="1"/>
  <c r="AC17" i="8"/>
  <c r="AC8" i="8" s="1"/>
  <c r="C36" i="6"/>
  <c r="AE16" i="8"/>
  <c r="AE7" i="8" s="1"/>
  <c r="AE20" i="7"/>
  <c r="AE7" i="7" s="1"/>
  <c r="AC17" i="7"/>
  <c r="AC4" i="7" s="1"/>
  <c r="C17" i="6"/>
  <c r="F17" i="6" s="1"/>
  <c r="AC13" i="8"/>
  <c r="AC4" i="8" s="1"/>
  <c r="AC15" i="7"/>
  <c r="AC11" i="8"/>
  <c r="C5" i="6"/>
  <c r="F5" i="6" s="1"/>
  <c r="AF13" i="8"/>
  <c r="AF4" i="8" s="1"/>
  <c r="AF17" i="7"/>
  <c r="AF4" i="7" s="1"/>
  <c r="A19" i="6"/>
  <c r="D19" i="6" s="1"/>
  <c r="AF11" i="8"/>
  <c r="AF15" i="7"/>
  <c r="A7" i="6"/>
  <c r="D7" i="6" s="1"/>
  <c r="C20" i="6"/>
  <c r="F20" i="6" s="1"/>
  <c r="AI13" i="8"/>
  <c r="AI4" i="8" s="1"/>
  <c r="AI17" i="7"/>
  <c r="AI4" i="7" s="1"/>
  <c r="AI11" i="8"/>
  <c r="AI15" i="7"/>
  <c r="C8" i="6"/>
  <c r="F8" i="6" s="1"/>
  <c r="A29" i="6"/>
  <c r="D29" i="6" s="1"/>
  <c r="B29" i="4" s="1"/>
  <c r="AB15" i="8"/>
  <c r="AB6" i="8" s="1"/>
  <c r="AB19" i="7"/>
  <c r="AB6" i="7" s="1"/>
  <c r="AF15" i="8"/>
  <c r="AF6" i="8" s="1"/>
  <c r="AF19" i="7"/>
  <c r="AF6" i="7" s="1"/>
  <c r="A31" i="6"/>
  <c r="D31" i="6" s="1"/>
  <c r="AF14" i="8"/>
  <c r="AF5" i="8" s="1"/>
  <c r="AF18" i="7"/>
  <c r="AF5" i="7" s="1"/>
  <c r="A25" i="6"/>
  <c r="D25" i="6" s="1"/>
  <c r="AH14" i="8"/>
  <c r="AH5" i="8" s="1"/>
  <c r="AH18" i="7"/>
  <c r="AH5" i="7" s="1"/>
  <c r="A26" i="6"/>
  <c r="D26" i="6" s="1"/>
  <c r="AH12" i="8"/>
  <c r="AH3" i="8" s="1"/>
  <c r="AH16" i="7"/>
  <c r="AH3" i="7" s="1"/>
  <c r="A14" i="6"/>
  <c r="D14" i="6" s="1"/>
  <c r="AG19" i="7"/>
  <c r="AG6" i="7" s="1"/>
  <c r="C31" i="6"/>
  <c r="F31" i="6" s="1"/>
  <c r="AG15" i="8"/>
  <c r="AG6" i="8" s="1"/>
  <c r="C44" i="6"/>
  <c r="F44" i="6" s="1"/>
  <c r="AI17" i="8"/>
  <c r="AI8" i="8" s="1"/>
  <c r="AI21" i="7"/>
  <c r="AI8" i="7" s="1"/>
  <c r="AF17" i="8"/>
  <c r="AF8" i="8" s="1"/>
  <c r="AF21" i="7"/>
  <c r="AF8" i="7" s="1"/>
  <c r="A43" i="6"/>
  <c r="D43" i="6" s="1"/>
  <c r="AG21" i="7"/>
  <c r="AG8" i="7" s="1"/>
  <c r="C43" i="6"/>
  <c r="F43" i="6" s="1"/>
  <c r="AG17" i="8"/>
  <c r="AG8" i="8" s="1"/>
  <c r="AI16" i="8"/>
  <c r="AI7" i="8" s="1"/>
  <c r="AI20" i="7"/>
  <c r="AI7" i="7" s="1"/>
  <c r="C38" i="6"/>
  <c r="F38" i="6" s="1"/>
  <c r="AG18" i="7"/>
  <c r="AG5" i="7" s="1"/>
  <c r="AG14" i="8"/>
  <c r="AG5" i="8" s="1"/>
  <c r="C25" i="6"/>
  <c r="F25" i="6" s="1"/>
  <c r="AG16" i="7"/>
  <c r="AG3" i="7" s="1"/>
  <c r="AG12" i="8"/>
  <c r="AG3" i="8" s="1"/>
  <c r="C13" i="6"/>
  <c r="F13" i="6" s="1"/>
  <c r="A17" i="6"/>
  <c r="D17" i="6" s="1"/>
  <c r="AB13" i="8"/>
  <c r="AB4" i="8" s="1"/>
  <c r="AB17" i="7"/>
  <c r="AB4" i="7" s="1"/>
  <c r="AB11" i="8"/>
  <c r="AB15" i="7"/>
  <c r="A5" i="6"/>
  <c r="D5" i="6" s="1"/>
  <c r="AI15" i="8"/>
  <c r="AI6" i="8" s="1"/>
  <c r="AI19" i="7"/>
  <c r="AI6" i="7" s="1"/>
  <c r="C32" i="6"/>
  <c r="F32" i="6" s="1"/>
  <c r="AE13" i="8"/>
  <c r="AE4" i="8" s="1"/>
  <c r="AE17" i="7"/>
  <c r="AE4" i="7" s="1"/>
  <c r="C18" i="6"/>
  <c r="F18" i="6" s="1"/>
  <c r="AE11" i="8"/>
  <c r="AE15" i="7"/>
  <c r="C6" i="6"/>
  <c r="AD12" i="8"/>
  <c r="AD3" i="8" s="1"/>
  <c r="AD16" i="7"/>
  <c r="AD3" i="7" s="1"/>
  <c r="A12" i="6"/>
  <c r="D12" i="6" s="1"/>
  <c r="AD16" i="8"/>
  <c r="AD7" i="8" s="1"/>
  <c r="AD20" i="7"/>
  <c r="AD7" i="7" s="1"/>
  <c r="A36" i="6"/>
  <c r="AD17" i="8"/>
  <c r="AD8" i="8" s="1"/>
  <c r="A42" i="6"/>
  <c r="D42" i="6" s="1"/>
  <c r="AD21" i="7"/>
  <c r="AD8" i="7" s="1"/>
  <c r="AF12" i="8"/>
  <c r="AF3" i="8" s="1"/>
  <c r="AF16" i="7"/>
  <c r="AF3" i="7" s="1"/>
  <c r="A13" i="6"/>
  <c r="D13" i="6" s="1"/>
  <c r="AI14" i="8"/>
  <c r="AI5" i="8" s="1"/>
  <c r="AI18" i="7"/>
  <c r="AI5" i="7" s="1"/>
  <c r="C26" i="6"/>
  <c r="F26" i="6" s="1"/>
  <c r="AI12" i="8"/>
  <c r="AI3" i="8" s="1"/>
  <c r="AI16" i="7"/>
  <c r="AI3" i="7" s="1"/>
  <c r="C14" i="6"/>
  <c r="F14" i="6" s="1"/>
  <c r="B42" i="4" l="1"/>
  <c r="B5" i="4"/>
  <c r="B7" i="4"/>
  <c r="B19" i="4"/>
  <c r="B17" i="4"/>
  <c r="B12" i="4"/>
  <c r="B13" i="4"/>
  <c r="B24" i="4"/>
  <c r="B11" i="4"/>
  <c r="AE2" i="7"/>
  <c r="R29" i="7" s="1"/>
  <c r="Q30" i="7" s="1"/>
  <c r="R26" i="7"/>
  <c r="B31" i="4"/>
  <c r="AI2" i="8"/>
  <c r="Q72" i="8" s="1"/>
  <c r="Q73" i="8" s="1"/>
  <c r="R69" i="8"/>
  <c r="AC2" i="7"/>
  <c r="R5" i="7" s="1"/>
  <c r="Q6" i="7" s="1"/>
  <c r="R2" i="7"/>
  <c r="D6" i="6"/>
  <c r="F6" i="6"/>
  <c r="B37" i="4"/>
  <c r="B30" i="4"/>
  <c r="B44" i="4"/>
  <c r="B38" i="4"/>
  <c r="AH2" i="7"/>
  <c r="C77" i="7" s="1"/>
  <c r="B78" i="7" s="1"/>
  <c r="C74" i="7"/>
  <c r="B20" i="4"/>
  <c r="AE2" i="8"/>
  <c r="Q29" i="8" s="1"/>
  <c r="Q30" i="8" s="1"/>
  <c r="R26" i="8"/>
  <c r="AB2" i="7"/>
  <c r="C5" i="7" s="1"/>
  <c r="B6" i="7" s="1"/>
  <c r="C2" i="7"/>
  <c r="B25" i="4"/>
  <c r="T6" i="4"/>
  <c r="S7" i="4"/>
  <c r="S6" i="4"/>
  <c r="T7" i="4"/>
  <c r="AF2" i="7"/>
  <c r="C53" i="7" s="1"/>
  <c r="B54" i="7" s="1"/>
  <c r="C50" i="7"/>
  <c r="AD2" i="7"/>
  <c r="C29" i="7" s="1"/>
  <c r="B30" i="7" s="1"/>
  <c r="C26" i="7"/>
  <c r="B8" i="4"/>
  <c r="AB2" i="8"/>
  <c r="B5" i="8" s="1"/>
  <c r="B6" i="8" s="1"/>
  <c r="C2" i="8"/>
  <c r="B43" i="4"/>
  <c r="B26" i="4"/>
  <c r="AF2" i="8"/>
  <c r="B48" i="8" s="1"/>
  <c r="B49" i="8" s="1"/>
  <c r="C45" i="8"/>
  <c r="AD2" i="8"/>
  <c r="B29" i="8" s="1"/>
  <c r="B30" i="8" s="1"/>
  <c r="C26" i="8"/>
  <c r="B23" i="4"/>
  <c r="AG2" i="8"/>
  <c r="Q48" i="8" s="1"/>
  <c r="Q49" i="8" s="1"/>
  <c r="R45" i="8"/>
  <c r="A35" i="6"/>
  <c r="AB16" i="8"/>
  <c r="AB7" i="8" s="1"/>
  <c r="AB20" i="7"/>
  <c r="AB7" i="7" s="1"/>
  <c r="AB17" i="8"/>
  <c r="AB8" i="8" s="1"/>
  <c r="AB21" i="7"/>
  <c r="AB8" i="7" s="1"/>
  <c r="A41" i="6"/>
  <c r="D41" i="6" s="1"/>
  <c r="B41" i="4" s="1"/>
  <c r="AH2" i="8"/>
  <c r="B72" i="8" s="1"/>
  <c r="B73" i="8" s="1"/>
  <c r="C69" i="8"/>
  <c r="B32" i="4"/>
  <c r="B14" i="4"/>
  <c r="AI2" i="7"/>
  <c r="R77" i="7" s="1"/>
  <c r="Q78" i="7" s="1"/>
  <c r="R74" i="7"/>
  <c r="AC2" i="8"/>
  <c r="Q5" i="8" s="1"/>
  <c r="Q6" i="8" s="1"/>
  <c r="R2" i="8"/>
  <c r="B18" i="4"/>
  <c r="AG2" i="7"/>
  <c r="R53" i="7" s="1"/>
  <c r="Q54" i="7" s="1"/>
  <c r="R50" i="7"/>
  <c r="B6" i="4" l="1"/>
  <c r="X6" i="4"/>
  <c r="W6" i="4"/>
  <c r="D36" i="6"/>
  <c r="D35" i="6"/>
  <c r="F35" i="6"/>
  <c r="F36" i="6"/>
  <c r="B36" i="4" l="1"/>
  <c r="B35" i="4"/>
  <c r="U7" i="4" l="1"/>
  <c r="Y7" i="4" s="1"/>
  <c r="V6" i="4"/>
  <c r="V7" i="4"/>
  <c r="U6" i="4"/>
  <c r="Y6" i="4" s="1"/>
  <c r="AF7" i="4" l="1"/>
  <c r="Z7" i="4"/>
  <c r="Z6" i="4"/>
  <c r="AF6" i="4"/>
  <c r="AC13" i="4" l="1"/>
  <c r="AC12" i="4"/>
  <c r="H13" i="4"/>
  <c r="H12" i="4"/>
  <c r="AC10" i="4"/>
  <c r="AC11" i="4"/>
  <c r="H11" i="4"/>
  <c r="H10" i="4"/>
  <c r="AC8" i="4"/>
  <c r="AC9" i="4"/>
  <c r="H8" i="4"/>
  <c r="H9" i="4"/>
  <c r="H7" i="4"/>
  <c r="AC7" i="4"/>
  <c r="H6" i="4"/>
  <c r="AC6" i="4"/>
  <c r="AC16" i="4" l="1" a="1"/>
  <c r="AF17" i="4" l="1"/>
  <c r="E9" i="5" s="1"/>
  <c r="AC20" i="4"/>
  <c r="B12" i="5" s="1"/>
  <c r="AD22" i="4"/>
  <c r="C14" i="5" s="1"/>
  <c r="AE17" i="4"/>
  <c r="D9" i="5" s="1"/>
  <c r="AG19" i="4"/>
  <c r="F11" i="5" s="1"/>
  <c r="AG18" i="4"/>
  <c r="F10" i="5" s="1"/>
  <c r="AE23" i="4"/>
  <c r="D15" i="5" s="1"/>
  <c r="AF22" i="4"/>
  <c r="E14" i="5" s="1"/>
  <c r="AF20" i="4"/>
  <c r="E12" i="5" s="1"/>
  <c r="AC17" i="4"/>
  <c r="B9" i="5" s="1"/>
  <c r="AC19" i="4"/>
  <c r="B11" i="5" s="1"/>
  <c r="AG16" i="4"/>
  <c r="F8" i="5" s="1"/>
  <c r="AG22" i="4"/>
  <c r="F14" i="5" s="1"/>
  <c r="AF21" i="4"/>
  <c r="E13" i="5" s="1"/>
  <c r="AF18" i="4"/>
  <c r="E10" i="5" s="1"/>
  <c r="AG21" i="4"/>
  <c r="F13" i="5" s="1"/>
  <c r="AE19" i="4"/>
  <c r="D11" i="5" s="1"/>
  <c r="AD20" i="4"/>
  <c r="C12" i="5" s="1"/>
  <c r="AE21" i="4"/>
  <c r="D13" i="5" s="1"/>
  <c r="AE20" i="4"/>
  <c r="D12" i="5" s="1"/>
  <c r="AF23" i="4"/>
  <c r="E15" i="5" s="1"/>
  <c r="AE22" i="4"/>
  <c r="D14" i="5" s="1"/>
  <c r="AC21" i="4"/>
  <c r="B13" i="5" s="1"/>
  <c r="AG17" i="4"/>
  <c r="F9" i="5" s="1"/>
  <c r="AD18" i="4"/>
  <c r="C10" i="5" s="1"/>
  <c r="AE16" i="4"/>
  <c r="D8" i="5" s="1"/>
  <c r="AC16" i="4"/>
  <c r="B8" i="5" s="1"/>
  <c r="AG23" i="4"/>
  <c r="F15" i="5" s="1"/>
  <c r="AD16" i="4"/>
  <c r="C8" i="5" s="1"/>
  <c r="AE18" i="4"/>
  <c r="D10" i="5" s="1"/>
  <c r="AD21" i="4"/>
  <c r="C13" i="5" s="1"/>
  <c r="AD23" i="4"/>
  <c r="C15" i="5" s="1"/>
  <c r="AG20" i="4"/>
  <c r="F12" i="5" s="1"/>
  <c r="AD17" i="4"/>
  <c r="C9" i="5" s="1"/>
  <c r="AC22" i="4"/>
  <c r="B14" i="5" s="1"/>
  <c r="AD19" i="4"/>
  <c r="C11" i="5" s="1"/>
  <c r="AF19" i="4"/>
  <c r="E11" i="5" s="1"/>
  <c r="AC23" i="4"/>
  <c r="B15" i="5" s="1"/>
  <c r="AF16" i="4"/>
  <c r="E8" i="5" s="1"/>
  <c r="AC18" i="4"/>
  <c r="B10" i="5" s="1"/>
</calcChain>
</file>

<file path=xl/sharedStrings.xml><?xml version="1.0" encoding="utf-8"?>
<sst xmlns="http://schemas.openxmlformats.org/spreadsheetml/2006/main" count="602" uniqueCount="217">
  <si>
    <t>RK Teams Rayon 4, 25m 1pijl competitie 2025/2026</t>
  </si>
  <si>
    <t>Klasse</t>
  </si>
  <si>
    <t>Recurve klasse D</t>
  </si>
  <si>
    <t>Organisator</t>
  </si>
  <si>
    <t>Willem Tell 1921, Kerkrade</t>
  </si>
  <si>
    <t>Datum</t>
  </si>
  <si>
    <t>2026-04-11</t>
  </si>
  <si>
    <t>1e baan:</t>
  </si>
  <si>
    <t>Aantal aangemelde teams:</t>
  </si>
  <si>
    <t>Teams</t>
  </si>
  <si>
    <t>Naam</t>
  </si>
  <si>
    <t>Nummer</t>
  </si>
  <si>
    <t>Gemiddelde</t>
  </si>
  <si>
    <t>Sporter 1</t>
  </si>
  <si>
    <t>Archibald Johnson</t>
  </si>
  <si>
    <t>183914</t>
  </si>
  <si>
    <t>6,920</t>
  </si>
  <si>
    <t>Sporter 2</t>
  </si>
  <si>
    <t>Jean Smeets</t>
  </si>
  <si>
    <t>165744</t>
  </si>
  <si>
    <t>6,540</t>
  </si>
  <si>
    <t>Sporter 3</t>
  </si>
  <si>
    <t>Hans Beckers</t>
  </si>
  <si>
    <t>183776</t>
  </si>
  <si>
    <t>7,200</t>
  </si>
  <si>
    <t>Jori van der Velden</t>
  </si>
  <si>
    <t>142672</t>
  </si>
  <si>
    <t>7,927</t>
  </si>
  <si>
    <t>Ron Smets</t>
  </si>
  <si>
    <t>165741</t>
  </si>
  <si>
    <t>7,407</t>
  </si>
  <si>
    <t>Laura Joosten</t>
  </si>
  <si>
    <t>183281</t>
  </si>
  <si>
    <t>7,313</t>
  </si>
  <si>
    <t>Deze gegevens zijn opgehaald op 2026-03-17 21:20:36</t>
  </si>
  <si>
    <t>Tabblad deelnemers</t>
  </si>
  <si>
    <t>Bij aanvang invullen de licht grijze velden:</t>
  </si>
  <si>
    <t>Niet vergeten!!</t>
  </si>
  <si>
    <t>Dit Excel blad opsturen naar:</t>
  </si>
  <si>
    <t>mh-support@handboogsport.nl</t>
  </si>
  <si>
    <t>zodat we de uitslag kunnen publiceren op MijnHandboogsport.</t>
  </si>
  <si>
    <t>1e baan nummer (veld D4) (zie hieronder de verklaring)</t>
  </si>
  <si>
    <t>Indien er gelijktijdig meerdere boogsoorten of klassen wordt verschoten dan worden er meerdere downloads vanuit MijnHandboogsport gedaan. Deze hebben dan alle correcte info in de naam en in het sheet.</t>
  </si>
  <si>
    <t>Indien er één boogsoort en klasse wordt verschoten 1e baan invullen als 1, als dit de 1e baan van je indeling is.</t>
  </si>
  <si>
    <t>Voor de 2e boogsoort of klasse op tabblad deelnemers het veld achter 1e baan, cel D4, aanpassen naar het baannummer waarop het eerste team van die boogsoort of klasse staat, bijvoorbeeld  9.</t>
  </si>
  <si>
    <t>Aantal Aangemelde teams:  cel D5, keuze 2, 3 of 4, 5 of 6, 7 of 8, bepaald het schema. Bij 3 of 4 deelnemende teams schiet men een dubbele ronde, en bij 2 teams schiet men 4 rondes. Zie ook regel 38 en 39</t>
  </si>
  <si>
    <t>LET OP: bij afmeldingen vooraf kun je dit aanpassen maar dan moet je ook alle sheets opnieuw afdrukken. Bij een no-show het betreffende team gewoon laten staan, of in het sheet de naam in een bye veranderen en de rest laten zo als het is.</t>
  </si>
  <si>
    <t>Bij een no-show waarbij het aantal teams voor de indeling, cel D5, niet veranderd, kun je de naam veranderen in een Bye. Je hoeft dan niets opnieuw te printen en kan gewoon volgens het bestaande schema schieten.</t>
  </si>
  <si>
    <t>Bij een no-show waarbij het aantal teams voor de indeling, cel D5, WEL veranderd, moet je het team verwijderen en ervoor zorgen dat de deelnemende teams aan een gesloten in de lijst staan, dus geen lege teams tussen deelnemende teams.</t>
  </si>
  <si>
    <t>Vervolgens pas je veld D5, aangemelde teams aan naar de nieuwe indeling en print je de benodigde formulieren opnieuw. Dit moet omdat het schema van schieten hierdoor veranderd.</t>
  </si>
  <si>
    <t>tbv deelnemers achter de volgende omschrijving, indien nioet al automatisch gevuld</t>
  </si>
  <si>
    <t>Baan 1</t>
  </si>
  <si>
    <t>Naam Team</t>
  </si>
  <si>
    <t>Verenigingsnummer</t>
  </si>
  <si>
    <t>Team info is op voorhand in te vullen n.a.v. de gegevens die van de bond zijn aangeleverd</t>
  </si>
  <si>
    <t>Schutter 1</t>
  </si>
  <si>
    <t>Naam schutter 1</t>
  </si>
  <si>
    <t>Bondsnummer</t>
  </si>
  <si>
    <t>Schutters info invullen door de teams het Naambriefje in te laten vullen. Zie tabblad Naambriefje, selecteer de betreffende baan van het bovenste team , print het formulier, snijd of knip het in 2-en, en deel het uit. Dit is vooral handig bij wijziging van teamleden.</t>
  </si>
  <si>
    <t>Schutter 2</t>
  </si>
  <si>
    <t>Naam schutter 2</t>
  </si>
  <si>
    <t>Schutter 3</t>
  </si>
  <si>
    <t>Naam schutter 3</t>
  </si>
  <si>
    <t>Als de namen ingevuld zijn verschijnt er automatisch in het vak wedstrijden wie tegen wie schiet in welke ronde</t>
  </si>
  <si>
    <t>Via het tabblad wedstrijdschema kun je nu ook een overzicht printen wie in welke ronde tegen wie schiet</t>
  </si>
  <si>
    <t>Op ditzelfde overzicht staan ook eventueel kleuren welke per ronde boven de betreffende baan gehangen kunnen worden.  Zorg voor papier rood, blauw, groen en geel.</t>
  </si>
  <si>
    <t>Deze gekleurde vellen boven de baan kunnen duidelijk maken wie er tegen wie schiet.</t>
  </si>
  <si>
    <t>Hierna kan men naar het betreffende tabblad Score briefjes (indoor of 25M1P)</t>
  </si>
  <si>
    <t>Vul in ronde 1 (veld Y2) en print 2 exemplaren van de betreffende scorebriefjes</t>
  </si>
  <si>
    <t>Vul in ronde 2 (veld Y2) en print 2 exemplaren van de betreffende scorebriefjes</t>
  </si>
  <si>
    <t>Vul in ronde 3 (veld Y2) en print 2 exemplaren van de betreffende scorebriefjes</t>
  </si>
  <si>
    <t>idem voor ronde 4, 5, 6 en 7</t>
  </si>
  <si>
    <t>Bij 3 of 4 deelnemende teams alleen ronde 1, 2 en 3 invullen, en dan 2 keer pagina 1 printen voor een dubbele ronde</t>
  </si>
  <si>
    <t>Bij 2 deelnemende teams alleen ronde 1 invullen en pagina 1 dan 4 keer printen voor een 4 dubbele ronde</t>
  </si>
  <si>
    <t>Tabblad scores:</t>
  </si>
  <si>
    <t xml:space="preserve">Vul per ronde de gewonnen setpunten in, op het tabblad scores in het vak wedstrijden, zoals vermeld op de scorebriefjes. </t>
  </si>
  <si>
    <t>Bij een wedstrijd waarin een team tegen een bye schiet vul je 10-0 in voor het team</t>
  </si>
  <si>
    <t>Indien er toch nog 2 bye tegen elkaar schieten, of een bij tegen een no-show, wat eigenlijk niet kan( zie regel 16-20) vul dan de stand 0-0 in. Dan worden er 0 matchpunten toegekend.</t>
  </si>
  <si>
    <t xml:space="preserve">Voor een tussenstand kun je hiervandaan printen. </t>
  </si>
  <si>
    <t>Als deze ingevuld zijn verschijnt automatisch  in het vak set/matchpunten de stand van zaken na elke verwerkte score</t>
  </si>
  <si>
    <t>Als er na de verwerking van de laatst ronde nog rode cellen staan in het vak set/matchpunten op het score sheet betekent dit dat er een shoot-off of een loting gehouden moet worden.</t>
  </si>
  <si>
    <t>Een shoot-off is ALLEEN  voor de plaatsen 1,2 of 3. Voor de plaatsen 4 en lager zullen de teams de plaats delen indien er meerdere teams op dezelfde plaats zijn geëindigd</t>
  </si>
  <si>
    <t>Na de de shoot-off kan de score ingevuld worden in de kolom sh-off.</t>
  </si>
  <si>
    <t>Tabblad Stand</t>
  </si>
  <si>
    <t>Als alle rondes verschoten zijn kan men het tablad stand printen voor de einduitslag</t>
  </si>
  <si>
    <t>Als er een foutmelding staat op het tabblad stand dan moet waarschijnlijk er nog een shoot-off ingevuld worden. Zie regel 47-48-49</t>
  </si>
  <si>
    <t>RK Teams Rayon 4, 25m 1pijl competitie 2025/2026, Recurve klasse D</t>
  </si>
  <si>
    <t>Alleen onderstaande sporters mogen invallen in dit RK</t>
  </si>
  <si>
    <t>- Ze hebben genoeg scores neergezet in de regiocompetitie</t>
  </si>
  <si>
    <t>- Ze hebben een toestaan boogtype voor deze team wedstrijdklasse</t>
  </si>
  <si>
    <t>Controleer dat de invaller geen hoger gemiddelde heeft</t>
  </si>
  <si>
    <t>Controleer dat ze met hetzelfde type boog gaan schieten als hier genoemd</t>
  </si>
  <si>
    <t>Controleer dat ze voor hun eigen vereniging invallen</t>
  </si>
  <si>
    <t>Kopieer naam en bondsnummer naar het blad Deelnemers</t>
  </si>
  <si>
    <t>Regio</t>
  </si>
  <si>
    <t>Vereniging</t>
  </si>
  <si>
    <t>Sporter</t>
  </si>
  <si>
    <t>Boog type</t>
  </si>
  <si>
    <t>Notitie</t>
  </si>
  <si>
    <t>[1164] De Indianen</t>
  </si>
  <si>
    <t>Wilbert Theeuwen</t>
  </si>
  <si>
    <t>108180</t>
  </si>
  <si>
    <t>8,827</t>
  </si>
  <si>
    <t>Recurve</t>
  </si>
  <si>
    <t>Frank Verdonschot</t>
  </si>
  <si>
    <t>150921</t>
  </si>
  <si>
    <t>8,733</t>
  </si>
  <si>
    <t>Bram Kerkhof</t>
  </si>
  <si>
    <t>139117</t>
  </si>
  <si>
    <t>8,033</t>
  </si>
  <si>
    <t>Peter Lenders</t>
  </si>
  <si>
    <t>182097</t>
  </si>
  <si>
    <t>6,827</t>
  </si>
  <si>
    <t>Wiel Theeuwen</t>
  </si>
  <si>
    <t>104734</t>
  </si>
  <si>
    <t>5,153</t>
  </si>
  <si>
    <t>[1400] HBS De Ster 2.0</t>
  </si>
  <si>
    <t>Yael Smeets</t>
  </si>
  <si>
    <t>168102</t>
  </si>
  <si>
    <t>9,713</t>
  </si>
  <si>
    <t>Frank Baets</t>
  </si>
  <si>
    <t>139838</t>
  </si>
  <si>
    <t>9,487</t>
  </si>
  <si>
    <t>Martin Veenman</t>
  </si>
  <si>
    <t>175596</t>
  </si>
  <si>
    <t>9,180</t>
  </si>
  <si>
    <t>Sharon Baets-van der Heijden</t>
  </si>
  <si>
    <t>151086</t>
  </si>
  <si>
    <t>9,160</t>
  </si>
  <si>
    <t>Dari Verwers</t>
  </si>
  <si>
    <t>159428</t>
  </si>
  <si>
    <t>9,113</t>
  </si>
  <si>
    <t>Axel Janssen</t>
  </si>
  <si>
    <t>132134</t>
  </si>
  <si>
    <t>8,907</t>
  </si>
  <si>
    <t>Hennie van der Weijden</t>
  </si>
  <si>
    <t>182208</t>
  </si>
  <si>
    <t>8,780</t>
  </si>
  <si>
    <t>Huub Holtkamp</t>
  </si>
  <si>
    <t>180100</t>
  </si>
  <si>
    <t>7,340</t>
  </si>
  <si>
    <t>Traditional</t>
  </si>
  <si>
    <t>Quinn Vlieks</t>
  </si>
  <si>
    <t>157270</t>
  </si>
  <si>
    <t>6,787</t>
  </si>
  <si>
    <t>Barebow</t>
  </si>
  <si>
    <t>Omayma Saïdi</t>
  </si>
  <si>
    <t>180820</t>
  </si>
  <si>
    <t>6,380</t>
  </si>
  <si>
    <t>Lei Vergoossen</t>
  </si>
  <si>
    <t>174648</t>
  </si>
  <si>
    <t>6,240</t>
  </si>
  <si>
    <t>Veerle D' Haene</t>
  </si>
  <si>
    <t>175595</t>
  </si>
  <si>
    <t>5,767</t>
  </si>
  <si>
    <t>Longbow</t>
  </si>
  <si>
    <t>Harrie Vroomen</t>
  </si>
  <si>
    <t>165359</t>
  </si>
  <si>
    <t>5,367</t>
  </si>
  <si>
    <t>Wedstrijden</t>
  </si>
  <si>
    <t>set/matchpunten</t>
  </si>
  <si>
    <t>Ronde 1</t>
  </si>
  <si>
    <t>Score</t>
  </si>
  <si>
    <t>Matchpunten</t>
  </si>
  <si>
    <t>Ronde</t>
  </si>
  <si>
    <t>Tot.</t>
  </si>
  <si>
    <t>Sh-off</t>
  </si>
  <si>
    <t>Pos.</t>
  </si>
  <si>
    <t>S</t>
  </si>
  <si>
    <t>M</t>
  </si>
  <si>
    <t>Setp.</t>
  </si>
  <si>
    <t>Matchp.</t>
  </si>
  <si>
    <t>Ronde 2</t>
  </si>
  <si>
    <t>Gesorteerd op rang</t>
  </si>
  <si>
    <t>Ronde 3</t>
  </si>
  <si>
    <t>Voor printen tussenstand klik op de printer of selecteer afdrukken</t>
  </si>
  <si>
    <t>LET OP indien hierboven nog rode cellen zijn dan MOET er een shoot-off geschoten worden</t>
  </si>
  <si>
    <t>Dit betreft namelijk medaille plaatsen.</t>
  </si>
  <si>
    <t>Kijk goed welke plaatsen tegen elkaar moeten.</t>
  </si>
  <si>
    <t>Ronde 4</t>
  </si>
  <si>
    <t>Ronde 5</t>
  </si>
  <si>
    <t>Ronde 6</t>
  </si>
  <si>
    <t>Ronde 7</t>
  </si>
  <si>
    <t>Plaats</t>
  </si>
  <si>
    <t>Team</t>
  </si>
  <si>
    <t>Ver.Nummer</t>
  </si>
  <si>
    <t>Shoot-off</t>
  </si>
  <si>
    <t>Rayonkampioen</t>
  </si>
  <si>
    <t>2e</t>
  </si>
  <si>
    <t>Wedstrijd schema</t>
  </si>
  <si>
    <t>Deelnemers:</t>
  </si>
  <si>
    <t>ronde</t>
  </si>
  <si>
    <t>Wedstr 1</t>
  </si>
  <si>
    <t>Wedstr 2</t>
  </si>
  <si>
    <t>Wedstr 3</t>
  </si>
  <si>
    <t>Wedstr 4</t>
  </si>
  <si>
    <t>-</t>
  </si>
  <si>
    <t>Welke ronde?</t>
  </si>
  <si>
    <t>Datum:</t>
  </si>
  <si>
    <t>Setpunten per set</t>
  </si>
  <si>
    <t>Winst:2 ;Gelijk:1 ;Verlies:0</t>
  </si>
  <si>
    <t>Naam:</t>
  </si>
  <si>
    <t>Setpunten</t>
  </si>
  <si>
    <t>nr</t>
  </si>
  <si>
    <t>Sub</t>
  </si>
  <si>
    <t>Totaal</t>
  </si>
  <si>
    <t>Punten</t>
  </si>
  <si>
    <t>Deelnemer</t>
  </si>
  <si>
    <t>Handtekening</t>
  </si>
  <si>
    <t>Martchpunten</t>
  </si>
  <si>
    <t>Controle</t>
  </si>
  <si>
    <t>Winnaar</t>
  </si>
  <si>
    <t>Naam organisator, Plaats</t>
  </si>
  <si>
    <t>Voor printen:</t>
  </si>
  <si>
    <t>Selecteer eerst het juiste baannummer</t>
  </si>
  <si>
    <t>Bondsnr.</t>
  </si>
  <si>
    <t>7 of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</si>
</sst>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413]d/mmm/yyyy"/>
    <numFmt numFmtId="166" formatCode="0.0"/>
    <numFmt numFmtId="167" formatCode="dd/mm/yyyy"/>
    <numFmt numFmtId="168" formatCode="[$-413]d\ mmmm\ yyyy"/>
  </numFmts>
  <fonts count="32" x14ac:knownFonts="1">
    <font>
      <sz val="11"/>
      <color rgb="FF000000"/>
      <name val="Calibri"/>
      <charset val="1"/>
    </font>
    <font>
      <sz val="11"/>
      <name val="Roboto"/>
      <charset val="1"/>
    </font>
    <font>
      <b/>
      <sz val="11"/>
      <name val="Roboto"/>
      <charset val="1"/>
    </font>
    <font>
      <b/>
      <sz val="11"/>
      <color rgb="FFFF0000"/>
      <name val="Roboto"/>
      <charset val="1"/>
    </font>
    <font>
      <sz val="11"/>
      <color rgb="FF000000"/>
      <name val="Roboto"/>
      <charset val="1"/>
    </font>
    <font>
      <sz val="11"/>
      <color rgb="FF0000FF"/>
      <name val="Roboto"/>
      <charset val="1"/>
    </font>
    <font>
      <strike/>
      <sz val="11"/>
      <color rgb="FFB2B2B2"/>
      <name val="Roboto"/>
      <charset val="1"/>
    </font>
    <font>
      <sz val="11"/>
      <color rgb="FFB2B2B2"/>
      <name val="Roboto"/>
      <charset val="1"/>
    </font>
    <font>
      <sz val="11"/>
      <color theme="1"/>
      <name val="Roboto"/>
      <charset val="1"/>
    </font>
    <font>
      <b/>
      <sz val="11"/>
      <color rgb="FF000000"/>
      <name val="Roboto"/>
      <charset val="1"/>
    </font>
    <font>
      <sz val="10"/>
      <name val="Roboto"/>
      <charset val="1"/>
    </font>
    <font>
      <b/>
      <sz val="18"/>
      <name val="Roboto"/>
      <charset val="1"/>
    </font>
    <font>
      <b/>
      <sz val="10"/>
      <name val="Roboto"/>
      <charset val="1"/>
    </font>
    <font>
      <sz val="16"/>
      <color rgb="FFFF0000"/>
      <name val="Roboto"/>
      <charset val="1"/>
    </font>
    <font>
      <sz val="11"/>
      <color rgb="FFFF0000"/>
      <name val="Roboto"/>
      <charset val="1"/>
    </font>
    <font>
      <sz val="10"/>
      <name val="Arial"/>
      <family val="2"/>
      <charset val="1"/>
    </font>
    <font>
      <b/>
      <sz val="11"/>
      <color rgb="FF000000"/>
      <name val="Calibri"/>
      <family val="2"/>
      <charset val="1"/>
    </font>
    <font>
      <sz val="16"/>
      <name val="Roboto"/>
      <charset val="1"/>
    </font>
    <font>
      <b/>
      <sz val="16"/>
      <name val="Roboto"/>
      <charset val="1"/>
    </font>
    <font>
      <b/>
      <sz val="14"/>
      <name val="Roboto"/>
      <charset val="1"/>
    </font>
    <font>
      <sz val="11"/>
      <name val="Calibri"/>
      <family val="2"/>
      <charset val="1"/>
    </font>
    <font>
      <sz val="8"/>
      <name val="Arial"/>
      <family val="2"/>
      <charset val="1"/>
    </font>
    <font>
      <b/>
      <sz val="10"/>
      <name val="Arial"/>
      <family val="2"/>
      <charset val="1"/>
    </font>
    <font>
      <b/>
      <sz val="8"/>
      <name val="Arial"/>
      <family val="2"/>
      <charset val="1"/>
    </font>
    <font>
      <b/>
      <sz val="9"/>
      <name val="Arial"/>
      <family val="2"/>
      <charset val="1"/>
    </font>
    <font>
      <b/>
      <sz val="11"/>
      <name val="Calibri"/>
      <family val="2"/>
      <charset val="1"/>
    </font>
    <font>
      <sz val="7"/>
      <name val="Arial"/>
      <family val="2"/>
      <charset val="1"/>
    </font>
    <font>
      <b/>
      <sz val="18"/>
      <color rgb="FF000000"/>
      <name val="Calibri"/>
      <family val="2"/>
      <charset val="1"/>
    </font>
    <font>
      <sz val="16"/>
      <color rgb="FF000000"/>
      <name val="Calibri"/>
      <family val="2"/>
      <charset val="1"/>
    </font>
    <font>
      <b/>
      <sz val="14"/>
      <color rgb="FF000000"/>
      <name val="Calibri"/>
      <family val="2"/>
      <charset val="1"/>
    </font>
    <font>
      <sz val="11"/>
      <name val="Roboto"/>
    </font>
    <font>
      <sz val="11"/>
      <color rgb="FF000000"/>
      <name val="Roboto"/>
    </font>
  </fonts>
  <fills count="11">
    <fill>
      <patternFill patternType="none"/>
    </fill>
    <fill>
      <patternFill patternType="gray125"/>
    </fill>
    <fill>
      <patternFill patternType="solid">
        <fgColor rgb="FFF2F2F2"/>
        <bgColor rgb="FFFFFFFF"/>
      </patternFill>
    </fill>
    <fill>
      <patternFill patternType="solid">
        <fgColor theme="0" tint="-0.14999847407452621"/>
        <bgColor rgb="FFD8D8D8"/>
      </patternFill>
    </fill>
    <fill>
      <patternFill patternType="solid">
        <fgColor theme="0"/>
        <bgColor rgb="FFF2F2F2"/>
      </patternFill>
    </fill>
    <fill>
      <patternFill patternType="solid">
        <fgColor rgb="FFFF0000"/>
        <bgColor rgb="FF993300"/>
      </patternFill>
    </fill>
    <fill>
      <patternFill patternType="solid">
        <fgColor rgb="FF00B0F0"/>
        <bgColor rgb="FF33CCCC"/>
      </patternFill>
    </fill>
    <fill>
      <patternFill patternType="solid">
        <fgColor rgb="FF00B050"/>
        <bgColor rgb="FF008080"/>
      </patternFill>
    </fill>
    <fill>
      <patternFill patternType="solid">
        <fgColor rgb="FFFFFF00"/>
        <bgColor rgb="FFFFFF00"/>
      </patternFill>
    </fill>
    <fill>
      <patternFill patternType="solid">
        <fgColor rgb="FFD8D8D8"/>
        <bgColor rgb="FFD9D9D9"/>
      </patternFill>
    </fill>
    <fill>
      <patternFill patternType="solid">
        <fgColor rgb="FFC6D9F0"/>
        <bgColor rgb="FFD8D8D8"/>
      </patternFill>
    </fill>
  </fills>
  <borders count="72">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medium">
        <color auto="1"/>
      </right>
      <top/>
      <bottom/>
      <diagonal/>
    </border>
    <border>
      <left style="thin">
        <color auto="1"/>
      </left>
      <right/>
      <top/>
      <bottom/>
      <diagonal/>
    </border>
    <border>
      <left/>
      <right style="thin">
        <color auto="1"/>
      </right>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top/>
      <bottom style="dotted">
        <color auto="1"/>
      </bottom>
      <diagonal/>
    </border>
    <border>
      <left/>
      <right style="medium">
        <color auto="1"/>
      </right>
      <top/>
      <bottom style="dotted">
        <color auto="1"/>
      </bottom>
      <diagonal/>
    </border>
    <border>
      <left/>
      <right/>
      <top/>
      <bottom style="dotted">
        <color auto="1"/>
      </bottom>
      <diagonal/>
    </border>
    <border>
      <left/>
      <right style="medium">
        <color auto="1"/>
      </right>
      <top style="thin">
        <color auto="1"/>
      </top>
      <bottom/>
      <diagonal/>
    </border>
    <border>
      <left style="medium">
        <color auto="1"/>
      </left>
      <right/>
      <top style="dotted">
        <color auto="1"/>
      </top>
      <bottom style="dotted">
        <color auto="1"/>
      </bottom>
      <diagonal/>
    </border>
    <border>
      <left/>
      <right style="medium">
        <color auto="1"/>
      </right>
      <top style="dotted">
        <color auto="1"/>
      </top>
      <bottom style="dotted">
        <color auto="1"/>
      </bottom>
      <diagonal/>
    </border>
    <border>
      <left/>
      <right/>
      <top style="dotted">
        <color auto="1"/>
      </top>
      <bottom style="dotted">
        <color auto="1"/>
      </bottom>
      <diagonal/>
    </border>
    <border>
      <left style="medium">
        <color auto="1"/>
      </left>
      <right/>
      <top style="dotted">
        <color auto="1"/>
      </top>
      <bottom style="medium">
        <color auto="1"/>
      </bottom>
      <diagonal/>
    </border>
    <border>
      <left/>
      <right style="medium">
        <color auto="1"/>
      </right>
      <top style="dotted">
        <color auto="1"/>
      </top>
      <bottom style="medium">
        <color auto="1"/>
      </bottom>
      <diagonal/>
    </border>
    <border>
      <left/>
      <right/>
      <top style="dotted">
        <color auto="1"/>
      </top>
      <bottom style="medium">
        <color auto="1"/>
      </bottom>
      <diagonal/>
    </border>
    <border>
      <left/>
      <right style="medium">
        <color auto="1"/>
      </right>
      <top/>
      <bottom style="thin">
        <color auto="1"/>
      </bottom>
      <diagonal/>
    </border>
    <border>
      <left style="thick">
        <color auto="1"/>
      </left>
      <right style="thick">
        <color auto="1"/>
      </right>
      <top style="thick">
        <color auto="1"/>
      </top>
      <bottom/>
      <diagonal/>
    </border>
    <border>
      <left style="thick">
        <color auto="1"/>
      </left>
      <right style="thick">
        <color auto="1"/>
      </right>
      <top/>
      <bottom/>
      <diagonal/>
    </border>
    <border>
      <left style="thick">
        <color auto="1"/>
      </left>
      <right style="thick">
        <color auto="1"/>
      </right>
      <top/>
      <bottom style="thin">
        <color auto="1"/>
      </bottom>
      <diagonal/>
    </border>
    <border>
      <left style="thick">
        <color auto="1"/>
      </left>
      <right style="thick">
        <color auto="1"/>
      </right>
      <top style="thin">
        <color auto="1"/>
      </top>
      <bottom style="thin">
        <color auto="1"/>
      </bottom>
      <diagonal/>
    </border>
    <border>
      <left style="thick">
        <color auto="1"/>
      </left>
      <right/>
      <top/>
      <bottom/>
      <diagonal/>
    </border>
    <border>
      <left/>
      <right style="thick">
        <color auto="1"/>
      </right>
      <top/>
      <bottom/>
      <diagonal/>
    </border>
    <border>
      <left style="thick">
        <color auto="1"/>
      </left>
      <right/>
      <top style="thin">
        <color auto="1"/>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n">
        <color auto="1"/>
      </left>
      <right/>
      <top style="thin">
        <color auto="1"/>
      </top>
      <bottom style="thin">
        <color auto="1"/>
      </bottom>
      <diagonal/>
    </border>
    <border>
      <left style="thin">
        <color auto="1"/>
      </left>
      <right style="thin">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bottom style="thin">
        <color auto="1"/>
      </bottom>
      <diagonal/>
    </border>
    <border>
      <left/>
      <right style="thick">
        <color auto="1"/>
      </right>
      <top style="thin">
        <color auto="1"/>
      </top>
      <bottom style="thin">
        <color auto="1"/>
      </bottom>
      <diagonal/>
    </border>
    <border>
      <left style="thick">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diagonal/>
    </border>
    <border>
      <left style="medium">
        <color auto="1"/>
      </left>
      <right style="medium">
        <color auto="1"/>
      </right>
      <top style="thin">
        <color auto="1"/>
      </top>
      <bottom style="medium">
        <color auto="1"/>
      </bottom>
      <diagonal/>
    </border>
    <border>
      <left style="thin">
        <color auto="1"/>
      </left>
      <right style="thick">
        <color auto="1"/>
      </right>
      <top style="thick">
        <color auto="1"/>
      </top>
      <bottom style="thin">
        <color auto="1"/>
      </bottom>
      <diagonal/>
    </border>
    <border>
      <left style="thick">
        <color auto="1"/>
      </left>
      <right style="thin">
        <color auto="1"/>
      </right>
      <top style="thick">
        <color auto="1"/>
      </top>
      <bottom style="thin">
        <color auto="1"/>
      </bottom>
      <diagonal/>
    </border>
    <border>
      <left style="medium">
        <color auto="1"/>
      </left>
      <right style="thick">
        <color auto="1"/>
      </right>
      <top style="medium">
        <color auto="1"/>
      </top>
      <bottom style="medium">
        <color auto="1"/>
      </bottom>
      <diagonal/>
    </border>
    <border>
      <left style="thick">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style="medium">
        <color auto="1"/>
      </right>
      <top style="thin">
        <color auto="1"/>
      </top>
      <bottom style="thin">
        <color auto="1"/>
      </bottom>
      <diagonal/>
    </border>
    <border>
      <left/>
      <right/>
      <top style="thick">
        <color auto="1"/>
      </top>
      <bottom/>
      <diagonal/>
    </border>
    <border>
      <left/>
      <right style="thick">
        <color auto="1"/>
      </right>
      <top style="thick">
        <color auto="1"/>
      </top>
      <bottom/>
      <diagonal/>
    </border>
    <border>
      <left/>
      <right style="thick">
        <color auto="1"/>
      </right>
      <top/>
      <bottom style="thin">
        <color auto="1"/>
      </bottom>
      <diagonal/>
    </border>
    <border>
      <left/>
      <right style="thick">
        <color auto="1"/>
      </right>
      <top style="thick">
        <color auto="1"/>
      </top>
      <bottom style="thin">
        <color auto="1"/>
      </bottom>
      <diagonal/>
    </border>
    <border>
      <left/>
      <right style="thin">
        <color auto="1"/>
      </right>
      <top style="thick">
        <color auto="1"/>
      </top>
      <bottom style="thin">
        <color auto="1"/>
      </bottom>
      <diagonal/>
    </border>
    <border>
      <left/>
      <right style="thick">
        <color auto="1"/>
      </right>
      <top style="medium">
        <color auto="1"/>
      </top>
      <bottom style="medium">
        <color auto="1"/>
      </bottom>
      <diagonal/>
    </border>
  </borders>
  <cellStyleXfs count="1">
    <xf numFmtId="0" fontId="0" fillId="0" borderId="0"/>
  </cellStyleXfs>
  <cellXfs count="308">
    <xf numFmtId="0" fontId="0" fillId="0" borderId="0" xfId="0"/>
    <xf numFmtId="0" fontId="1" fillId="0" borderId="18" xfId="0" applyFont="1" applyBorder="1" applyAlignment="1">
      <alignment horizontal="center"/>
    </xf>
    <xf numFmtId="1" fontId="1" fillId="0" borderId="0" xfId="0" applyNumberFormat="1" applyFont="1" applyAlignment="1">
      <alignment horizontal="center"/>
    </xf>
    <xf numFmtId="0" fontId="1" fillId="0" borderId="0" xfId="0" applyFont="1"/>
    <xf numFmtId="0" fontId="2" fillId="0" borderId="0" xfId="0" applyFont="1"/>
    <xf numFmtId="0" fontId="1" fillId="2" borderId="0" xfId="0" applyFont="1" applyFill="1"/>
    <xf numFmtId="0" fontId="3" fillId="0" borderId="1" xfId="0" applyFont="1" applyBorder="1"/>
    <xf numFmtId="0" fontId="1" fillId="0" borderId="2" xfId="0" applyFont="1" applyBorder="1"/>
    <xf numFmtId="0" fontId="4" fillId="0" borderId="2" xfId="0" applyFont="1" applyBorder="1"/>
    <xf numFmtId="0" fontId="5" fillId="0" borderId="2" xfId="0" applyFont="1" applyBorder="1"/>
    <xf numFmtId="0" fontId="1" fillId="0" borderId="3" xfId="0" applyFont="1" applyBorder="1"/>
    <xf numFmtId="0" fontId="6" fillId="0" borderId="0" xfId="0" applyFont="1"/>
    <xf numFmtId="0" fontId="7" fillId="0" borderId="0" xfId="0" applyFont="1"/>
    <xf numFmtId="0" fontId="4" fillId="0" borderId="4" xfId="0" applyFont="1" applyBorder="1"/>
    <xf numFmtId="0" fontId="1" fillId="0" borderId="5" xfId="0" applyFont="1" applyBorder="1"/>
    <xf numFmtId="0" fontId="1" fillId="0" borderId="6" xfId="0" applyFont="1" applyBorder="1"/>
    <xf numFmtId="0" fontId="8" fillId="0" borderId="0" xfId="0" applyFont="1"/>
    <xf numFmtId="0" fontId="4" fillId="0" borderId="0" xfId="0" applyFont="1"/>
    <xf numFmtId="0" fontId="1" fillId="0" borderId="7" xfId="0" applyFont="1" applyBorder="1"/>
    <xf numFmtId="0" fontId="4" fillId="0" borderId="0" xfId="0" applyFont="1" applyAlignment="1">
      <alignment horizontal="left"/>
    </xf>
    <xf numFmtId="0" fontId="10" fillId="0" borderId="0" xfId="0" applyFont="1"/>
    <xf numFmtId="0" fontId="10" fillId="0" borderId="0" xfId="0" applyFont="1" applyAlignment="1">
      <alignment horizontal="left"/>
    </xf>
    <xf numFmtId="0" fontId="12" fillId="0" borderId="0" xfId="0" applyFont="1"/>
    <xf numFmtId="0" fontId="12" fillId="0" borderId="0" xfId="0" applyFont="1" applyAlignment="1">
      <alignment horizontal="left"/>
    </xf>
    <xf numFmtId="164" fontId="10" fillId="0" borderId="0" xfId="0" applyNumberFormat="1" applyFont="1" applyAlignment="1">
      <alignment horizontal="left"/>
    </xf>
    <xf numFmtId="0" fontId="12" fillId="0" borderId="0" xfId="0" applyFont="1" applyAlignment="1">
      <alignment horizontal="center"/>
    </xf>
    <xf numFmtId="0" fontId="13" fillId="0" borderId="0" xfId="0" applyFont="1" applyAlignment="1">
      <alignment horizontal="left" vertical="center"/>
    </xf>
    <xf numFmtId="0" fontId="1" fillId="0" borderId="0" xfId="0" applyFont="1" applyAlignment="1" applyProtection="1">
      <alignment horizontal="left"/>
      <protection locked="0"/>
    </xf>
    <xf numFmtId="0" fontId="1" fillId="0" borderId="0" xfId="0" applyFont="1" applyAlignment="1">
      <alignment horizontal="left"/>
    </xf>
    <xf numFmtId="0" fontId="2" fillId="0" borderId="0" xfId="0" applyFont="1" applyAlignment="1">
      <alignment horizontal="center"/>
    </xf>
    <xf numFmtId="0" fontId="14" fillId="0" borderId="0" xfId="0" applyFont="1" applyAlignment="1">
      <alignment horizontal="left"/>
    </xf>
    <xf numFmtId="164" fontId="1" fillId="0" borderId="0" xfId="0" applyNumberFormat="1" applyFont="1" applyAlignment="1">
      <alignment horizontal="left"/>
    </xf>
    <xf numFmtId="0" fontId="15" fillId="0" borderId="0" xfId="0" applyFont="1" applyAlignment="1">
      <alignment horizontal="left"/>
    </xf>
    <xf numFmtId="0" fontId="2" fillId="0" borderId="0" xfId="0" applyFont="1" applyAlignment="1">
      <alignment horizontal="left"/>
    </xf>
    <xf numFmtId="0" fontId="1" fillId="4" borderId="9" xfId="0" applyFont="1" applyFill="1" applyBorder="1" applyAlignment="1">
      <alignment horizontal="left" vertical="center"/>
    </xf>
    <xf numFmtId="0" fontId="2" fillId="4" borderId="10" xfId="0" applyFont="1" applyFill="1" applyBorder="1" applyAlignment="1">
      <alignment horizontal="center" vertical="center"/>
    </xf>
    <xf numFmtId="0" fontId="2" fillId="4" borderId="10" xfId="0" applyFont="1" applyFill="1" applyBorder="1" applyAlignment="1">
      <alignment horizontal="left" vertical="center"/>
    </xf>
    <xf numFmtId="164" fontId="2" fillId="4" borderId="10" xfId="0" applyNumberFormat="1" applyFont="1" applyFill="1" applyBorder="1" applyAlignment="1">
      <alignment horizontal="left" vertical="center"/>
    </xf>
    <xf numFmtId="164" fontId="2" fillId="4" borderId="11" xfId="0" applyNumberFormat="1" applyFont="1" applyFill="1" applyBorder="1" applyAlignment="1">
      <alignment horizontal="right" vertical="center"/>
    </xf>
    <xf numFmtId="0" fontId="1" fillId="4" borderId="12" xfId="0" applyFont="1" applyFill="1" applyBorder="1" applyAlignment="1">
      <alignment horizontal="left" vertical="center"/>
    </xf>
    <xf numFmtId="0" fontId="2" fillId="4" borderId="13" xfId="0" applyFont="1" applyFill="1" applyBorder="1" applyAlignment="1">
      <alignment horizontal="center" vertical="center"/>
    </xf>
    <xf numFmtId="0" fontId="2" fillId="4" borderId="13" xfId="0" applyFont="1" applyFill="1" applyBorder="1" applyAlignment="1">
      <alignment horizontal="left" vertical="center"/>
    </xf>
    <xf numFmtId="164" fontId="2" fillId="4" borderId="13" xfId="0" applyNumberFormat="1" applyFont="1" applyFill="1" applyBorder="1" applyAlignment="1">
      <alignment horizontal="left" vertical="center"/>
    </xf>
    <xf numFmtId="164" fontId="2" fillId="4" borderId="14" xfId="0" applyNumberFormat="1" applyFont="1" applyFill="1" applyBorder="1" applyAlignment="1">
      <alignment horizontal="left" vertical="center"/>
    </xf>
    <xf numFmtId="164" fontId="2" fillId="0" borderId="0" xfId="0" applyNumberFormat="1" applyFont="1" applyAlignment="1">
      <alignment horizontal="left"/>
    </xf>
    <xf numFmtId="0" fontId="1" fillId="0" borderId="0" xfId="0" applyFont="1" applyAlignment="1" applyProtection="1">
      <alignment horizontal="center"/>
      <protection locked="0"/>
    </xf>
    <xf numFmtId="164" fontId="1" fillId="0" borderId="0" xfId="0" applyNumberFormat="1" applyFont="1" applyAlignment="1" applyProtection="1">
      <alignment horizontal="left"/>
      <protection locked="0"/>
    </xf>
    <xf numFmtId="0" fontId="1" fillId="0" borderId="0" xfId="0" applyFont="1" applyAlignment="1">
      <alignment horizontal="center"/>
    </xf>
    <xf numFmtId="0" fontId="0" fillId="0" borderId="0" xfId="0" applyAlignment="1">
      <alignment horizontal="left"/>
    </xf>
    <xf numFmtId="0" fontId="16" fillId="0" borderId="0" xfId="0" applyFont="1"/>
    <xf numFmtId="0" fontId="9" fillId="0" borderId="7" xfId="0" applyFont="1" applyBorder="1" applyAlignment="1">
      <alignment horizontal="left"/>
    </xf>
    <xf numFmtId="165" fontId="4" fillId="0" borderId="16" xfId="0" applyNumberFormat="1" applyFont="1" applyBorder="1" applyAlignment="1" applyProtection="1">
      <alignment horizontal="center"/>
      <protection locked="0"/>
    </xf>
    <xf numFmtId="0" fontId="9" fillId="0" borderId="0" xfId="0" applyFont="1" applyAlignment="1">
      <alignment horizontal="right"/>
    </xf>
    <xf numFmtId="0" fontId="9" fillId="2" borderId="15" xfId="0" applyFont="1" applyFill="1" applyBorder="1" applyAlignment="1" applyProtection="1">
      <alignment horizontal="center"/>
      <protection locked="0"/>
    </xf>
    <xf numFmtId="0" fontId="16" fillId="0" borderId="7" xfId="0" applyFont="1" applyBorder="1"/>
    <xf numFmtId="0" fontId="4" fillId="0" borderId="7" xfId="0" applyFont="1" applyBorder="1"/>
    <xf numFmtId="0" fontId="4" fillId="0" borderId="18" xfId="0" applyFont="1" applyBorder="1" applyAlignment="1">
      <alignment horizontal="left"/>
    </xf>
    <xf numFmtId="0" fontId="9" fillId="0" borderId="7" xfId="0" applyFont="1" applyBorder="1"/>
    <xf numFmtId="0" fontId="4" fillId="2" borderId="1" xfId="0" applyFont="1" applyFill="1" applyBorder="1" applyProtection="1">
      <protection locked="0"/>
    </xf>
    <xf numFmtId="0" fontId="4" fillId="2" borderId="3" xfId="0" applyFont="1" applyFill="1" applyBorder="1" applyProtection="1">
      <protection locked="0"/>
    </xf>
    <xf numFmtId="0" fontId="4" fillId="0" borderId="18" xfId="0" applyFont="1" applyBorder="1" applyAlignment="1" applyProtection="1">
      <alignment horizontal="left"/>
      <protection locked="0"/>
    </xf>
    <xf numFmtId="0" fontId="4" fillId="2" borderId="19" xfId="0" applyFont="1" applyFill="1" applyBorder="1" applyProtection="1">
      <protection locked="0"/>
    </xf>
    <xf numFmtId="0" fontId="4" fillId="2" borderId="20" xfId="0" applyFont="1" applyFill="1" applyBorder="1" applyProtection="1">
      <protection locked="0"/>
    </xf>
    <xf numFmtId="0" fontId="4" fillId="2" borderId="4" xfId="0" applyFont="1" applyFill="1" applyBorder="1" applyProtection="1">
      <protection locked="0"/>
    </xf>
    <xf numFmtId="0" fontId="4" fillId="2" borderId="6" xfId="0" applyFont="1" applyFill="1" applyBorder="1" applyProtection="1">
      <protection locked="0"/>
    </xf>
    <xf numFmtId="0" fontId="0" fillId="0" borderId="12" xfId="0" applyBorder="1"/>
    <xf numFmtId="0" fontId="0" fillId="0" borderId="13" xfId="0" applyBorder="1"/>
    <xf numFmtId="0" fontId="0" fillId="0" borderId="14" xfId="0" applyBorder="1" applyAlignment="1">
      <alignment horizontal="left"/>
    </xf>
    <xf numFmtId="0" fontId="1" fillId="0" borderId="21" xfId="0" applyFont="1" applyBorder="1"/>
    <xf numFmtId="0" fontId="2" fillId="0" borderId="9" xfId="0" applyFont="1" applyBorder="1"/>
    <xf numFmtId="0" fontId="2" fillId="0" borderId="11" xfId="0" applyFont="1" applyBorder="1"/>
    <xf numFmtId="1" fontId="1" fillId="0" borderId="0" xfId="0" applyNumberFormat="1" applyFont="1"/>
    <xf numFmtId="0" fontId="1" fillId="0" borderId="9" xfId="0" applyFont="1" applyBorder="1"/>
    <xf numFmtId="0" fontId="1" fillId="0" borderId="10" xfId="0" applyFont="1" applyBorder="1"/>
    <xf numFmtId="0" fontId="2" fillId="0" borderId="7" xfId="0" applyFont="1" applyBorder="1" applyAlignment="1">
      <alignment horizontal="center"/>
    </xf>
    <xf numFmtId="0" fontId="1" fillId="0" borderId="18" xfId="0" applyFont="1" applyBorder="1"/>
    <xf numFmtId="0" fontId="2" fillId="0" borderId="7" xfId="0" applyFont="1" applyBorder="1"/>
    <xf numFmtId="0" fontId="1" fillId="0" borderId="11" xfId="0" applyFont="1" applyBorder="1"/>
    <xf numFmtId="0" fontId="2" fillId="5" borderId="7" xfId="0" applyFont="1" applyFill="1" applyBorder="1"/>
    <xf numFmtId="0" fontId="1" fillId="2" borderId="1" xfId="0" applyFont="1" applyFill="1" applyBorder="1" applyAlignment="1" applyProtection="1">
      <alignment horizontal="center"/>
      <protection locked="0"/>
    </xf>
    <xf numFmtId="0" fontId="1" fillId="2" borderId="3" xfId="0" applyFont="1" applyFill="1" applyBorder="1" applyAlignment="1" applyProtection="1">
      <alignment horizontal="center"/>
      <protection locked="0"/>
    </xf>
    <xf numFmtId="0" fontId="1" fillId="0" borderId="22" xfId="0" applyFont="1" applyBorder="1"/>
    <xf numFmtId="0" fontId="1" fillId="0" borderId="21" xfId="0" applyFont="1" applyBorder="1" applyAlignment="1">
      <alignment horizontal="center"/>
    </xf>
    <xf numFmtId="0" fontId="1" fillId="0" borderId="22" xfId="0" applyFont="1" applyBorder="1" applyAlignment="1">
      <alignment horizontal="center"/>
    </xf>
    <xf numFmtId="0" fontId="1" fillId="0" borderId="23" xfId="0" applyFont="1" applyBorder="1" applyAlignment="1">
      <alignment horizontal="center"/>
    </xf>
    <xf numFmtId="0" fontId="1" fillId="0" borderId="12" xfId="0" applyFont="1" applyBorder="1"/>
    <xf numFmtId="0" fontId="1" fillId="0" borderId="14" xfId="0" applyFont="1" applyBorder="1"/>
    <xf numFmtId="0" fontId="1" fillId="0" borderId="1" xfId="0" applyFont="1" applyBorder="1"/>
    <xf numFmtId="0" fontId="2" fillId="6" borderId="7" xfId="0" applyFont="1" applyFill="1" applyBorder="1"/>
    <xf numFmtId="0" fontId="1" fillId="2" borderId="19" xfId="0" applyFont="1" applyFill="1" applyBorder="1" applyAlignment="1" applyProtection="1">
      <alignment horizontal="center"/>
      <protection locked="0"/>
    </xf>
    <xf numFmtId="0" fontId="1" fillId="2" borderId="20" xfId="0" applyFont="1" applyFill="1" applyBorder="1" applyAlignment="1" applyProtection="1">
      <alignment horizontal="center"/>
      <protection locked="0"/>
    </xf>
    <xf numFmtId="0" fontId="1" fillId="0" borderId="7" xfId="0" applyFont="1" applyBorder="1" applyAlignment="1">
      <alignment horizontal="center"/>
    </xf>
    <xf numFmtId="0" fontId="1" fillId="0" borderId="24" xfId="0" applyFont="1" applyBorder="1"/>
    <xf numFmtId="0" fontId="1" fillId="0" borderId="25" xfId="0" applyFont="1" applyBorder="1"/>
    <xf numFmtId="0" fontId="1" fillId="0" borderId="24" xfId="0" applyFont="1" applyBorder="1" applyAlignment="1">
      <alignment horizontal="center"/>
    </xf>
    <xf numFmtId="0" fontId="1" fillId="0" borderId="25" xfId="0" applyFont="1" applyBorder="1" applyAlignment="1">
      <alignment horizontal="center"/>
    </xf>
    <xf numFmtId="1" fontId="1" fillId="0" borderId="24" xfId="0" applyNumberFormat="1" applyFont="1" applyBorder="1" applyAlignment="1">
      <alignment horizontal="center"/>
    </xf>
    <xf numFmtId="1" fontId="1" fillId="0" borderId="25" xfId="0" applyNumberFormat="1" applyFont="1" applyBorder="1" applyAlignment="1">
      <alignment horizontal="center"/>
    </xf>
    <xf numFmtId="1" fontId="1" fillId="0" borderId="26" xfId="0" applyNumberFormat="1" applyFont="1" applyBorder="1" applyAlignment="1">
      <alignment horizontal="center"/>
    </xf>
    <xf numFmtId="1" fontId="1" fillId="0" borderId="24" xfId="0" applyNumberFormat="1" applyFont="1" applyBorder="1"/>
    <xf numFmtId="1" fontId="1" fillId="0" borderId="25" xfId="0" applyNumberFormat="1" applyFont="1" applyBorder="1"/>
    <xf numFmtId="1" fontId="1" fillId="2" borderId="27" xfId="0" applyNumberFormat="1" applyFont="1" applyFill="1" applyBorder="1" applyProtection="1">
      <protection locked="0"/>
    </xf>
    <xf numFmtId="0" fontId="1" fillId="0" borderId="19" xfId="0" applyFont="1" applyBorder="1"/>
    <xf numFmtId="166" fontId="1" fillId="0" borderId="0" xfId="0" applyNumberFormat="1" applyFont="1"/>
    <xf numFmtId="1" fontId="1" fillId="0" borderId="20" xfId="0" applyNumberFormat="1" applyFont="1" applyBorder="1"/>
    <xf numFmtId="0" fontId="2" fillId="7" borderId="7" xfId="0" applyFont="1" applyFill="1" applyBorder="1"/>
    <xf numFmtId="0" fontId="1" fillId="0" borderId="28" xfId="0" applyFont="1" applyBorder="1"/>
    <xf numFmtId="0" fontId="1" fillId="0" borderId="29" xfId="0" applyFont="1" applyBorder="1"/>
    <xf numFmtId="0" fontId="1" fillId="0" borderId="28" xfId="0" applyFont="1" applyBorder="1" applyAlignment="1">
      <alignment horizontal="center"/>
    </xf>
    <xf numFmtId="0" fontId="1" fillId="0" borderId="29" xfId="0" applyFont="1" applyBorder="1" applyAlignment="1">
      <alignment horizontal="center"/>
    </xf>
    <xf numFmtId="1" fontId="1" fillId="0" borderId="28" xfId="0" applyNumberFormat="1" applyFont="1" applyBorder="1" applyAlignment="1">
      <alignment horizontal="center"/>
    </xf>
    <xf numFmtId="1" fontId="1" fillId="0" borderId="29" xfId="0" applyNumberFormat="1" applyFont="1" applyBorder="1" applyAlignment="1">
      <alignment horizontal="center"/>
    </xf>
    <xf numFmtId="1" fontId="1" fillId="0" borderId="30" xfId="0" applyNumberFormat="1" applyFont="1" applyBorder="1" applyAlignment="1">
      <alignment horizontal="center"/>
    </xf>
    <xf numFmtId="1" fontId="1" fillId="0" borderId="28" xfId="0" applyNumberFormat="1" applyFont="1" applyBorder="1"/>
    <xf numFmtId="1" fontId="1" fillId="0" borderId="29" xfId="0" applyNumberFormat="1" applyFont="1" applyBorder="1"/>
    <xf numFmtId="1" fontId="1" fillId="2" borderId="18" xfId="0" applyNumberFormat="1" applyFont="1" applyFill="1" applyBorder="1" applyProtection="1">
      <protection locked="0"/>
    </xf>
    <xf numFmtId="0" fontId="2" fillId="8" borderId="7" xfId="0" applyFont="1" applyFill="1" applyBorder="1"/>
    <xf numFmtId="0" fontId="1" fillId="2" borderId="4" xfId="0" applyFont="1" applyFill="1" applyBorder="1" applyAlignment="1" applyProtection="1">
      <alignment horizontal="center"/>
      <protection locked="0"/>
    </xf>
    <xf numFmtId="0" fontId="1" fillId="2" borderId="6" xfId="0" applyFont="1" applyFill="1" applyBorder="1" applyAlignment="1" applyProtection="1">
      <alignment horizontal="center"/>
      <protection locked="0"/>
    </xf>
    <xf numFmtId="0" fontId="1" fillId="0" borderId="31" xfId="0" applyFont="1" applyBorder="1"/>
    <xf numFmtId="0" fontId="1" fillId="0" borderId="32" xfId="0" applyFont="1" applyBorder="1"/>
    <xf numFmtId="0" fontId="1" fillId="0" borderId="31" xfId="0" applyFont="1" applyBorder="1" applyAlignment="1">
      <alignment horizontal="center"/>
    </xf>
    <xf numFmtId="0" fontId="1" fillId="0" borderId="32" xfId="0" applyFont="1" applyBorder="1" applyAlignment="1">
      <alignment horizontal="center"/>
    </xf>
    <xf numFmtId="1" fontId="1" fillId="0" borderId="31" xfId="0" applyNumberFormat="1" applyFont="1" applyBorder="1" applyAlignment="1">
      <alignment horizontal="center"/>
    </xf>
    <xf numFmtId="1" fontId="1" fillId="0" borderId="32" xfId="0" applyNumberFormat="1" applyFont="1" applyBorder="1" applyAlignment="1">
      <alignment horizontal="center"/>
    </xf>
    <xf numFmtId="1" fontId="1" fillId="0" borderId="33" xfId="0" applyNumberFormat="1" applyFont="1" applyBorder="1" applyAlignment="1">
      <alignment horizontal="center"/>
    </xf>
    <xf numFmtId="1" fontId="1" fillId="0" borderId="31" xfId="0" applyNumberFormat="1" applyFont="1" applyBorder="1"/>
    <xf numFmtId="1" fontId="1" fillId="0" borderId="32" xfId="0" applyNumberFormat="1" applyFont="1" applyBorder="1"/>
    <xf numFmtId="1" fontId="1" fillId="2" borderId="34" xfId="0" applyNumberFormat="1" applyFont="1" applyFill="1" applyBorder="1" applyProtection="1">
      <protection locked="0"/>
    </xf>
    <xf numFmtId="0" fontId="1" fillId="0" borderId="4" xfId="0" applyFont="1" applyBorder="1"/>
    <xf numFmtId="166" fontId="1" fillId="0" borderId="5" xfId="0" applyNumberFormat="1" applyFont="1" applyBorder="1"/>
    <xf numFmtId="1" fontId="1" fillId="0" borderId="6" xfId="0" applyNumberFormat="1" applyFont="1" applyBorder="1"/>
    <xf numFmtId="0" fontId="1" fillId="0" borderId="13" xfId="0" applyFont="1" applyBorder="1"/>
    <xf numFmtId="0" fontId="1" fillId="0" borderId="20" xfId="0" applyFont="1" applyBorder="1"/>
    <xf numFmtId="1" fontId="1" fillId="0" borderId="13" xfId="0" applyNumberFormat="1" applyFont="1" applyBorder="1" applyAlignment="1">
      <alignment horizontal="center"/>
    </xf>
    <xf numFmtId="0" fontId="1" fillId="0" borderId="13" xfId="0" applyFont="1" applyBorder="1" applyAlignment="1">
      <alignment horizontal="center"/>
    </xf>
    <xf numFmtId="0" fontId="1" fillId="0" borderId="14" xfId="0" applyFont="1" applyBorder="1" applyAlignment="1">
      <alignment horizontal="center"/>
    </xf>
    <xf numFmtId="0" fontId="1" fillId="5" borderId="39" xfId="0" applyFont="1" applyFill="1" applyBorder="1"/>
    <xf numFmtId="0" fontId="1" fillId="5" borderId="0" xfId="0" applyFont="1" applyFill="1"/>
    <xf numFmtId="0" fontId="1" fillId="0" borderId="0" xfId="0" applyFont="1" applyAlignment="1">
      <alignment horizontal="right"/>
    </xf>
    <xf numFmtId="0" fontId="1" fillId="0" borderId="40" xfId="0" applyFont="1" applyBorder="1" applyAlignment="1">
      <alignment horizontal="left"/>
    </xf>
    <xf numFmtId="0" fontId="1" fillId="6" borderId="39" xfId="0" applyFont="1" applyFill="1" applyBorder="1"/>
    <xf numFmtId="0" fontId="1" fillId="6" borderId="0" xfId="0" applyFont="1" applyFill="1"/>
    <xf numFmtId="0" fontId="1" fillId="7" borderId="39" xfId="0" applyFont="1" applyFill="1" applyBorder="1"/>
    <xf numFmtId="0" fontId="1" fillId="7" borderId="0" xfId="0" applyFont="1" applyFill="1"/>
    <xf numFmtId="0" fontId="1" fillId="8" borderId="39" xfId="0" applyFont="1" applyFill="1" applyBorder="1"/>
    <xf numFmtId="0" fontId="1" fillId="8" borderId="0" xfId="0" applyFont="1" applyFill="1"/>
    <xf numFmtId="0" fontId="1" fillId="0" borderId="39" xfId="0" applyFont="1" applyBorder="1"/>
    <xf numFmtId="0" fontId="1" fillId="0" borderId="40" xfId="0" applyFont="1" applyBorder="1"/>
    <xf numFmtId="0" fontId="1" fillId="5" borderId="41" xfId="0" applyFont="1" applyFill="1" applyBorder="1"/>
    <xf numFmtId="0" fontId="1" fillId="5" borderId="2" xfId="0" applyFont="1" applyFill="1" applyBorder="1"/>
    <xf numFmtId="0" fontId="1" fillId="8" borderId="42" xfId="0" applyFont="1" applyFill="1" applyBorder="1"/>
    <xf numFmtId="0" fontId="1" fillId="8" borderId="43" xfId="0" applyFont="1" applyFill="1" applyBorder="1"/>
    <xf numFmtId="0" fontId="1" fillId="0" borderId="43" xfId="0" applyFont="1" applyBorder="1" applyAlignment="1">
      <alignment horizontal="right"/>
    </xf>
    <xf numFmtId="0" fontId="1" fillId="0" borderId="43" xfId="0" applyFont="1" applyBorder="1"/>
    <xf numFmtId="0" fontId="1" fillId="0" borderId="44" xfId="0" applyFont="1" applyBorder="1" applyAlignment="1">
      <alignment horizontal="left"/>
    </xf>
    <xf numFmtId="0" fontId="20" fillId="0" borderId="0" xfId="0" applyFont="1"/>
    <xf numFmtId="0" fontId="21" fillId="0" borderId="0" xfId="0" applyFont="1" applyAlignment="1">
      <alignment vertical="top"/>
    </xf>
    <xf numFmtId="0" fontId="22" fillId="0" borderId="0" xfId="0" applyFont="1" applyAlignment="1">
      <alignment horizontal="center" vertical="center"/>
    </xf>
    <xf numFmtId="1" fontId="20" fillId="0" borderId="0" xfId="0" applyNumberFormat="1" applyFont="1"/>
    <xf numFmtId="0" fontId="20" fillId="0" borderId="3" xfId="0" applyFont="1" applyBorder="1"/>
    <xf numFmtId="0" fontId="20" fillId="0" borderId="2" xfId="0" applyFont="1" applyBorder="1"/>
    <xf numFmtId="0" fontId="25" fillId="0" borderId="0" xfId="0" applyFont="1"/>
    <xf numFmtId="0" fontId="20" fillId="2" borderId="16" xfId="0" applyFont="1" applyFill="1" applyBorder="1" applyProtection="1">
      <protection locked="0"/>
    </xf>
    <xf numFmtId="0" fontId="20" fillId="5" borderId="0" xfId="0" applyFont="1" applyFill="1"/>
    <xf numFmtId="0" fontId="20" fillId="6" borderId="0" xfId="0" applyFont="1" applyFill="1"/>
    <xf numFmtId="0" fontId="20" fillId="7" borderId="0" xfId="0" applyFont="1" applyFill="1"/>
    <xf numFmtId="0" fontId="20" fillId="8" borderId="0" xfId="0" applyFont="1" applyFill="1"/>
    <xf numFmtId="0" fontId="21" fillId="5" borderId="1" xfId="0" applyFont="1" applyFill="1" applyBorder="1" applyAlignment="1">
      <alignment vertical="center"/>
    </xf>
    <xf numFmtId="0" fontId="20" fillId="0" borderId="6" xfId="0" applyFont="1" applyBorder="1"/>
    <xf numFmtId="0" fontId="26" fillId="0" borderId="45" xfId="0" applyFont="1" applyBorder="1" applyAlignment="1">
      <alignment vertical="center"/>
    </xf>
    <xf numFmtId="0" fontId="20" fillId="0" borderId="47" xfId="0" applyFont="1" applyBorder="1"/>
    <xf numFmtId="0" fontId="21" fillId="0" borderId="17" xfId="0" applyFont="1" applyBorder="1" applyAlignment="1">
      <alignment wrapText="1"/>
    </xf>
    <xf numFmtId="0" fontId="20" fillId="0" borderId="16" xfId="0" applyFont="1" applyBorder="1"/>
    <xf numFmtId="0" fontId="21" fillId="0" borderId="16" xfId="0" applyFont="1" applyBorder="1" applyAlignment="1">
      <alignment wrapText="1"/>
    </xf>
    <xf numFmtId="0" fontId="22" fillId="0" borderId="16" xfId="0" applyFont="1" applyBorder="1" applyAlignment="1">
      <alignment horizontal="center" vertical="center"/>
    </xf>
    <xf numFmtId="0" fontId="20" fillId="0" borderId="51" xfId="0" applyFont="1" applyBorder="1"/>
    <xf numFmtId="0" fontId="20" fillId="9" borderId="51" xfId="0" applyFont="1" applyFill="1" applyBorder="1"/>
    <xf numFmtId="0" fontId="20" fillId="0" borderId="48" xfId="0" applyFont="1" applyBorder="1"/>
    <xf numFmtId="0" fontId="20" fillId="0" borderId="52" xfId="0" applyFont="1" applyBorder="1"/>
    <xf numFmtId="0" fontId="20" fillId="0" borderId="45" xfId="0" applyFont="1" applyBorder="1" applyAlignment="1">
      <alignment horizontal="center" vertical="center"/>
    </xf>
    <xf numFmtId="0" fontId="20" fillId="0" borderId="53" xfId="0" applyFont="1" applyBorder="1"/>
    <xf numFmtId="0" fontId="20" fillId="0" borderId="54" xfId="0" applyFont="1" applyBorder="1" applyAlignment="1">
      <alignment horizontal="center" vertical="center"/>
    </xf>
    <xf numFmtId="0" fontId="20" fillId="0" borderId="55" xfId="0" applyFont="1" applyBorder="1"/>
    <xf numFmtId="0" fontId="20" fillId="9" borderId="55" xfId="0" applyFont="1" applyFill="1" applyBorder="1"/>
    <xf numFmtId="0" fontId="20" fillId="0" borderId="56" xfId="0" applyFont="1" applyBorder="1"/>
    <xf numFmtId="0" fontId="20" fillId="0" borderId="57" xfId="0" applyFont="1" applyBorder="1"/>
    <xf numFmtId="0" fontId="20" fillId="0" borderId="1" xfId="0" applyFont="1" applyBorder="1"/>
    <xf numFmtId="0" fontId="22" fillId="0" borderId="17" xfId="0" applyFont="1" applyBorder="1" applyAlignment="1">
      <alignment vertical="center"/>
    </xf>
    <xf numFmtId="0" fontId="22" fillId="0" borderId="19" xfId="0" applyFont="1" applyBorder="1" applyAlignment="1">
      <alignment vertical="center"/>
    </xf>
    <xf numFmtId="0" fontId="20" fillId="0" borderId="8" xfId="0" applyFont="1" applyBorder="1"/>
    <xf numFmtId="0" fontId="20" fillId="0" borderId="17" xfId="0" applyFont="1" applyBorder="1"/>
    <xf numFmtId="0" fontId="21" fillId="0" borderId="1" xfId="0" applyFont="1" applyBorder="1"/>
    <xf numFmtId="0" fontId="21" fillId="0" borderId="4" xfId="0" applyFont="1" applyBorder="1" applyAlignment="1">
      <alignment vertical="top"/>
    </xf>
    <xf numFmtId="0" fontId="20" fillId="0" borderId="5" xfId="0" applyFont="1" applyBorder="1"/>
    <xf numFmtId="0" fontId="21" fillId="0" borderId="19" xfId="0" applyFont="1" applyBorder="1"/>
    <xf numFmtId="0" fontId="20" fillId="0" borderId="20" xfId="0" applyFont="1" applyBorder="1"/>
    <xf numFmtId="0" fontId="22" fillId="0" borderId="0" xfId="0" applyFont="1" applyAlignment="1">
      <alignment vertical="center"/>
    </xf>
    <xf numFmtId="0" fontId="21" fillId="0" borderId="19" xfId="0" applyFont="1" applyBorder="1" applyAlignment="1">
      <alignment vertical="top"/>
    </xf>
    <xf numFmtId="0" fontId="22" fillId="0" borderId="5" xfId="0" applyFont="1" applyBorder="1" applyAlignment="1">
      <alignment horizontal="center" vertical="center"/>
    </xf>
    <xf numFmtId="0" fontId="21" fillId="0" borderId="5" xfId="0" applyFont="1" applyBorder="1" applyAlignment="1">
      <alignment vertical="top"/>
    </xf>
    <xf numFmtId="0" fontId="21" fillId="0" borderId="2" xfId="0" applyFont="1" applyBorder="1" applyAlignment="1">
      <alignment vertical="top"/>
    </xf>
    <xf numFmtId="0" fontId="22" fillId="0" borderId="0" xfId="0" applyFont="1"/>
    <xf numFmtId="0" fontId="21" fillId="6" borderId="1" xfId="0" applyFont="1" applyFill="1" applyBorder="1" applyAlignment="1">
      <alignment vertical="center"/>
    </xf>
    <xf numFmtId="0" fontId="21" fillId="0" borderId="1" xfId="0" applyFont="1" applyBorder="1" applyAlignment="1">
      <alignment vertical="top"/>
    </xf>
    <xf numFmtId="0" fontId="21" fillId="7" borderId="1" xfId="0" applyFont="1" applyFill="1" applyBorder="1" applyAlignment="1">
      <alignment vertical="center"/>
    </xf>
    <xf numFmtId="0" fontId="21" fillId="8" borderId="1" xfId="0" applyFont="1" applyFill="1" applyBorder="1" applyAlignment="1">
      <alignment vertical="center"/>
    </xf>
    <xf numFmtId="0" fontId="20" fillId="0" borderId="45" xfId="0" applyFont="1" applyBorder="1"/>
    <xf numFmtId="0" fontId="27" fillId="0" borderId="0" xfId="0" applyFont="1"/>
    <xf numFmtId="0" fontId="29" fillId="9" borderId="0" xfId="0" applyFont="1" applyFill="1" applyProtection="1">
      <protection locked="0"/>
    </xf>
    <xf numFmtId="0" fontId="29" fillId="10" borderId="45" xfId="0" applyFont="1" applyFill="1" applyBorder="1"/>
    <xf numFmtId="0" fontId="29" fillId="10" borderId="47" xfId="0" applyFont="1" applyFill="1" applyBorder="1"/>
    <xf numFmtId="0" fontId="0" fillId="10" borderId="48" xfId="0" applyFill="1" applyBorder="1"/>
    <xf numFmtId="0" fontId="0" fillId="0" borderId="16" xfId="0" applyBorder="1"/>
    <xf numFmtId="0" fontId="0" fillId="0" borderId="16" xfId="0" applyBorder="1" applyAlignment="1">
      <alignment vertical="center"/>
    </xf>
    <xf numFmtId="0" fontId="29" fillId="9" borderId="0" xfId="0" applyFont="1" applyFill="1"/>
    <xf numFmtId="0" fontId="30" fillId="2" borderId="0" xfId="0" applyFont="1" applyFill="1"/>
    <xf numFmtId="0" fontId="31" fillId="0" borderId="0" xfId="0" applyFont="1"/>
    <xf numFmtId="0" fontId="30" fillId="0" borderId="0" xfId="0" applyFont="1"/>
    <xf numFmtId="0" fontId="1" fillId="0" borderId="8" xfId="0" applyFont="1" applyBorder="1" applyAlignment="1">
      <alignment horizontal="center"/>
    </xf>
    <xf numFmtId="0" fontId="0" fillId="0" borderId="22" xfId="0" applyBorder="1"/>
    <xf numFmtId="0" fontId="1" fillId="0" borderId="18" xfId="0" applyFont="1" applyBorder="1" applyAlignment="1">
      <alignment horizontal="center"/>
    </xf>
    <xf numFmtId="0" fontId="0" fillId="0" borderId="18" xfId="0" applyBorder="1"/>
    <xf numFmtId="0" fontId="2" fillId="0" borderId="22" xfId="0" applyFont="1" applyBorder="1" applyAlignment="1">
      <alignment horizontal="center"/>
    </xf>
    <xf numFmtId="0" fontId="0" fillId="0" borderId="23" xfId="0" applyBorder="1"/>
    <xf numFmtId="1" fontId="1" fillId="0" borderId="0" xfId="0" applyNumberFormat="1" applyFont="1" applyAlignment="1">
      <alignment horizontal="center"/>
    </xf>
    <xf numFmtId="0" fontId="1" fillId="0" borderId="0" xfId="0" applyFont="1" applyAlignment="1">
      <alignment horizontal="center"/>
    </xf>
    <xf numFmtId="0" fontId="2" fillId="0" borderId="9" xfId="0" applyFont="1" applyBorder="1" applyAlignment="1">
      <alignment horizontal="center"/>
    </xf>
    <xf numFmtId="0" fontId="0" fillId="0" borderId="10" xfId="0" applyBorder="1"/>
    <xf numFmtId="0" fontId="1" fillId="0" borderId="0" xfId="0" applyFont="1" applyAlignment="1">
      <alignment horizontal="left" vertical="top" wrapText="1"/>
    </xf>
    <xf numFmtId="0" fontId="1" fillId="0" borderId="0" xfId="0" applyFont="1"/>
    <xf numFmtId="0" fontId="11" fillId="3" borderId="8" xfId="0" applyFont="1" applyFill="1" applyBorder="1" applyAlignment="1" applyProtection="1">
      <alignment horizontal="center" vertical="center"/>
      <protection locked="0"/>
    </xf>
    <xf numFmtId="0" fontId="0" fillId="0" borderId="23" xfId="0" applyBorder="1" applyProtection="1">
      <protection locked="0"/>
    </xf>
    <xf numFmtId="0" fontId="0" fillId="0" borderId="22" xfId="0" applyBorder="1" applyProtection="1">
      <protection locked="0"/>
    </xf>
    <xf numFmtId="0" fontId="4" fillId="0" borderId="15" xfId="0" applyFont="1" applyBorder="1" applyAlignment="1" applyProtection="1">
      <alignment horizontal="center"/>
      <protection locked="0"/>
    </xf>
    <xf numFmtId="0" fontId="0" fillId="0" borderId="47" xfId="0" applyBorder="1" applyProtection="1">
      <protection locked="0"/>
    </xf>
    <xf numFmtId="0" fontId="0" fillId="0" borderId="65" xfId="0" applyBorder="1" applyProtection="1">
      <protection locked="0"/>
    </xf>
    <xf numFmtId="0" fontId="9" fillId="0" borderId="8" xfId="0" applyFont="1" applyBorder="1" applyAlignment="1">
      <alignment horizontal="center"/>
    </xf>
    <xf numFmtId="0" fontId="9" fillId="0" borderId="0" xfId="0" applyFont="1" applyAlignment="1">
      <alignment horizontal="center" vertical="center"/>
    </xf>
    <xf numFmtId="0" fontId="0" fillId="0" borderId="0" xfId="0"/>
    <xf numFmtId="0" fontId="0" fillId="0" borderId="0" xfId="0" applyAlignment="1">
      <alignment horizontal="left"/>
    </xf>
    <xf numFmtId="0" fontId="9" fillId="0" borderId="16" xfId="0" applyFont="1" applyBorder="1" applyAlignment="1">
      <alignment horizontal="right" vertical="center"/>
    </xf>
    <xf numFmtId="0" fontId="0" fillId="0" borderId="48" xfId="0" applyBorder="1"/>
    <xf numFmtId="0" fontId="11" fillId="0" borderId="0" xfId="0" applyFont="1" applyAlignment="1">
      <alignment horizontal="center"/>
    </xf>
    <xf numFmtId="0" fontId="17" fillId="0" borderId="0" xfId="0" applyFont="1" applyAlignment="1">
      <alignment horizontal="center"/>
    </xf>
    <xf numFmtId="165" fontId="17" fillId="0" borderId="0" xfId="0" applyNumberFormat="1" applyFont="1" applyAlignment="1">
      <alignment horizontal="center"/>
    </xf>
    <xf numFmtId="0" fontId="19" fillId="0" borderId="38" xfId="0" applyFont="1" applyBorder="1" applyAlignment="1">
      <alignment horizontal="center"/>
    </xf>
    <xf numFmtId="0" fontId="0" fillId="0" borderId="47" xfId="0" applyBorder="1"/>
    <xf numFmtId="0" fontId="0" fillId="0" borderId="53" xfId="0" applyBorder="1"/>
    <xf numFmtId="167" fontId="1" fillId="0" borderId="37" xfId="0" applyNumberFormat="1" applyFont="1" applyBorder="1" applyAlignment="1">
      <alignment horizontal="center"/>
    </xf>
    <xf numFmtId="0" fontId="0" fillId="0" borderId="5" xfId="0" applyBorder="1"/>
    <xf numFmtId="0" fontId="0" fillId="0" borderId="68" xfId="0" applyBorder="1"/>
    <xf numFmtId="0" fontId="18" fillId="0" borderId="35" xfId="0" applyFont="1" applyBorder="1" applyAlignment="1">
      <alignment horizontal="center"/>
    </xf>
    <xf numFmtId="0" fontId="0" fillId="0" borderId="66" xfId="0" applyBorder="1"/>
    <xf numFmtId="0" fontId="0" fillId="0" borderId="67" xfId="0" applyBorder="1"/>
    <xf numFmtId="0" fontId="1" fillId="0" borderId="36" xfId="0" applyFont="1" applyBorder="1" applyAlignment="1">
      <alignment horizontal="center"/>
    </xf>
    <xf numFmtId="0" fontId="0" fillId="0" borderId="40" xfId="0" applyBorder="1"/>
    <xf numFmtId="0" fontId="20" fillId="0" borderId="49" xfId="0" applyFont="1" applyBorder="1" applyAlignment="1">
      <alignment horizontal="center" vertical="center"/>
    </xf>
    <xf numFmtId="0" fontId="22" fillId="0" borderId="49" xfId="0" applyFont="1" applyBorder="1" applyAlignment="1">
      <alignment horizontal="center" vertical="center"/>
    </xf>
    <xf numFmtId="0" fontId="25" fillId="0" borderId="2" xfId="0" applyFont="1" applyBorder="1" applyAlignment="1">
      <alignment horizontal="center"/>
    </xf>
    <xf numFmtId="0" fontId="0" fillId="0" borderId="2" xfId="0" applyBorder="1"/>
    <xf numFmtId="0" fontId="15" fillId="0" borderId="20" xfId="0" applyFont="1" applyBorder="1" applyAlignment="1">
      <alignment horizontal="center"/>
    </xf>
    <xf numFmtId="0" fontId="20" fillId="0" borderId="0" xfId="0" applyFont="1"/>
    <xf numFmtId="0" fontId="0" fillId="0" borderId="20" xfId="0" applyBorder="1"/>
    <xf numFmtId="0" fontId="24" fillId="0" borderId="45" xfId="0" applyFont="1" applyBorder="1" applyAlignment="1">
      <alignment horizontal="center" vertical="center"/>
    </xf>
    <xf numFmtId="0" fontId="24" fillId="0" borderId="47" xfId="0" applyFont="1" applyBorder="1" applyAlignment="1">
      <alignment horizontal="left" vertical="center" wrapText="1"/>
    </xf>
    <xf numFmtId="0" fontId="15" fillId="0" borderId="20" xfId="0" applyFont="1" applyBorder="1" applyAlignment="1">
      <alignment horizontal="center" vertical="center" wrapText="1"/>
    </xf>
    <xf numFmtId="0" fontId="20" fillId="0" borderId="58" xfId="0" applyFont="1" applyBorder="1" applyAlignment="1">
      <alignment horizontal="center" vertical="center"/>
    </xf>
    <xf numFmtId="0" fontId="0" fillId="0" borderId="69" xfId="0" applyBorder="1"/>
    <xf numFmtId="0" fontId="22" fillId="0" borderId="50" xfId="0" applyFont="1" applyBorder="1" applyAlignment="1">
      <alignment horizontal="center" vertical="center"/>
    </xf>
    <xf numFmtId="0" fontId="20" fillId="0" borderId="50" xfId="0" applyFont="1" applyBorder="1" applyAlignment="1">
      <alignment horizontal="center" vertical="center"/>
    </xf>
    <xf numFmtId="0" fontId="22" fillId="0" borderId="5" xfId="0" applyFont="1" applyBorder="1" applyAlignment="1">
      <alignment horizontal="center" vertical="center"/>
    </xf>
    <xf numFmtId="0" fontId="22" fillId="0" borderId="0" xfId="0" applyFont="1" applyAlignment="1">
      <alignment horizontal="center" vertical="center"/>
    </xf>
    <xf numFmtId="0" fontId="24" fillId="0" borderId="47" xfId="0" applyFont="1" applyBorder="1" applyAlignment="1">
      <alignment horizontal="center" vertical="center" wrapText="1"/>
    </xf>
    <xf numFmtId="0" fontId="20" fillId="0" borderId="59" xfId="0" applyFont="1" applyBorder="1" applyAlignment="1">
      <alignment horizontal="center" vertical="center"/>
    </xf>
    <xf numFmtId="0" fontId="0" fillId="0" borderId="70" xfId="0" applyBorder="1"/>
    <xf numFmtId="0" fontId="21" fillId="7" borderId="2" xfId="0" applyFont="1" applyFill="1" applyBorder="1" applyAlignment="1">
      <alignment horizontal="center" vertical="center"/>
    </xf>
    <xf numFmtId="0" fontId="21" fillId="8" borderId="2" xfId="0" applyFont="1" applyFill="1" applyBorder="1" applyAlignment="1">
      <alignment horizontal="center" vertical="center"/>
    </xf>
    <xf numFmtId="0" fontId="21" fillId="8" borderId="4" xfId="0" applyFont="1" applyFill="1" applyBorder="1" applyAlignment="1">
      <alignment horizontal="center" vertical="center"/>
    </xf>
    <xf numFmtId="0" fontId="23" fillId="0" borderId="16" xfId="0" applyFont="1" applyBorder="1" applyAlignment="1">
      <alignment horizontal="right" vertical="center" textRotation="255"/>
    </xf>
    <xf numFmtId="0" fontId="0" fillId="0" borderId="3" xfId="0" applyBorder="1"/>
    <xf numFmtId="0" fontId="0" fillId="0" borderId="19" xfId="0" applyBorder="1"/>
    <xf numFmtId="0" fontId="0" fillId="0" borderId="4" xfId="0" applyBorder="1"/>
    <xf numFmtId="0" fontId="0" fillId="0" borderId="6" xfId="0" applyBorder="1"/>
    <xf numFmtId="0" fontId="20" fillId="0" borderId="60" xfId="0" applyFont="1" applyBorder="1" applyAlignment="1">
      <alignment horizontal="center" vertical="center"/>
    </xf>
    <xf numFmtId="0" fontId="0" fillId="0" borderId="71" xfId="0" applyBorder="1"/>
    <xf numFmtId="0" fontId="20" fillId="0" borderId="61" xfId="0" applyFont="1" applyBorder="1" applyAlignment="1">
      <alignment horizontal="center" vertical="center"/>
    </xf>
    <xf numFmtId="0" fontId="24" fillId="0" borderId="48" xfId="0" applyFont="1" applyBorder="1" applyAlignment="1">
      <alignment horizontal="left" vertical="center" wrapText="1"/>
    </xf>
    <xf numFmtId="0" fontId="15" fillId="0" borderId="46" xfId="0" applyFont="1" applyBorder="1" applyAlignment="1">
      <alignment horizontal="center" vertical="center" wrapText="1"/>
    </xf>
    <xf numFmtId="0" fontId="15" fillId="0" borderId="46" xfId="0" applyFont="1" applyBorder="1" applyAlignment="1">
      <alignment horizontal="center"/>
    </xf>
    <xf numFmtId="0" fontId="21" fillId="7" borderId="4" xfId="0" applyFont="1" applyFill="1" applyBorder="1" applyAlignment="1">
      <alignment horizontal="center" vertical="center"/>
    </xf>
    <xf numFmtId="0" fontId="21" fillId="5" borderId="2" xfId="0" applyFont="1" applyFill="1" applyBorder="1" applyAlignment="1">
      <alignment horizontal="center" vertical="center"/>
    </xf>
    <xf numFmtId="0" fontId="21" fillId="6" borderId="2" xfId="0" applyFont="1" applyFill="1" applyBorder="1" applyAlignment="1">
      <alignment horizontal="center" vertical="center"/>
    </xf>
    <xf numFmtId="0" fontId="21" fillId="6" borderId="4" xfId="0" applyFont="1" applyFill="1" applyBorder="1" applyAlignment="1">
      <alignment horizontal="center" vertical="center"/>
    </xf>
    <xf numFmtId="0" fontId="21" fillId="5" borderId="4" xfId="0" applyFont="1" applyFill="1" applyBorder="1" applyAlignment="1">
      <alignment horizontal="center" vertical="center"/>
    </xf>
    <xf numFmtId="0" fontId="23" fillId="0" borderId="16" xfId="0" applyFont="1" applyBorder="1" applyAlignment="1">
      <alignment horizontal="center" vertical="center" textRotation="255"/>
    </xf>
    <xf numFmtId="165" fontId="21" fillId="7" borderId="2" xfId="0" applyNumberFormat="1" applyFont="1" applyFill="1" applyBorder="1" applyAlignment="1">
      <alignment horizontal="center" vertical="center"/>
    </xf>
    <xf numFmtId="165" fontId="21" fillId="8" borderId="2" xfId="0" applyNumberFormat="1" applyFont="1" applyFill="1" applyBorder="1" applyAlignment="1">
      <alignment horizontal="center" vertical="center"/>
    </xf>
    <xf numFmtId="0" fontId="20" fillId="0" borderId="48" xfId="0" applyFont="1" applyBorder="1" applyAlignment="1">
      <alignment horizontal="center"/>
    </xf>
    <xf numFmtId="165" fontId="21" fillId="6" borderId="2" xfId="0" applyNumberFormat="1" applyFont="1" applyFill="1" applyBorder="1" applyAlignment="1">
      <alignment horizontal="center" vertical="center"/>
    </xf>
    <xf numFmtId="165" fontId="21" fillId="5" borderId="2" xfId="0" applyNumberFormat="1" applyFont="1" applyFill="1" applyBorder="1" applyAlignment="1">
      <alignment horizontal="center" vertical="center"/>
    </xf>
    <xf numFmtId="0" fontId="27" fillId="0" borderId="63" xfId="0" applyFont="1" applyBorder="1" applyAlignment="1">
      <alignment horizontal="center"/>
    </xf>
    <xf numFmtId="0" fontId="27" fillId="0" borderId="62" xfId="0" applyFont="1" applyBorder="1" applyAlignment="1">
      <alignment horizontal="center" vertical="center"/>
    </xf>
    <xf numFmtId="0" fontId="0" fillId="0" borderId="11" xfId="0" applyBorder="1"/>
    <xf numFmtId="168" fontId="28" fillId="0" borderId="64" xfId="0" applyNumberFormat="1" applyFont="1" applyBorder="1" applyAlignment="1">
      <alignment horizontal="center"/>
    </xf>
    <xf numFmtId="0" fontId="0" fillId="0" borderId="13" xfId="0" applyBorder="1"/>
    <xf numFmtId="0" fontId="0" fillId="0" borderId="14" xfId="0" applyBorder="1"/>
    <xf numFmtId="1" fontId="9" fillId="2" borderId="17" xfId="0" quotePrefix="1" applyNumberFormat="1" applyFont="1" applyFill="1" applyBorder="1" applyAlignment="1" applyProtection="1">
      <alignment horizontal="center"/>
      <protection locked="0"/>
    </xf>
  </cellXfs>
  <cellStyles count="1">
    <cellStyle name="Standaard" xfId="0" builtinId="0"/>
  </cellStyles>
  <dxfs count="2">
    <dxf>
      <fill>
        <patternFill>
          <bgColor rgb="FFFF0000"/>
        </patternFill>
      </fill>
    </dxf>
    <dxf>
      <fill>
        <patternFill>
          <bgColor rgb="FFFF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2B2B2"/>
      <rgbColor rgb="FF808080"/>
      <rgbColor rgb="FF9999FF"/>
      <rgbColor rgb="FF993366"/>
      <rgbColor rgb="FFF2F2F2"/>
      <rgbColor rgb="FFCCFFFF"/>
      <rgbColor rgb="FF660066"/>
      <rgbColor rgb="FFFF8080"/>
      <rgbColor rgb="FF0066CC"/>
      <rgbColor rgb="FFC6D9F0"/>
      <rgbColor rgb="FF000080"/>
      <rgbColor rgb="FFFF00FF"/>
      <rgbColor rgb="FFFFFF00"/>
      <rgbColor rgb="FF00FFFF"/>
      <rgbColor rgb="FF800080"/>
      <rgbColor rgb="FF800000"/>
      <rgbColor rgb="FF008080"/>
      <rgbColor rgb="FF0000FF"/>
      <rgbColor rgb="FF00B0F0"/>
      <rgbColor rgb="FFCCFFFF"/>
      <rgbColor rgb="FFD9D9D9"/>
      <rgbColor rgb="FFFFFF99"/>
      <rgbColor rgb="FF99CCFF"/>
      <rgbColor rgb="FFFF99CC"/>
      <rgbColor rgb="FFCC99FF"/>
      <rgbColor rgb="FFD8D8D8"/>
      <rgbColor rgb="FF3366FF"/>
      <rgbColor rgb="FF33CCCC"/>
      <rgbColor rgb="FF99CC00"/>
      <rgbColor rgb="FFFFCC00"/>
      <rgbColor rgb="FFFF9900"/>
      <rgbColor rgb="FFFF6600"/>
      <rgbColor rgb="FF666699"/>
      <rgbColor rgb="FF969696"/>
      <rgbColor rgb="FF003366"/>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8640</xdr:colOff>
      <xdr:row>0</xdr:row>
      <xdr:rowOff>0</xdr:rowOff>
    </xdr:from>
    <xdr:to>
      <xdr:col>1</xdr:col>
      <xdr:colOff>246600</xdr:colOff>
      <xdr:row>2</xdr:row>
      <xdr:rowOff>55800</xdr:rowOff>
    </xdr:to>
    <xdr:pic>
      <xdr:nvPicPr>
        <xdr:cNvPr id="2" name="image1.png">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a:stretch>
          <a:fillRect/>
        </a:stretch>
      </xdr:blipFill>
      <xdr:spPr>
        <a:xfrm>
          <a:off x="8640" y="0"/>
          <a:ext cx="479160" cy="522360"/>
        </a:xfrm>
        <a:prstGeom prst="rect">
          <a:avLst/>
        </a:prstGeom>
        <a:noFill/>
        <a:ln w="0">
          <a:noFill/>
          <a:prstDash val="solid"/>
        </a:ln>
      </xdr:spPr>
    </xdr:pic>
    <xdr:clientData/>
  </xdr:twoCellAnchor>
  <xdr:twoCellAnchor editAs="oneCell">
    <xdr:from>
      <xdr:col>6</xdr:col>
      <xdr:colOff>578160</xdr:colOff>
      <xdr:row>0</xdr:row>
      <xdr:rowOff>0</xdr:rowOff>
    </xdr:from>
    <xdr:to>
      <xdr:col>6</xdr:col>
      <xdr:colOff>1057320</xdr:colOff>
      <xdr:row>2</xdr:row>
      <xdr:rowOff>55800</xdr:rowOff>
    </xdr:to>
    <xdr:pic>
      <xdr:nvPicPr>
        <xdr:cNvPr id="3" name="image1.png 9">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1"/>
        <a:stretch>
          <a:fillRect/>
        </a:stretch>
      </xdr:blipFill>
      <xdr:spPr>
        <a:xfrm>
          <a:off x="8312400" y="0"/>
          <a:ext cx="479160" cy="522360"/>
        </a:xfrm>
        <a:prstGeom prst="rect">
          <a:avLst/>
        </a:prstGeom>
        <a:noFill/>
        <a:ln w="0">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2140920</xdr:colOff>
      <xdr:row>0</xdr:row>
      <xdr:rowOff>36360</xdr:rowOff>
    </xdr:from>
    <xdr:to>
      <xdr:col>5</xdr:col>
      <xdr:colOff>2145240</xdr:colOff>
      <xdr:row>2</xdr:row>
      <xdr:rowOff>150480</xdr:rowOff>
    </xdr:to>
    <xdr:pic>
      <xdr:nvPicPr>
        <xdr:cNvPr id="2" name="image1.png">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a:stretch>
          <a:fillRect/>
        </a:stretch>
      </xdr:blipFill>
      <xdr:spPr>
        <a:xfrm>
          <a:off x="7043040" y="36360"/>
          <a:ext cx="4320" cy="552240"/>
        </a:xfrm>
        <a:prstGeom prst="rect">
          <a:avLst/>
        </a:prstGeom>
        <a:noFill/>
        <a:ln w="0">
          <a:noFill/>
          <a:prstDash val="solid"/>
        </a:ln>
      </xdr:spPr>
    </xdr:pic>
    <xdr:clientData/>
  </xdr:twoCellAnchor>
  <xdr:twoCellAnchor editAs="oneCell">
    <xdr:from>
      <xdr:col>0</xdr:col>
      <xdr:colOff>54720</xdr:colOff>
      <xdr:row>0</xdr:row>
      <xdr:rowOff>39600</xdr:rowOff>
    </xdr:from>
    <xdr:to>
      <xdr:col>1</xdr:col>
      <xdr:colOff>4320</xdr:colOff>
      <xdr:row>2</xdr:row>
      <xdr:rowOff>153720</xdr:rowOff>
    </xdr:to>
    <xdr:pic>
      <xdr:nvPicPr>
        <xdr:cNvPr id="3" name="image1.png 1">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1"/>
        <a:stretch>
          <a:fillRect/>
        </a:stretch>
      </xdr:blipFill>
      <xdr:spPr>
        <a:xfrm>
          <a:off x="54720" y="39600"/>
          <a:ext cx="622800" cy="552240"/>
        </a:xfrm>
        <a:prstGeom prst="rect">
          <a:avLst/>
        </a:prstGeom>
        <a:noFill/>
        <a:ln w="0">
          <a:noFill/>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47520</xdr:colOff>
      <xdr:row>0</xdr:row>
      <xdr:rowOff>162000</xdr:rowOff>
    </xdr:from>
    <xdr:to>
      <xdr:col>16</xdr:col>
      <xdr:colOff>259920</xdr:colOff>
      <xdr:row>3</xdr:row>
      <xdr:rowOff>167040</xdr:rowOff>
    </xdr:to>
    <xdr:pic>
      <xdr:nvPicPr>
        <xdr:cNvPr id="4" name="image1.png">
          <a:extLst>
            <a:ext uri="{FF2B5EF4-FFF2-40B4-BE49-F238E27FC236}">
              <a16:creationId xmlns:a16="http://schemas.microsoft.com/office/drawing/2014/main" id="{00000000-0008-0000-0600-000004000000}"/>
            </a:ext>
          </a:extLst>
        </xdr:cNvPr>
        <xdr:cNvPicPr/>
      </xdr:nvPicPr>
      <xdr:blipFill>
        <a:blip xmlns:r="http://schemas.openxmlformats.org/officeDocument/2006/relationships" r:embed="rId1"/>
        <a:stretch>
          <a:fillRect/>
        </a:stretch>
      </xdr:blipFill>
      <xdr:spPr>
        <a:xfrm>
          <a:off x="5381640" y="162000"/>
          <a:ext cx="491760" cy="567000"/>
        </a:xfrm>
        <a:prstGeom prst="rect">
          <a:avLst/>
        </a:prstGeom>
        <a:noFill/>
        <a:ln w="0">
          <a:noFill/>
          <a:prstDash val="solid"/>
        </a:ln>
      </xdr:spPr>
    </xdr:pic>
    <xdr:clientData/>
  </xdr:twoCellAnchor>
  <xdr:twoCellAnchor editAs="oneCell">
    <xdr:from>
      <xdr:col>0</xdr:col>
      <xdr:colOff>30240</xdr:colOff>
      <xdr:row>0</xdr:row>
      <xdr:rowOff>169560</xdr:rowOff>
    </xdr:from>
    <xdr:to>
      <xdr:col>1</xdr:col>
      <xdr:colOff>242640</xdr:colOff>
      <xdr:row>3</xdr:row>
      <xdr:rowOff>174600</xdr:rowOff>
    </xdr:to>
    <xdr:pic>
      <xdr:nvPicPr>
        <xdr:cNvPr id="5" name="image1.png 2">
          <a:extLst>
            <a:ext uri="{FF2B5EF4-FFF2-40B4-BE49-F238E27FC236}">
              <a16:creationId xmlns:a16="http://schemas.microsoft.com/office/drawing/2014/main" id="{00000000-0008-0000-0600-000005000000}"/>
            </a:ext>
          </a:extLst>
        </xdr:cNvPr>
        <xdr:cNvPicPr/>
      </xdr:nvPicPr>
      <xdr:blipFill>
        <a:blip xmlns:r="http://schemas.openxmlformats.org/officeDocument/2006/relationships" r:embed="rId1"/>
        <a:stretch>
          <a:fillRect/>
        </a:stretch>
      </xdr:blipFill>
      <xdr:spPr>
        <a:xfrm>
          <a:off x="30240" y="169560"/>
          <a:ext cx="491760" cy="567000"/>
        </a:xfrm>
        <a:prstGeom prst="rect">
          <a:avLst/>
        </a:prstGeom>
        <a:noFill/>
        <a:ln w="0">
          <a:noFill/>
          <a:prstDash val="solid"/>
        </a:ln>
      </xdr:spPr>
    </xdr:pic>
    <xdr:clientData/>
  </xdr:twoCellAnchor>
  <xdr:twoCellAnchor editAs="oneCell">
    <xdr:from>
      <xdr:col>15</xdr:col>
      <xdr:colOff>54360</xdr:colOff>
      <xdr:row>24</xdr:row>
      <xdr:rowOff>167040</xdr:rowOff>
    </xdr:from>
    <xdr:to>
      <xdr:col>16</xdr:col>
      <xdr:colOff>266760</xdr:colOff>
      <xdr:row>27</xdr:row>
      <xdr:rowOff>171720</xdr:rowOff>
    </xdr:to>
    <xdr:pic>
      <xdr:nvPicPr>
        <xdr:cNvPr id="6" name="image1.png 3">
          <a:extLst>
            <a:ext uri="{FF2B5EF4-FFF2-40B4-BE49-F238E27FC236}">
              <a16:creationId xmlns:a16="http://schemas.microsoft.com/office/drawing/2014/main" id="{00000000-0008-0000-0600-000006000000}"/>
            </a:ext>
          </a:extLst>
        </xdr:cNvPr>
        <xdr:cNvPicPr/>
      </xdr:nvPicPr>
      <xdr:blipFill>
        <a:blip xmlns:r="http://schemas.openxmlformats.org/officeDocument/2006/relationships" r:embed="rId1"/>
        <a:stretch>
          <a:fillRect/>
        </a:stretch>
      </xdr:blipFill>
      <xdr:spPr>
        <a:xfrm>
          <a:off x="5388480" y="5434200"/>
          <a:ext cx="491760" cy="567000"/>
        </a:xfrm>
        <a:prstGeom prst="rect">
          <a:avLst/>
        </a:prstGeom>
        <a:noFill/>
        <a:ln w="0">
          <a:noFill/>
          <a:prstDash val="solid"/>
        </a:ln>
      </xdr:spPr>
    </xdr:pic>
    <xdr:clientData/>
  </xdr:twoCellAnchor>
  <xdr:twoCellAnchor editAs="oneCell">
    <xdr:from>
      <xdr:col>0</xdr:col>
      <xdr:colOff>37080</xdr:colOff>
      <xdr:row>24</xdr:row>
      <xdr:rowOff>174600</xdr:rowOff>
    </xdr:from>
    <xdr:to>
      <xdr:col>1</xdr:col>
      <xdr:colOff>249480</xdr:colOff>
      <xdr:row>27</xdr:row>
      <xdr:rowOff>179280</xdr:rowOff>
    </xdr:to>
    <xdr:pic>
      <xdr:nvPicPr>
        <xdr:cNvPr id="7" name="image1.png 4">
          <a:extLst>
            <a:ext uri="{FF2B5EF4-FFF2-40B4-BE49-F238E27FC236}">
              <a16:creationId xmlns:a16="http://schemas.microsoft.com/office/drawing/2014/main" id="{00000000-0008-0000-0600-000007000000}"/>
            </a:ext>
          </a:extLst>
        </xdr:cNvPr>
        <xdr:cNvPicPr/>
      </xdr:nvPicPr>
      <xdr:blipFill>
        <a:blip xmlns:r="http://schemas.openxmlformats.org/officeDocument/2006/relationships" r:embed="rId1"/>
        <a:stretch>
          <a:fillRect/>
        </a:stretch>
      </xdr:blipFill>
      <xdr:spPr>
        <a:xfrm>
          <a:off x="37080" y="5441760"/>
          <a:ext cx="491760" cy="567000"/>
        </a:xfrm>
        <a:prstGeom prst="rect">
          <a:avLst/>
        </a:prstGeom>
        <a:noFill/>
        <a:ln w="0">
          <a:noFill/>
          <a:prstDash val="solid"/>
        </a:ln>
      </xdr:spPr>
    </xdr:pic>
    <xdr:clientData/>
  </xdr:twoCellAnchor>
  <xdr:twoCellAnchor editAs="oneCell">
    <xdr:from>
      <xdr:col>15</xdr:col>
      <xdr:colOff>70560</xdr:colOff>
      <xdr:row>48</xdr:row>
      <xdr:rowOff>176400</xdr:rowOff>
    </xdr:from>
    <xdr:to>
      <xdr:col>16</xdr:col>
      <xdr:colOff>282960</xdr:colOff>
      <xdr:row>51</xdr:row>
      <xdr:rowOff>172080</xdr:rowOff>
    </xdr:to>
    <xdr:pic>
      <xdr:nvPicPr>
        <xdr:cNvPr id="8" name="image1.png 5">
          <a:extLst>
            <a:ext uri="{FF2B5EF4-FFF2-40B4-BE49-F238E27FC236}">
              <a16:creationId xmlns:a16="http://schemas.microsoft.com/office/drawing/2014/main" id="{00000000-0008-0000-0600-000008000000}"/>
            </a:ext>
          </a:extLst>
        </xdr:cNvPr>
        <xdr:cNvPicPr/>
      </xdr:nvPicPr>
      <xdr:blipFill>
        <a:blip xmlns:r="http://schemas.openxmlformats.org/officeDocument/2006/relationships" r:embed="rId1"/>
        <a:stretch>
          <a:fillRect/>
        </a:stretch>
      </xdr:blipFill>
      <xdr:spPr>
        <a:xfrm>
          <a:off x="5404680" y="10711080"/>
          <a:ext cx="491760" cy="567000"/>
        </a:xfrm>
        <a:prstGeom prst="rect">
          <a:avLst/>
        </a:prstGeom>
        <a:noFill/>
        <a:ln w="0">
          <a:noFill/>
          <a:prstDash val="solid"/>
        </a:ln>
      </xdr:spPr>
    </xdr:pic>
    <xdr:clientData/>
  </xdr:twoCellAnchor>
  <xdr:twoCellAnchor editAs="oneCell">
    <xdr:from>
      <xdr:col>0</xdr:col>
      <xdr:colOff>53280</xdr:colOff>
      <xdr:row>48</xdr:row>
      <xdr:rowOff>183960</xdr:rowOff>
    </xdr:from>
    <xdr:to>
      <xdr:col>1</xdr:col>
      <xdr:colOff>265680</xdr:colOff>
      <xdr:row>51</xdr:row>
      <xdr:rowOff>179640</xdr:rowOff>
    </xdr:to>
    <xdr:pic>
      <xdr:nvPicPr>
        <xdr:cNvPr id="9" name="image1.png 6">
          <a:extLst>
            <a:ext uri="{FF2B5EF4-FFF2-40B4-BE49-F238E27FC236}">
              <a16:creationId xmlns:a16="http://schemas.microsoft.com/office/drawing/2014/main" id="{00000000-0008-0000-0600-000009000000}"/>
            </a:ext>
          </a:extLst>
        </xdr:cNvPr>
        <xdr:cNvPicPr/>
      </xdr:nvPicPr>
      <xdr:blipFill>
        <a:blip xmlns:r="http://schemas.openxmlformats.org/officeDocument/2006/relationships" r:embed="rId1"/>
        <a:stretch>
          <a:fillRect/>
        </a:stretch>
      </xdr:blipFill>
      <xdr:spPr>
        <a:xfrm>
          <a:off x="53280" y="10718640"/>
          <a:ext cx="491760" cy="567000"/>
        </a:xfrm>
        <a:prstGeom prst="rect">
          <a:avLst/>
        </a:prstGeom>
        <a:noFill/>
        <a:ln w="0">
          <a:noFill/>
          <a:prstDash val="solid"/>
        </a:ln>
      </xdr:spPr>
    </xdr:pic>
    <xdr:clientData/>
  </xdr:twoCellAnchor>
  <xdr:twoCellAnchor editAs="oneCell">
    <xdr:from>
      <xdr:col>15</xdr:col>
      <xdr:colOff>73440</xdr:colOff>
      <xdr:row>72</xdr:row>
      <xdr:rowOff>162360</xdr:rowOff>
    </xdr:from>
    <xdr:to>
      <xdr:col>16</xdr:col>
      <xdr:colOff>285840</xdr:colOff>
      <xdr:row>75</xdr:row>
      <xdr:rowOff>167400</xdr:rowOff>
    </xdr:to>
    <xdr:pic>
      <xdr:nvPicPr>
        <xdr:cNvPr id="10" name="image1.png 7">
          <a:extLst>
            <a:ext uri="{FF2B5EF4-FFF2-40B4-BE49-F238E27FC236}">
              <a16:creationId xmlns:a16="http://schemas.microsoft.com/office/drawing/2014/main" id="{00000000-0008-0000-0600-00000A000000}"/>
            </a:ext>
          </a:extLst>
        </xdr:cNvPr>
        <xdr:cNvPicPr/>
      </xdr:nvPicPr>
      <xdr:blipFill>
        <a:blip xmlns:r="http://schemas.openxmlformats.org/officeDocument/2006/relationships" r:embed="rId1"/>
        <a:stretch>
          <a:fillRect/>
        </a:stretch>
      </xdr:blipFill>
      <xdr:spPr>
        <a:xfrm>
          <a:off x="5407560" y="15973920"/>
          <a:ext cx="491760" cy="567000"/>
        </a:xfrm>
        <a:prstGeom prst="rect">
          <a:avLst/>
        </a:prstGeom>
        <a:noFill/>
        <a:ln w="0">
          <a:noFill/>
          <a:prstDash val="solid"/>
        </a:ln>
      </xdr:spPr>
    </xdr:pic>
    <xdr:clientData/>
  </xdr:twoCellAnchor>
  <xdr:twoCellAnchor editAs="oneCell">
    <xdr:from>
      <xdr:col>0</xdr:col>
      <xdr:colOff>56160</xdr:colOff>
      <xdr:row>72</xdr:row>
      <xdr:rowOff>169920</xdr:rowOff>
    </xdr:from>
    <xdr:to>
      <xdr:col>1</xdr:col>
      <xdr:colOff>268560</xdr:colOff>
      <xdr:row>75</xdr:row>
      <xdr:rowOff>174960</xdr:rowOff>
    </xdr:to>
    <xdr:pic>
      <xdr:nvPicPr>
        <xdr:cNvPr id="11" name="image1.png 8">
          <a:extLst>
            <a:ext uri="{FF2B5EF4-FFF2-40B4-BE49-F238E27FC236}">
              <a16:creationId xmlns:a16="http://schemas.microsoft.com/office/drawing/2014/main" id="{00000000-0008-0000-0600-00000B000000}"/>
            </a:ext>
          </a:extLst>
        </xdr:cNvPr>
        <xdr:cNvPicPr/>
      </xdr:nvPicPr>
      <xdr:blipFill>
        <a:blip xmlns:r="http://schemas.openxmlformats.org/officeDocument/2006/relationships" r:embed="rId1"/>
        <a:stretch>
          <a:fillRect/>
        </a:stretch>
      </xdr:blipFill>
      <xdr:spPr>
        <a:xfrm>
          <a:off x="56160" y="15981480"/>
          <a:ext cx="491760" cy="567000"/>
        </a:xfrm>
        <a:prstGeom prst="rect">
          <a:avLst/>
        </a:prstGeom>
        <a:noFill/>
        <a:ln w="0">
          <a:noFill/>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171360</xdr:rowOff>
    </xdr:from>
    <xdr:to>
      <xdr:col>1</xdr:col>
      <xdr:colOff>188280</xdr:colOff>
      <xdr:row>4</xdr:row>
      <xdr:rowOff>11520</xdr:rowOff>
    </xdr:to>
    <xdr:pic>
      <xdr:nvPicPr>
        <xdr:cNvPr id="12" name="image1.png">
          <a:extLst>
            <a:ext uri="{FF2B5EF4-FFF2-40B4-BE49-F238E27FC236}">
              <a16:creationId xmlns:a16="http://schemas.microsoft.com/office/drawing/2014/main" id="{00000000-0008-0000-0700-00000C000000}"/>
            </a:ext>
          </a:extLst>
        </xdr:cNvPr>
        <xdr:cNvPicPr/>
      </xdr:nvPicPr>
      <xdr:blipFill>
        <a:blip xmlns:r="http://schemas.openxmlformats.org/officeDocument/2006/relationships" r:embed="rId1"/>
        <a:stretch>
          <a:fillRect/>
        </a:stretch>
      </xdr:blipFill>
      <xdr:spPr>
        <a:xfrm>
          <a:off x="0" y="171360"/>
          <a:ext cx="569160" cy="621360"/>
        </a:xfrm>
        <a:prstGeom prst="rect">
          <a:avLst/>
        </a:prstGeom>
        <a:noFill/>
        <a:ln w="0">
          <a:noFill/>
          <a:prstDash val="solid"/>
        </a:ln>
      </xdr:spPr>
    </xdr:pic>
    <xdr:clientData/>
  </xdr:twoCellAnchor>
  <xdr:twoCellAnchor editAs="oneCell">
    <xdr:from>
      <xdr:col>15</xdr:col>
      <xdr:colOff>19080</xdr:colOff>
      <xdr:row>0</xdr:row>
      <xdr:rowOff>171360</xdr:rowOff>
    </xdr:from>
    <xdr:to>
      <xdr:col>16</xdr:col>
      <xdr:colOff>207360</xdr:colOff>
      <xdr:row>4</xdr:row>
      <xdr:rowOff>11520</xdr:rowOff>
    </xdr:to>
    <xdr:pic>
      <xdr:nvPicPr>
        <xdr:cNvPr id="13" name="image1.png">
          <a:extLst>
            <a:ext uri="{FF2B5EF4-FFF2-40B4-BE49-F238E27FC236}">
              <a16:creationId xmlns:a16="http://schemas.microsoft.com/office/drawing/2014/main" id="{00000000-0008-0000-0700-00000D000000}"/>
            </a:ext>
          </a:extLst>
        </xdr:cNvPr>
        <xdr:cNvPicPr/>
      </xdr:nvPicPr>
      <xdr:blipFill>
        <a:blip xmlns:r="http://schemas.openxmlformats.org/officeDocument/2006/relationships" r:embed="rId1"/>
        <a:stretch>
          <a:fillRect/>
        </a:stretch>
      </xdr:blipFill>
      <xdr:spPr>
        <a:xfrm>
          <a:off x="5391360" y="171360"/>
          <a:ext cx="569160" cy="621360"/>
        </a:xfrm>
        <a:prstGeom prst="rect">
          <a:avLst/>
        </a:prstGeom>
        <a:noFill/>
        <a:ln w="0">
          <a:noFill/>
          <a:prstDash val="solid"/>
        </a:ln>
      </xdr:spPr>
    </xdr:pic>
    <xdr:clientData/>
  </xdr:twoCellAnchor>
  <xdr:twoCellAnchor editAs="oneCell">
    <xdr:from>
      <xdr:col>0</xdr:col>
      <xdr:colOff>0</xdr:colOff>
      <xdr:row>24</xdr:row>
      <xdr:rowOff>162000</xdr:rowOff>
    </xdr:from>
    <xdr:to>
      <xdr:col>1</xdr:col>
      <xdr:colOff>188280</xdr:colOff>
      <xdr:row>28</xdr:row>
      <xdr:rowOff>2160</xdr:rowOff>
    </xdr:to>
    <xdr:pic>
      <xdr:nvPicPr>
        <xdr:cNvPr id="14" name="image1.png">
          <a:extLst>
            <a:ext uri="{FF2B5EF4-FFF2-40B4-BE49-F238E27FC236}">
              <a16:creationId xmlns:a16="http://schemas.microsoft.com/office/drawing/2014/main" id="{00000000-0008-0000-0700-00000E000000}"/>
            </a:ext>
          </a:extLst>
        </xdr:cNvPr>
        <xdr:cNvPicPr/>
      </xdr:nvPicPr>
      <xdr:blipFill>
        <a:blip xmlns:r="http://schemas.openxmlformats.org/officeDocument/2006/relationships" r:embed="rId1"/>
        <a:stretch>
          <a:fillRect/>
        </a:stretch>
      </xdr:blipFill>
      <xdr:spPr>
        <a:xfrm>
          <a:off x="0" y="5029200"/>
          <a:ext cx="569160" cy="621360"/>
        </a:xfrm>
        <a:prstGeom prst="rect">
          <a:avLst/>
        </a:prstGeom>
        <a:noFill/>
        <a:ln w="0">
          <a:noFill/>
          <a:prstDash val="solid"/>
        </a:ln>
      </xdr:spPr>
    </xdr:pic>
    <xdr:clientData/>
  </xdr:twoCellAnchor>
  <xdr:twoCellAnchor editAs="oneCell">
    <xdr:from>
      <xdr:col>0</xdr:col>
      <xdr:colOff>0</xdr:colOff>
      <xdr:row>43</xdr:row>
      <xdr:rowOff>162000</xdr:rowOff>
    </xdr:from>
    <xdr:to>
      <xdr:col>1</xdr:col>
      <xdr:colOff>188280</xdr:colOff>
      <xdr:row>47</xdr:row>
      <xdr:rowOff>2520</xdr:rowOff>
    </xdr:to>
    <xdr:pic>
      <xdr:nvPicPr>
        <xdr:cNvPr id="15" name="image1.png">
          <a:extLst>
            <a:ext uri="{FF2B5EF4-FFF2-40B4-BE49-F238E27FC236}">
              <a16:creationId xmlns:a16="http://schemas.microsoft.com/office/drawing/2014/main" id="{00000000-0008-0000-0700-00000F000000}"/>
            </a:ext>
          </a:extLst>
        </xdr:cNvPr>
        <xdr:cNvPicPr/>
      </xdr:nvPicPr>
      <xdr:blipFill>
        <a:blip xmlns:r="http://schemas.openxmlformats.org/officeDocument/2006/relationships" r:embed="rId1"/>
        <a:stretch>
          <a:fillRect/>
        </a:stretch>
      </xdr:blipFill>
      <xdr:spPr>
        <a:xfrm>
          <a:off x="0" y="8991720"/>
          <a:ext cx="569160" cy="621360"/>
        </a:xfrm>
        <a:prstGeom prst="rect">
          <a:avLst/>
        </a:prstGeom>
        <a:noFill/>
        <a:ln w="0">
          <a:noFill/>
          <a:prstDash val="solid"/>
        </a:ln>
      </xdr:spPr>
    </xdr:pic>
    <xdr:clientData/>
  </xdr:twoCellAnchor>
  <xdr:twoCellAnchor editAs="oneCell">
    <xdr:from>
      <xdr:col>0</xdr:col>
      <xdr:colOff>0</xdr:colOff>
      <xdr:row>67</xdr:row>
      <xdr:rowOff>162000</xdr:rowOff>
    </xdr:from>
    <xdr:to>
      <xdr:col>1</xdr:col>
      <xdr:colOff>188280</xdr:colOff>
      <xdr:row>71</xdr:row>
      <xdr:rowOff>2160</xdr:rowOff>
    </xdr:to>
    <xdr:pic>
      <xdr:nvPicPr>
        <xdr:cNvPr id="16" name="image1.png">
          <a:extLst>
            <a:ext uri="{FF2B5EF4-FFF2-40B4-BE49-F238E27FC236}">
              <a16:creationId xmlns:a16="http://schemas.microsoft.com/office/drawing/2014/main" id="{00000000-0008-0000-0700-000010000000}"/>
            </a:ext>
          </a:extLst>
        </xdr:cNvPr>
        <xdr:cNvPicPr/>
      </xdr:nvPicPr>
      <xdr:blipFill>
        <a:blip xmlns:r="http://schemas.openxmlformats.org/officeDocument/2006/relationships" r:embed="rId1"/>
        <a:stretch>
          <a:fillRect/>
        </a:stretch>
      </xdr:blipFill>
      <xdr:spPr>
        <a:xfrm>
          <a:off x="0" y="13858920"/>
          <a:ext cx="569160" cy="621360"/>
        </a:xfrm>
        <a:prstGeom prst="rect">
          <a:avLst/>
        </a:prstGeom>
        <a:noFill/>
        <a:ln w="0">
          <a:noFill/>
          <a:prstDash val="solid"/>
        </a:ln>
      </xdr:spPr>
    </xdr:pic>
    <xdr:clientData/>
  </xdr:twoCellAnchor>
  <xdr:twoCellAnchor editAs="oneCell">
    <xdr:from>
      <xdr:col>0</xdr:col>
      <xdr:colOff>19080</xdr:colOff>
      <xdr:row>0</xdr:row>
      <xdr:rowOff>171360</xdr:rowOff>
    </xdr:from>
    <xdr:to>
      <xdr:col>1</xdr:col>
      <xdr:colOff>207360</xdr:colOff>
      <xdr:row>4</xdr:row>
      <xdr:rowOff>11520</xdr:rowOff>
    </xdr:to>
    <xdr:pic>
      <xdr:nvPicPr>
        <xdr:cNvPr id="17" name="image1.png">
          <a:extLst>
            <a:ext uri="{FF2B5EF4-FFF2-40B4-BE49-F238E27FC236}">
              <a16:creationId xmlns:a16="http://schemas.microsoft.com/office/drawing/2014/main" id="{00000000-0008-0000-0700-000011000000}"/>
            </a:ext>
          </a:extLst>
        </xdr:cNvPr>
        <xdr:cNvPicPr/>
      </xdr:nvPicPr>
      <xdr:blipFill>
        <a:blip xmlns:r="http://schemas.openxmlformats.org/officeDocument/2006/relationships" r:embed="rId1"/>
        <a:stretch>
          <a:fillRect/>
        </a:stretch>
      </xdr:blipFill>
      <xdr:spPr>
        <a:xfrm>
          <a:off x="19080" y="171360"/>
          <a:ext cx="569160" cy="621360"/>
        </a:xfrm>
        <a:prstGeom prst="rect">
          <a:avLst/>
        </a:prstGeom>
        <a:noFill/>
        <a:ln w="0">
          <a:noFill/>
          <a:prstDash val="solid"/>
        </a:ln>
      </xdr:spPr>
    </xdr:pic>
    <xdr:clientData/>
  </xdr:twoCellAnchor>
  <xdr:twoCellAnchor editAs="oneCell">
    <xdr:from>
      <xdr:col>15</xdr:col>
      <xdr:colOff>19080</xdr:colOff>
      <xdr:row>24</xdr:row>
      <xdr:rowOff>171360</xdr:rowOff>
    </xdr:from>
    <xdr:to>
      <xdr:col>16</xdr:col>
      <xdr:colOff>207360</xdr:colOff>
      <xdr:row>28</xdr:row>
      <xdr:rowOff>11520</xdr:rowOff>
    </xdr:to>
    <xdr:pic>
      <xdr:nvPicPr>
        <xdr:cNvPr id="18" name="image1.png">
          <a:extLst>
            <a:ext uri="{FF2B5EF4-FFF2-40B4-BE49-F238E27FC236}">
              <a16:creationId xmlns:a16="http://schemas.microsoft.com/office/drawing/2014/main" id="{00000000-0008-0000-0700-000012000000}"/>
            </a:ext>
          </a:extLst>
        </xdr:cNvPr>
        <xdr:cNvPicPr/>
      </xdr:nvPicPr>
      <xdr:blipFill>
        <a:blip xmlns:r="http://schemas.openxmlformats.org/officeDocument/2006/relationships" r:embed="rId1"/>
        <a:stretch>
          <a:fillRect/>
        </a:stretch>
      </xdr:blipFill>
      <xdr:spPr>
        <a:xfrm>
          <a:off x="5391360" y="5038560"/>
          <a:ext cx="569160" cy="621360"/>
        </a:xfrm>
        <a:prstGeom prst="rect">
          <a:avLst/>
        </a:prstGeom>
        <a:noFill/>
        <a:ln w="0">
          <a:noFill/>
          <a:prstDash val="solid"/>
        </a:ln>
      </xdr:spPr>
    </xdr:pic>
    <xdr:clientData/>
  </xdr:twoCellAnchor>
  <xdr:twoCellAnchor editAs="oneCell">
    <xdr:from>
      <xdr:col>0</xdr:col>
      <xdr:colOff>19080</xdr:colOff>
      <xdr:row>24</xdr:row>
      <xdr:rowOff>171360</xdr:rowOff>
    </xdr:from>
    <xdr:to>
      <xdr:col>1</xdr:col>
      <xdr:colOff>207360</xdr:colOff>
      <xdr:row>28</xdr:row>
      <xdr:rowOff>11520</xdr:rowOff>
    </xdr:to>
    <xdr:pic>
      <xdr:nvPicPr>
        <xdr:cNvPr id="19" name="image1.png">
          <a:extLst>
            <a:ext uri="{FF2B5EF4-FFF2-40B4-BE49-F238E27FC236}">
              <a16:creationId xmlns:a16="http://schemas.microsoft.com/office/drawing/2014/main" id="{00000000-0008-0000-0700-000013000000}"/>
            </a:ext>
          </a:extLst>
        </xdr:cNvPr>
        <xdr:cNvPicPr/>
      </xdr:nvPicPr>
      <xdr:blipFill>
        <a:blip xmlns:r="http://schemas.openxmlformats.org/officeDocument/2006/relationships" r:embed="rId1"/>
        <a:stretch>
          <a:fillRect/>
        </a:stretch>
      </xdr:blipFill>
      <xdr:spPr>
        <a:xfrm>
          <a:off x="19080" y="5038560"/>
          <a:ext cx="569160" cy="621360"/>
        </a:xfrm>
        <a:prstGeom prst="rect">
          <a:avLst/>
        </a:prstGeom>
        <a:noFill/>
        <a:ln w="0">
          <a:noFill/>
          <a:prstDash val="solid"/>
        </a:ln>
      </xdr:spPr>
    </xdr:pic>
    <xdr:clientData/>
  </xdr:twoCellAnchor>
  <xdr:twoCellAnchor editAs="oneCell">
    <xdr:from>
      <xdr:col>15</xdr:col>
      <xdr:colOff>19080</xdr:colOff>
      <xdr:row>43</xdr:row>
      <xdr:rowOff>171360</xdr:rowOff>
    </xdr:from>
    <xdr:to>
      <xdr:col>16</xdr:col>
      <xdr:colOff>207360</xdr:colOff>
      <xdr:row>47</xdr:row>
      <xdr:rowOff>11880</xdr:rowOff>
    </xdr:to>
    <xdr:pic>
      <xdr:nvPicPr>
        <xdr:cNvPr id="20" name="image1.png">
          <a:extLst>
            <a:ext uri="{FF2B5EF4-FFF2-40B4-BE49-F238E27FC236}">
              <a16:creationId xmlns:a16="http://schemas.microsoft.com/office/drawing/2014/main" id="{00000000-0008-0000-0700-000014000000}"/>
            </a:ext>
          </a:extLst>
        </xdr:cNvPr>
        <xdr:cNvPicPr/>
      </xdr:nvPicPr>
      <xdr:blipFill>
        <a:blip xmlns:r="http://schemas.openxmlformats.org/officeDocument/2006/relationships" r:embed="rId1"/>
        <a:stretch>
          <a:fillRect/>
        </a:stretch>
      </xdr:blipFill>
      <xdr:spPr>
        <a:xfrm>
          <a:off x="5391360" y="9001080"/>
          <a:ext cx="569160" cy="621360"/>
        </a:xfrm>
        <a:prstGeom prst="rect">
          <a:avLst/>
        </a:prstGeom>
        <a:noFill/>
        <a:ln w="0">
          <a:noFill/>
          <a:prstDash val="solid"/>
        </a:ln>
      </xdr:spPr>
    </xdr:pic>
    <xdr:clientData/>
  </xdr:twoCellAnchor>
  <xdr:twoCellAnchor editAs="oneCell">
    <xdr:from>
      <xdr:col>0</xdr:col>
      <xdr:colOff>19080</xdr:colOff>
      <xdr:row>43</xdr:row>
      <xdr:rowOff>171360</xdr:rowOff>
    </xdr:from>
    <xdr:to>
      <xdr:col>1</xdr:col>
      <xdr:colOff>207360</xdr:colOff>
      <xdr:row>47</xdr:row>
      <xdr:rowOff>11880</xdr:rowOff>
    </xdr:to>
    <xdr:pic>
      <xdr:nvPicPr>
        <xdr:cNvPr id="21" name="image1.png">
          <a:extLst>
            <a:ext uri="{FF2B5EF4-FFF2-40B4-BE49-F238E27FC236}">
              <a16:creationId xmlns:a16="http://schemas.microsoft.com/office/drawing/2014/main" id="{00000000-0008-0000-0700-000015000000}"/>
            </a:ext>
          </a:extLst>
        </xdr:cNvPr>
        <xdr:cNvPicPr/>
      </xdr:nvPicPr>
      <xdr:blipFill>
        <a:blip xmlns:r="http://schemas.openxmlformats.org/officeDocument/2006/relationships" r:embed="rId1"/>
        <a:stretch>
          <a:fillRect/>
        </a:stretch>
      </xdr:blipFill>
      <xdr:spPr>
        <a:xfrm>
          <a:off x="19080" y="9001080"/>
          <a:ext cx="569160" cy="621360"/>
        </a:xfrm>
        <a:prstGeom prst="rect">
          <a:avLst/>
        </a:prstGeom>
        <a:noFill/>
        <a:ln w="0">
          <a:noFill/>
          <a:prstDash val="solid"/>
        </a:ln>
      </xdr:spPr>
    </xdr:pic>
    <xdr:clientData/>
  </xdr:twoCellAnchor>
  <xdr:twoCellAnchor editAs="oneCell">
    <xdr:from>
      <xdr:col>15</xdr:col>
      <xdr:colOff>19080</xdr:colOff>
      <xdr:row>67</xdr:row>
      <xdr:rowOff>171360</xdr:rowOff>
    </xdr:from>
    <xdr:to>
      <xdr:col>16</xdr:col>
      <xdr:colOff>207360</xdr:colOff>
      <xdr:row>71</xdr:row>
      <xdr:rowOff>11520</xdr:rowOff>
    </xdr:to>
    <xdr:pic>
      <xdr:nvPicPr>
        <xdr:cNvPr id="22" name="image1.png">
          <a:extLst>
            <a:ext uri="{FF2B5EF4-FFF2-40B4-BE49-F238E27FC236}">
              <a16:creationId xmlns:a16="http://schemas.microsoft.com/office/drawing/2014/main" id="{00000000-0008-0000-0700-000016000000}"/>
            </a:ext>
          </a:extLst>
        </xdr:cNvPr>
        <xdr:cNvPicPr/>
      </xdr:nvPicPr>
      <xdr:blipFill>
        <a:blip xmlns:r="http://schemas.openxmlformats.org/officeDocument/2006/relationships" r:embed="rId1"/>
        <a:stretch>
          <a:fillRect/>
        </a:stretch>
      </xdr:blipFill>
      <xdr:spPr>
        <a:xfrm>
          <a:off x="5391360" y="13868280"/>
          <a:ext cx="569160" cy="621360"/>
        </a:xfrm>
        <a:prstGeom prst="rect">
          <a:avLst/>
        </a:prstGeom>
        <a:noFill/>
        <a:ln w="0">
          <a:noFill/>
          <a:prstDash val="solid"/>
        </a:ln>
      </xdr:spPr>
    </xdr:pic>
    <xdr:clientData/>
  </xdr:twoCellAnchor>
  <xdr:twoCellAnchor editAs="oneCell">
    <xdr:from>
      <xdr:col>0</xdr:col>
      <xdr:colOff>19080</xdr:colOff>
      <xdr:row>67</xdr:row>
      <xdr:rowOff>171360</xdr:rowOff>
    </xdr:from>
    <xdr:to>
      <xdr:col>1</xdr:col>
      <xdr:colOff>207360</xdr:colOff>
      <xdr:row>71</xdr:row>
      <xdr:rowOff>11520</xdr:rowOff>
    </xdr:to>
    <xdr:pic>
      <xdr:nvPicPr>
        <xdr:cNvPr id="23" name="image1.png">
          <a:extLst>
            <a:ext uri="{FF2B5EF4-FFF2-40B4-BE49-F238E27FC236}">
              <a16:creationId xmlns:a16="http://schemas.microsoft.com/office/drawing/2014/main" id="{00000000-0008-0000-0700-000017000000}"/>
            </a:ext>
          </a:extLst>
        </xdr:cNvPr>
        <xdr:cNvPicPr/>
      </xdr:nvPicPr>
      <xdr:blipFill>
        <a:blip xmlns:r="http://schemas.openxmlformats.org/officeDocument/2006/relationships" r:embed="rId1"/>
        <a:stretch>
          <a:fillRect/>
        </a:stretch>
      </xdr:blipFill>
      <xdr:spPr>
        <a:xfrm>
          <a:off x="19080" y="13868280"/>
          <a:ext cx="569160" cy="621360"/>
        </a:xfrm>
        <a:prstGeom prst="rect">
          <a:avLst/>
        </a:prstGeom>
        <a:noFill/>
        <a:ln w="0">
          <a:noFill/>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181080</xdr:colOff>
      <xdr:row>0</xdr:row>
      <xdr:rowOff>0</xdr:rowOff>
    </xdr:from>
    <xdr:to>
      <xdr:col>2</xdr:col>
      <xdr:colOff>726480</xdr:colOff>
      <xdr:row>1</xdr:row>
      <xdr:rowOff>192960</xdr:rowOff>
    </xdr:to>
    <xdr:pic>
      <xdr:nvPicPr>
        <xdr:cNvPr id="24" name="image1.png">
          <a:extLst>
            <a:ext uri="{FF2B5EF4-FFF2-40B4-BE49-F238E27FC236}">
              <a16:creationId xmlns:a16="http://schemas.microsoft.com/office/drawing/2014/main" id="{00000000-0008-0000-0800-000018000000}"/>
            </a:ext>
          </a:extLst>
        </xdr:cNvPr>
        <xdr:cNvPicPr/>
      </xdr:nvPicPr>
      <xdr:blipFill>
        <a:blip xmlns:r="http://schemas.openxmlformats.org/officeDocument/2006/relationships" r:embed="rId1"/>
        <a:stretch>
          <a:fillRect/>
        </a:stretch>
      </xdr:blipFill>
      <xdr:spPr>
        <a:xfrm>
          <a:off x="7534440" y="0"/>
          <a:ext cx="545400" cy="612000"/>
        </a:xfrm>
        <a:prstGeom prst="rect">
          <a:avLst/>
        </a:prstGeom>
        <a:noFill/>
        <a:ln w="0">
          <a:noFill/>
          <a:prstDash val="solid"/>
        </a:ln>
      </xdr:spPr>
    </xdr:pic>
    <xdr:clientData/>
  </xdr:twoCellAnchor>
  <xdr:twoCellAnchor editAs="oneCell">
    <xdr:from>
      <xdr:col>0</xdr:col>
      <xdr:colOff>9360</xdr:colOff>
      <xdr:row>0</xdr:row>
      <xdr:rowOff>0</xdr:rowOff>
    </xdr:from>
    <xdr:to>
      <xdr:col>0</xdr:col>
      <xdr:colOff>554760</xdr:colOff>
      <xdr:row>1</xdr:row>
      <xdr:rowOff>192960</xdr:rowOff>
    </xdr:to>
    <xdr:pic>
      <xdr:nvPicPr>
        <xdr:cNvPr id="25" name="image1.png">
          <a:extLst>
            <a:ext uri="{FF2B5EF4-FFF2-40B4-BE49-F238E27FC236}">
              <a16:creationId xmlns:a16="http://schemas.microsoft.com/office/drawing/2014/main" id="{00000000-0008-0000-0800-000019000000}"/>
            </a:ext>
          </a:extLst>
        </xdr:cNvPr>
        <xdr:cNvPicPr/>
      </xdr:nvPicPr>
      <xdr:blipFill>
        <a:blip xmlns:r="http://schemas.openxmlformats.org/officeDocument/2006/relationships" r:embed="rId1"/>
        <a:stretch>
          <a:fillRect/>
        </a:stretch>
      </xdr:blipFill>
      <xdr:spPr>
        <a:xfrm>
          <a:off x="9360" y="0"/>
          <a:ext cx="545400" cy="612000"/>
        </a:xfrm>
        <a:prstGeom prst="rect">
          <a:avLst/>
        </a:prstGeom>
        <a:noFill/>
        <a:ln w="0">
          <a:noFill/>
          <a:prstDash val="solid"/>
        </a:ln>
      </xdr:spPr>
    </xdr:pic>
    <xdr:clientData/>
  </xdr:twoCellAnchor>
  <xdr:twoCellAnchor editAs="oneCell">
    <xdr:from>
      <xdr:col>2</xdr:col>
      <xdr:colOff>181080</xdr:colOff>
      <xdr:row>17</xdr:row>
      <xdr:rowOff>74160</xdr:rowOff>
    </xdr:from>
    <xdr:to>
      <xdr:col>2</xdr:col>
      <xdr:colOff>726480</xdr:colOff>
      <xdr:row>18</xdr:row>
      <xdr:rowOff>267120</xdr:rowOff>
    </xdr:to>
    <xdr:pic>
      <xdr:nvPicPr>
        <xdr:cNvPr id="26" name="image1.png">
          <a:extLst>
            <a:ext uri="{FF2B5EF4-FFF2-40B4-BE49-F238E27FC236}">
              <a16:creationId xmlns:a16="http://schemas.microsoft.com/office/drawing/2014/main" id="{00000000-0008-0000-0800-00001A000000}"/>
            </a:ext>
          </a:extLst>
        </xdr:cNvPr>
        <xdr:cNvPicPr/>
      </xdr:nvPicPr>
      <xdr:blipFill>
        <a:blip xmlns:r="http://schemas.openxmlformats.org/officeDocument/2006/relationships" r:embed="rId1"/>
        <a:stretch>
          <a:fillRect/>
        </a:stretch>
      </xdr:blipFill>
      <xdr:spPr>
        <a:xfrm>
          <a:off x="7534440" y="4998600"/>
          <a:ext cx="545400" cy="612000"/>
        </a:xfrm>
        <a:prstGeom prst="rect">
          <a:avLst/>
        </a:prstGeom>
        <a:noFill/>
        <a:ln w="0">
          <a:noFill/>
          <a:prstDash val="solid"/>
        </a:ln>
      </xdr:spPr>
    </xdr:pic>
    <xdr:clientData/>
  </xdr:twoCellAnchor>
  <xdr:twoCellAnchor editAs="oneCell">
    <xdr:from>
      <xdr:col>0</xdr:col>
      <xdr:colOff>9360</xdr:colOff>
      <xdr:row>17</xdr:row>
      <xdr:rowOff>74160</xdr:rowOff>
    </xdr:from>
    <xdr:to>
      <xdr:col>0</xdr:col>
      <xdr:colOff>554760</xdr:colOff>
      <xdr:row>18</xdr:row>
      <xdr:rowOff>267120</xdr:rowOff>
    </xdr:to>
    <xdr:pic>
      <xdr:nvPicPr>
        <xdr:cNvPr id="27" name="image1.png">
          <a:extLst>
            <a:ext uri="{FF2B5EF4-FFF2-40B4-BE49-F238E27FC236}">
              <a16:creationId xmlns:a16="http://schemas.microsoft.com/office/drawing/2014/main" id="{00000000-0008-0000-0800-00001B000000}"/>
            </a:ext>
          </a:extLst>
        </xdr:cNvPr>
        <xdr:cNvPicPr/>
      </xdr:nvPicPr>
      <xdr:blipFill>
        <a:blip xmlns:r="http://schemas.openxmlformats.org/officeDocument/2006/relationships" r:embed="rId1"/>
        <a:stretch>
          <a:fillRect/>
        </a:stretch>
      </xdr:blipFill>
      <xdr:spPr>
        <a:xfrm>
          <a:off x="9360" y="4998600"/>
          <a:ext cx="545400" cy="612000"/>
        </a:xfrm>
        <a:prstGeom prst="rect">
          <a:avLst/>
        </a:prstGeom>
        <a:noFill/>
        <a:ln w="0">
          <a:noFill/>
          <a:prstDash val="solid"/>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mh-support@handboogsport.nl"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pageSetUpPr fitToPage="1"/>
  </sheetPr>
  <dimension ref="A1:P1002"/>
  <sheetViews>
    <sheetView zoomScale="110" zoomScaleNormal="110" workbookViewId="0">
      <selection activeCell="A16" sqref="A16"/>
    </sheetView>
  </sheetViews>
  <sheetFormatPr defaultColWidth="14.42578125" defaultRowHeight="15" customHeight="1" x14ac:dyDescent="0.25"/>
  <cols>
    <col min="1" max="1" width="15" style="3" customWidth="1"/>
    <col min="2" max="2" width="15.42578125" style="3" customWidth="1"/>
    <col min="3" max="3" width="17.5703125" style="3" customWidth="1"/>
    <col min="4" max="4" width="16.5703125" style="3" customWidth="1"/>
    <col min="5" max="12" width="8.7109375" style="3" customWidth="1"/>
    <col min="13" max="13" width="14.42578125" style="3" customWidth="1"/>
    <col min="14" max="16384" width="14.42578125" style="3"/>
  </cols>
  <sheetData>
    <row r="1" spans="1:10" ht="14.25" customHeight="1" x14ac:dyDescent="0.25">
      <c r="A1" s="4" t="s">
        <v>35</v>
      </c>
    </row>
    <row r="2" spans="1:10" ht="14.25" customHeight="1" x14ac:dyDescent="0.25">
      <c r="A2" s="5" t="s">
        <v>36</v>
      </c>
      <c r="B2" s="5"/>
      <c r="D2" s="6" t="s">
        <v>37</v>
      </c>
      <c r="E2" s="7" t="s">
        <v>38</v>
      </c>
      <c r="F2" s="7"/>
      <c r="G2" s="8"/>
      <c r="H2" s="9" t="s">
        <v>39</v>
      </c>
      <c r="I2" s="7"/>
      <c r="J2" s="10"/>
    </row>
    <row r="3" spans="1:10" ht="14.25" customHeight="1" x14ac:dyDescent="0.25">
      <c r="A3" s="11"/>
      <c r="B3" s="12"/>
      <c r="C3" s="12"/>
      <c r="D3" s="13"/>
      <c r="E3" s="14" t="s">
        <v>40</v>
      </c>
      <c r="F3" s="14"/>
      <c r="G3" s="14"/>
      <c r="H3" s="14"/>
      <c r="I3" s="14"/>
      <c r="J3" s="15"/>
    </row>
    <row r="4" spans="1:10" ht="14.25" customHeight="1" x14ac:dyDescent="0.25">
      <c r="A4" s="11"/>
      <c r="B4" s="12"/>
      <c r="C4" s="12"/>
    </row>
    <row r="5" spans="1:10" ht="14.25" customHeight="1" x14ac:dyDescent="0.25">
      <c r="A5" s="5" t="s">
        <v>41</v>
      </c>
      <c r="B5" s="5"/>
      <c r="C5" s="5"/>
    </row>
    <row r="6" spans="1:10" ht="14.25" customHeight="1" x14ac:dyDescent="0.25">
      <c r="B6" s="16" t="s">
        <v>42</v>
      </c>
    </row>
    <row r="7" spans="1:10" ht="14.25" customHeight="1" x14ac:dyDescent="0.25">
      <c r="B7" s="17" t="s">
        <v>43</v>
      </c>
    </row>
    <row r="8" spans="1:10" ht="14.25" customHeight="1" x14ac:dyDescent="0.25">
      <c r="B8" s="17" t="s">
        <v>44</v>
      </c>
    </row>
    <row r="9" spans="1:10" ht="14.25" customHeight="1" x14ac:dyDescent="0.25">
      <c r="B9" s="17"/>
    </row>
    <row r="10" spans="1:10" ht="14.25" customHeight="1" x14ac:dyDescent="0.25">
      <c r="A10" s="216" t="s">
        <v>45</v>
      </c>
    </row>
    <row r="11" spans="1:10" ht="14.25" customHeight="1" x14ac:dyDescent="0.25">
      <c r="A11" s="5" t="s">
        <v>46</v>
      </c>
    </row>
    <row r="12" spans="1:10" ht="14.25" customHeight="1" x14ac:dyDescent="0.25">
      <c r="A12" s="5" t="s">
        <v>47</v>
      </c>
    </row>
    <row r="13" spans="1:10" ht="14.25" customHeight="1" x14ac:dyDescent="0.25">
      <c r="A13" s="5" t="s">
        <v>48</v>
      </c>
    </row>
    <row r="14" spans="1:10" ht="14.25" customHeight="1" x14ac:dyDescent="0.25">
      <c r="A14" s="5" t="s">
        <v>49</v>
      </c>
    </row>
    <row r="15" spans="1:10" ht="14.25" customHeight="1" x14ac:dyDescent="0.25"/>
    <row r="16" spans="1:10" ht="14.25" customHeight="1" x14ac:dyDescent="0.25">
      <c r="A16" s="218" t="s">
        <v>50</v>
      </c>
    </row>
    <row r="17" spans="1:16" ht="14.25" customHeight="1" x14ac:dyDescent="0.25">
      <c r="A17" s="18" t="s">
        <v>51</v>
      </c>
      <c r="B17" s="5" t="s">
        <v>52</v>
      </c>
      <c r="C17" s="5" t="s">
        <v>53</v>
      </c>
      <c r="D17" s="3" t="s">
        <v>54</v>
      </c>
    </row>
    <row r="18" spans="1:16" ht="14.25" customHeight="1" x14ac:dyDescent="0.25">
      <c r="A18" s="18" t="s">
        <v>55</v>
      </c>
      <c r="B18" s="5" t="s">
        <v>56</v>
      </c>
      <c r="C18" s="5" t="s">
        <v>57</v>
      </c>
      <c r="D18" s="229" t="s">
        <v>58</v>
      </c>
      <c r="E18" s="230"/>
      <c r="F18" s="230"/>
      <c r="G18" s="230"/>
      <c r="H18" s="230"/>
      <c r="I18" s="230"/>
      <c r="J18" s="230"/>
      <c r="K18" s="230"/>
      <c r="L18" s="230"/>
      <c r="M18" s="230"/>
      <c r="N18" s="230"/>
      <c r="O18" s="230"/>
      <c r="P18" s="230"/>
    </row>
    <row r="19" spans="1:16" ht="14.25" customHeight="1" x14ac:dyDescent="0.25">
      <c r="A19" s="18" t="s">
        <v>59</v>
      </c>
      <c r="B19" s="5" t="s">
        <v>60</v>
      </c>
      <c r="C19" s="5" t="s">
        <v>57</v>
      </c>
      <c r="D19" s="230"/>
      <c r="E19" s="230"/>
      <c r="F19" s="230"/>
      <c r="G19" s="230"/>
      <c r="H19" s="230"/>
      <c r="I19" s="230"/>
      <c r="J19" s="230"/>
      <c r="K19" s="230"/>
      <c r="L19" s="230"/>
      <c r="M19" s="230"/>
      <c r="N19" s="230"/>
      <c r="O19" s="230"/>
      <c r="P19" s="230"/>
    </row>
    <row r="20" spans="1:16" ht="14.25" customHeight="1" x14ac:dyDescent="0.25">
      <c r="A20" s="18" t="s">
        <v>61</v>
      </c>
      <c r="B20" s="5" t="s">
        <v>62</v>
      </c>
      <c r="C20" s="5" t="s">
        <v>57</v>
      </c>
      <c r="D20" s="230"/>
      <c r="E20" s="230"/>
      <c r="F20" s="230"/>
      <c r="G20" s="230"/>
      <c r="H20" s="230"/>
      <c r="I20" s="230"/>
      <c r="J20" s="230"/>
      <c r="K20" s="230"/>
      <c r="L20" s="230"/>
      <c r="M20" s="230"/>
      <c r="N20" s="230"/>
      <c r="O20" s="230"/>
      <c r="P20" s="230"/>
    </row>
    <row r="21" spans="1:16" ht="14.25" customHeight="1" x14ac:dyDescent="0.25"/>
    <row r="22" spans="1:16" ht="14.25" customHeight="1" x14ac:dyDescent="0.25">
      <c r="A22" s="3" t="s">
        <v>63</v>
      </c>
    </row>
    <row r="23" spans="1:16" ht="14.25" customHeight="1" x14ac:dyDescent="0.25">
      <c r="A23" s="3" t="s">
        <v>64</v>
      </c>
    </row>
    <row r="24" spans="1:16" ht="14.25" customHeight="1" x14ac:dyDescent="0.25">
      <c r="A24" s="3" t="s">
        <v>65</v>
      </c>
    </row>
    <row r="25" spans="1:16" ht="14.25" customHeight="1" x14ac:dyDescent="0.25">
      <c r="A25" s="3" t="s">
        <v>66</v>
      </c>
    </row>
    <row r="26" spans="1:16" ht="14.25" customHeight="1" x14ac:dyDescent="0.25"/>
    <row r="27" spans="1:16" ht="14.25" customHeight="1" x14ac:dyDescent="0.25">
      <c r="A27" s="4" t="s">
        <v>67</v>
      </c>
    </row>
    <row r="28" spans="1:16" ht="14.25" customHeight="1" x14ac:dyDescent="0.25">
      <c r="A28" s="3" t="s">
        <v>68</v>
      </c>
    </row>
    <row r="29" spans="1:16" ht="14.25" customHeight="1" x14ac:dyDescent="0.25">
      <c r="A29" s="3" t="s">
        <v>69</v>
      </c>
    </row>
    <row r="30" spans="1:16" ht="14.25" customHeight="1" x14ac:dyDescent="0.25">
      <c r="A30" s="3" t="s">
        <v>70</v>
      </c>
    </row>
    <row r="31" spans="1:16" ht="14.25" customHeight="1" x14ac:dyDescent="0.25">
      <c r="A31" s="3" t="s">
        <v>71</v>
      </c>
    </row>
    <row r="32" spans="1:16" ht="14.25" customHeight="1" x14ac:dyDescent="0.25">
      <c r="A32" s="3" t="s">
        <v>72</v>
      </c>
    </row>
    <row r="33" spans="1:5" ht="14.25" customHeight="1" x14ac:dyDescent="0.25">
      <c r="A33" s="3" t="s">
        <v>73</v>
      </c>
    </row>
    <row r="34" spans="1:5" ht="14.25" customHeight="1" x14ac:dyDescent="0.25"/>
    <row r="35" spans="1:5" ht="14.25" customHeight="1" x14ac:dyDescent="0.25">
      <c r="A35" s="4" t="s">
        <v>74</v>
      </c>
    </row>
    <row r="36" spans="1:5" ht="14.25" customHeight="1" x14ac:dyDescent="0.25">
      <c r="A36" s="17" t="s">
        <v>75</v>
      </c>
    </row>
    <row r="37" spans="1:5" ht="14.25" customHeight="1" x14ac:dyDescent="0.25">
      <c r="A37" s="17" t="s">
        <v>76</v>
      </c>
    </row>
    <row r="38" spans="1:5" ht="14.25" customHeight="1" x14ac:dyDescent="0.25">
      <c r="A38" s="217" t="s">
        <v>77</v>
      </c>
    </row>
    <row r="39" spans="1:5" ht="14.25" customHeight="1" x14ac:dyDescent="0.25">
      <c r="A39" s="17" t="s">
        <v>78</v>
      </c>
    </row>
    <row r="40" spans="1:5" ht="14.25" customHeight="1" x14ac:dyDescent="0.25">
      <c r="A40" s="3" t="s">
        <v>79</v>
      </c>
    </row>
    <row r="41" spans="1:5" ht="14.25" customHeight="1" x14ac:dyDescent="0.25">
      <c r="A41" s="17" t="s">
        <v>80</v>
      </c>
    </row>
    <row r="42" spans="1:5" ht="14.25" customHeight="1" x14ac:dyDescent="0.25">
      <c r="A42" s="3" t="s">
        <v>81</v>
      </c>
    </row>
    <row r="43" spans="1:5" ht="14.25" customHeight="1" x14ac:dyDescent="0.25">
      <c r="A43" s="218" t="s">
        <v>82</v>
      </c>
    </row>
    <row r="44" spans="1:5" ht="14.25" customHeight="1" x14ac:dyDescent="0.25"/>
    <row r="45" spans="1:5" ht="14.25" customHeight="1" x14ac:dyDescent="0.25">
      <c r="A45" s="4" t="s">
        <v>83</v>
      </c>
    </row>
    <row r="46" spans="1:5" ht="14.25" customHeight="1" x14ac:dyDescent="0.25">
      <c r="A46" s="3" t="s">
        <v>84</v>
      </c>
    </row>
    <row r="47" spans="1:5" ht="14.25" customHeight="1" x14ac:dyDescent="0.25">
      <c r="A47" s="218" t="s">
        <v>85</v>
      </c>
    </row>
    <row r="48" spans="1:5" ht="14.25" customHeight="1" x14ac:dyDescent="0.25">
      <c r="A48" s="17"/>
      <c r="B48" s="17"/>
      <c r="C48" s="17"/>
      <c r="D48" s="17"/>
      <c r="E48" s="17"/>
    </row>
    <row r="49" spans="1:5" ht="14.25" customHeight="1" x14ac:dyDescent="0.25">
      <c r="A49" s="17"/>
      <c r="B49" s="17"/>
      <c r="C49" s="17"/>
      <c r="D49" s="17"/>
      <c r="E49" s="17"/>
    </row>
    <row r="50" spans="1:5" ht="14.25" customHeight="1" x14ac:dyDescent="0.25"/>
    <row r="51" spans="1:5" ht="14.25" customHeight="1" x14ac:dyDescent="0.25"/>
    <row r="52" spans="1:5" ht="14.25" customHeight="1" x14ac:dyDescent="0.25"/>
    <row r="53" spans="1:5" ht="14.25" customHeight="1" x14ac:dyDescent="0.25"/>
    <row r="54" spans="1:5" ht="14.25" customHeight="1" x14ac:dyDescent="0.25"/>
    <row r="55" spans="1:5" ht="14.25" customHeight="1" x14ac:dyDescent="0.25"/>
    <row r="56" spans="1:5" ht="14.25" customHeight="1" x14ac:dyDescent="0.25"/>
    <row r="57" spans="1:5" ht="14.25" customHeight="1" x14ac:dyDescent="0.25"/>
    <row r="58" spans="1:5" ht="14.25" customHeight="1" x14ac:dyDescent="0.25"/>
    <row r="59" spans="1:5" ht="14.25" customHeight="1" x14ac:dyDescent="0.25"/>
    <row r="60" spans="1:5" ht="14.25" customHeight="1" x14ac:dyDescent="0.25"/>
    <row r="61" spans="1:5" ht="14.25" customHeight="1" x14ac:dyDescent="0.25"/>
    <row r="62" spans="1:5" ht="14.25" customHeight="1" x14ac:dyDescent="0.25"/>
    <row r="63" spans="1:5" ht="14.25" customHeight="1" x14ac:dyDescent="0.25"/>
    <row r="64" spans="1:5"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sheetData>
  <sheetProtection algorithmName="SHA-512" hashValue="JnEICN0rG2OrJ+GMpe9fNhIJoSYiFnZeto362R3tyKhUnaahDkGWUaiBgX/mmmqZW+ioWchCmlqIZH0hhWdxFg==" saltValue="uBTmORFC0eqpMNjCO1iElA==" spinCount="100000" sheet="1" objects="1" scenarios="1" selectLockedCells="1"/>
  <mergeCells count="1">
    <mergeCell ref="D18:P20"/>
  </mergeCells>
  <hyperlinks>
    <hyperlink ref="H2" r:id="rId1" xr:uid="{00000000-0004-0000-0000-000000000000}"/>
  </hyperlinks>
  <pageMargins left="0.196527777777778" right="0.196527777777778" top="0.15763888888888899" bottom="0.43333333333333302" header="0.511811023622047" footer="0"/>
  <pageSetup paperSize="9" orientation="landscape" horizontalDpi="300" verticalDpi="300"/>
  <headerFooter>
    <oddFooter>&amp;CScore verwerking NHB beker versie 3.0&amp;RDS/NHB-Beker/V3.0</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1"/>
  <sheetViews>
    <sheetView zoomScale="110" zoomScaleNormal="110" workbookViewId="0">
      <selection activeCell="D6" sqref="D6"/>
    </sheetView>
  </sheetViews>
  <sheetFormatPr defaultColWidth="9.140625" defaultRowHeight="12.75" customHeight="1" x14ac:dyDescent="0.25"/>
  <cols>
    <col min="1" max="1" width="1.140625" style="17" customWidth="1"/>
    <col min="2" max="2" width="1.42578125" style="17" customWidth="1"/>
    <col min="3" max="3" width="5.28515625" style="17" customWidth="1"/>
    <col min="4" max="4" width="34.7109375" style="17" customWidth="1"/>
    <col min="5" max="5" width="28.85546875" style="19" customWidth="1"/>
    <col min="6" max="6" width="11.7109375" style="17" customWidth="1"/>
    <col min="7" max="7" width="9.140625" style="17" customWidth="1"/>
    <col min="8" max="8" width="12.140625" style="17" customWidth="1"/>
    <col min="9" max="9" width="31" style="17" customWidth="1"/>
    <col min="10" max="10" width="9.140625" style="17" customWidth="1"/>
    <col min="11" max="16384" width="9.140625" style="17"/>
  </cols>
  <sheetData>
    <row r="1" spans="1:9" ht="21.75" customHeight="1" x14ac:dyDescent="0.25">
      <c r="A1" s="20"/>
      <c r="B1" s="231" t="s">
        <v>86</v>
      </c>
      <c r="C1" s="232"/>
      <c r="D1" s="232"/>
      <c r="E1" s="232"/>
      <c r="F1" s="232"/>
      <c r="G1" s="232"/>
      <c r="H1" s="232"/>
      <c r="I1" s="233"/>
    </row>
    <row r="2" spans="1:9" ht="12.75" customHeight="1" x14ac:dyDescent="0.25">
      <c r="A2" s="20"/>
      <c r="B2" s="21"/>
      <c r="C2" s="22"/>
      <c r="D2" s="23"/>
      <c r="E2" s="21"/>
      <c r="F2" s="21"/>
      <c r="G2" s="24"/>
      <c r="H2" s="24"/>
      <c r="I2" s="20"/>
    </row>
    <row r="3" spans="1:9" ht="13.5" customHeight="1" x14ac:dyDescent="0.25"/>
    <row r="4" spans="1:9" ht="13.5" customHeight="1" x14ac:dyDescent="0.25"/>
    <row r="5" spans="1:9" ht="12.75" customHeight="1" x14ac:dyDescent="0.25">
      <c r="A5" s="20"/>
      <c r="B5" s="21"/>
      <c r="C5" s="25"/>
      <c r="D5" s="23"/>
      <c r="E5" s="21"/>
      <c r="F5" s="21"/>
      <c r="G5" s="24"/>
      <c r="H5" s="24"/>
      <c r="I5" s="20"/>
    </row>
    <row r="6" spans="1:9" ht="19.5" customHeight="1" x14ac:dyDescent="0.25">
      <c r="A6" s="20"/>
      <c r="B6" s="21"/>
      <c r="C6" s="25"/>
      <c r="D6" s="26" t="s">
        <v>87</v>
      </c>
      <c r="E6" s="21"/>
      <c r="F6" s="21"/>
      <c r="G6" s="24"/>
      <c r="H6" s="24"/>
      <c r="I6" s="20"/>
    </row>
    <row r="7" spans="1:9" ht="13.5" customHeight="1" x14ac:dyDescent="0.25">
      <c r="A7" s="20"/>
      <c r="B7" s="21"/>
      <c r="C7" s="25"/>
      <c r="D7" s="27" t="s">
        <v>88</v>
      </c>
      <c r="E7" s="21"/>
      <c r="F7" s="21"/>
      <c r="G7" s="24"/>
      <c r="H7" s="24"/>
      <c r="I7" s="20"/>
    </row>
    <row r="8" spans="1:9" ht="13.5" customHeight="1" x14ac:dyDescent="0.25">
      <c r="A8" s="20"/>
      <c r="B8" s="21"/>
      <c r="C8" s="25"/>
      <c r="D8" s="27" t="s">
        <v>89</v>
      </c>
      <c r="E8" s="21"/>
      <c r="F8" s="21"/>
      <c r="G8" s="24"/>
      <c r="H8" s="24"/>
      <c r="I8" s="20"/>
    </row>
    <row r="9" spans="1:9" ht="12.75" customHeight="1" x14ac:dyDescent="0.25">
      <c r="A9" s="20"/>
      <c r="B9" s="21"/>
      <c r="C9" s="25"/>
      <c r="D9" s="21"/>
      <c r="E9" s="21"/>
      <c r="F9" s="21"/>
      <c r="G9" s="24"/>
      <c r="H9" s="24"/>
      <c r="I9" s="20"/>
    </row>
    <row r="10" spans="1:9" ht="13.5" customHeight="1" x14ac:dyDescent="0.25">
      <c r="A10" s="20"/>
      <c r="B10" s="28"/>
      <c r="C10" s="29"/>
      <c r="D10" s="30" t="s">
        <v>90</v>
      </c>
      <c r="E10" s="28"/>
      <c r="F10" s="28"/>
      <c r="G10" s="31"/>
      <c r="H10" s="31"/>
      <c r="I10" s="3"/>
    </row>
    <row r="11" spans="1:9" ht="13.5" customHeight="1" x14ac:dyDescent="0.25">
      <c r="A11" s="20"/>
      <c r="B11" s="28"/>
      <c r="C11" s="29"/>
      <c r="D11" s="30" t="s">
        <v>91</v>
      </c>
      <c r="E11" s="28"/>
      <c r="F11" s="28"/>
      <c r="G11" s="31"/>
      <c r="H11" s="31"/>
      <c r="I11" s="3"/>
    </row>
    <row r="12" spans="1:9" ht="13.5" customHeight="1" x14ac:dyDescent="0.25">
      <c r="A12" s="20"/>
      <c r="B12" s="28"/>
      <c r="C12" s="29"/>
      <c r="D12" s="30" t="s">
        <v>92</v>
      </c>
      <c r="E12" s="28"/>
      <c r="F12" s="28"/>
      <c r="G12" s="31"/>
      <c r="H12" s="31"/>
      <c r="I12" s="3"/>
    </row>
    <row r="13" spans="1:9" ht="13.5" customHeight="1" x14ac:dyDescent="0.25">
      <c r="A13" s="20"/>
      <c r="B13" s="28"/>
      <c r="C13" s="29"/>
      <c r="D13" s="32" t="s">
        <v>93</v>
      </c>
      <c r="E13" s="28"/>
      <c r="F13" s="32"/>
      <c r="G13" s="31"/>
      <c r="H13" s="31"/>
      <c r="I13" s="3"/>
    </row>
    <row r="14" spans="1:9" ht="13.5" customHeight="1" x14ac:dyDescent="0.25">
      <c r="A14" s="20"/>
      <c r="B14" s="32"/>
      <c r="C14" s="29"/>
      <c r="D14" s="33"/>
      <c r="E14" s="28"/>
      <c r="F14" s="32"/>
      <c r="G14" s="31"/>
      <c r="H14" s="31"/>
      <c r="I14" s="3"/>
    </row>
    <row r="15" spans="1:9" ht="13.5" customHeight="1" x14ac:dyDescent="0.25">
      <c r="A15" s="20"/>
      <c r="B15" s="34"/>
      <c r="C15" s="35"/>
      <c r="D15" s="36"/>
      <c r="E15" s="36"/>
      <c r="F15" s="36"/>
      <c r="G15" s="37"/>
      <c r="H15" s="37"/>
      <c r="I15" s="38"/>
    </row>
    <row r="16" spans="1:9" ht="13.5" customHeight="1" x14ac:dyDescent="0.25">
      <c r="A16" s="20"/>
      <c r="B16" s="39"/>
      <c r="C16" s="40" t="s">
        <v>94</v>
      </c>
      <c r="D16" s="41" t="s">
        <v>95</v>
      </c>
      <c r="E16" s="41" t="s">
        <v>96</v>
      </c>
      <c r="F16" s="41" t="s">
        <v>57</v>
      </c>
      <c r="G16" s="42" t="s">
        <v>12</v>
      </c>
      <c r="H16" s="42" t="s">
        <v>97</v>
      </c>
      <c r="I16" s="43" t="s">
        <v>98</v>
      </c>
    </row>
    <row r="17" spans="1:9" ht="13.5" customHeight="1" x14ac:dyDescent="0.25">
      <c r="A17" s="20"/>
      <c r="B17" s="32"/>
      <c r="C17" s="29"/>
      <c r="D17" s="33"/>
      <c r="E17" s="33"/>
      <c r="F17" s="33"/>
      <c r="G17" s="44"/>
      <c r="H17" s="44"/>
      <c r="I17" s="3"/>
    </row>
    <row r="18" spans="1:9" ht="13.5" customHeight="1" x14ac:dyDescent="0.25">
      <c r="A18" s="20"/>
      <c r="B18" s="27"/>
      <c r="C18" s="45">
        <v>114</v>
      </c>
      <c r="D18" s="27" t="s">
        <v>99</v>
      </c>
      <c r="E18" s="27" t="s">
        <v>100</v>
      </c>
      <c r="F18" s="27" t="s">
        <v>101</v>
      </c>
      <c r="G18" s="46" t="s">
        <v>102</v>
      </c>
      <c r="H18" s="46" t="s">
        <v>103</v>
      </c>
      <c r="I18" s="3"/>
    </row>
    <row r="19" spans="1:9" ht="13.5" customHeight="1" x14ac:dyDescent="0.25">
      <c r="A19" s="20"/>
      <c r="B19" s="32"/>
      <c r="C19" s="29"/>
      <c r="D19" s="33"/>
      <c r="E19" s="28" t="s">
        <v>104</v>
      </c>
      <c r="F19" s="28" t="s">
        <v>105</v>
      </c>
      <c r="G19" s="31" t="s">
        <v>106</v>
      </c>
      <c r="H19" s="31" t="s">
        <v>103</v>
      </c>
      <c r="I19" s="3"/>
    </row>
    <row r="20" spans="1:9" ht="13.5" customHeight="1" x14ac:dyDescent="0.25">
      <c r="A20" s="20"/>
      <c r="B20" s="32"/>
      <c r="C20" s="29"/>
      <c r="D20" s="33"/>
      <c r="E20" s="28" t="s">
        <v>107</v>
      </c>
      <c r="F20" s="28" t="s">
        <v>108</v>
      </c>
      <c r="G20" s="31" t="s">
        <v>109</v>
      </c>
      <c r="H20" s="31" t="s">
        <v>103</v>
      </c>
      <c r="I20" s="3"/>
    </row>
    <row r="21" spans="1:9" ht="13.5" customHeight="1" x14ac:dyDescent="0.25">
      <c r="A21" s="20"/>
      <c r="B21" s="32"/>
      <c r="C21" s="29"/>
      <c r="D21" s="33"/>
      <c r="E21" s="28" t="s">
        <v>25</v>
      </c>
      <c r="F21" s="28" t="s">
        <v>26</v>
      </c>
      <c r="G21" s="31" t="s">
        <v>27</v>
      </c>
      <c r="H21" s="31" t="s">
        <v>103</v>
      </c>
      <c r="I21" s="3"/>
    </row>
    <row r="22" spans="1:9" ht="15" customHeight="1" x14ac:dyDescent="0.25">
      <c r="E22" s="28" t="s">
        <v>28</v>
      </c>
      <c r="F22" s="3" t="s">
        <v>29</v>
      </c>
      <c r="G22" s="31" t="s">
        <v>30</v>
      </c>
      <c r="H22" s="3" t="s">
        <v>103</v>
      </c>
      <c r="I22" s="3"/>
    </row>
    <row r="23" spans="1:9" ht="15" customHeight="1" x14ac:dyDescent="0.25">
      <c r="E23" s="28" t="s">
        <v>31</v>
      </c>
      <c r="F23" s="3" t="s">
        <v>32</v>
      </c>
      <c r="G23" s="31" t="s">
        <v>33</v>
      </c>
      <c r="H23" s="3" t="s">
        <v>103</v>
      </c>
      <c r="I23" s="3"/>
    </row>
    <row r="24" spans="1:9" ht="15" customHeight="1" x14ac:dyDescent="0.25">
      <c r="E24" s="28" t="s">
        <v>110</v>
      </c>
      <c r="F24" s="3" t="s">
        <v>111</v>
      </c>
      <c r="G24" s="31" t="s">
        <v>112</v>
      </c>
      <c r="H24" s="3" t="s">
        <v>103</v>
      </c>
      <c r="I24" s="3"/>
    </row>
    <row r="25" spans="1:9" ht="15" customHeight="1" x14ac:dyDescent="0.25">
      <c r="E25" s="28" t="s">
        <v>113</v>
      </c>
      <c r="F25" s="3" t="s">
        <v>114</v>
      </c>
      <c r="G25" s="31" t="s">
        <v>115</v>
      </c>
      <c r="H25" s="3" t="s">
        <v>103</v>
      </c>
      <c r="I25" s="3"/>
    </row>
    <row r="26" spans="1:9" ht="15" customHeight="1" x14ac:dyDescent="0.25">
      <c r="E26" s="28"/>
      <c r="F26" s="3"/>
      <c r="G26" s="31"/>
      <c r="H26" s="3"/>
      <c r="I26" s="3"/>
    </row>
    <row r="27" spans="1:9" ht="15" customHeight="1" x14ac:dyDescent="0.25">
      <c r="C27" s="47">
        <v>115</v>
      </c>
      <c r="D27" s="28" t="s">
        <v>116</v>
      </c>
      <c r="E27" s="28" t="s">
        <v>117</v>
      </c>
      <c r="F27" s="3" t="s">
        <v>118</v>
      </c>
      <c r="G27" s="31" t="s">
        <v>119</v>
      </c>
      <c r="H27" s="3" t="s">
        <v>103</v>
      </c>
      <c r="I27" s="3"/>
    </row>
    <row r="28" spans="1:9" ht="15" customHeight="1" x14ac:dyDescent="0.25">
      <c r="E28" s="28" t="s">
        <v>120</v>
      </c>
      <c r="F28" s="3" t="s">
        <v>121</v>
      </c>
      <c r="G28" s="31" t="s">
        <v>122</v>
      </c>
      <c r="H28" s="3" t="s">
        <v>103</v>
      </c>
      <c r="I28" s="3"/>
    </row>
    <row r="29" spans="1:9" ht="15" customHeight="1" x14ac:dyDescent="0.25">
      <c r="E29" s="28" t="s">
        <v>123</v>
      </c>
      <c r="F29" s="3" t="s">
        <v>124</v>
      </c>
      <c r="G29" s="31" t="s">
        <v>125</v>
      </c>
      <c r="H29" s="3" t="s">
        <v>103</v>
      </c>
      <c r="I29" s="3"/>
    </row>
    <row r="30" spans="1:9" ht="15" x14ac:dyDescent="0.25">
      <c r="E30" s="28" t="s">
        <v>126</v>
      </c>
      <c r="F30" s="3" t="s">
        <v>127</v>
      </c>
      <c r="G30" s="31" t="s">
        <v>128</v>
      </c>
      <c r="H30" s="3" t="s">
        <v>103</v>
      </c>
      <c r="I30" s="3"/>
    </row>
    <row r="31" spans="1:9" ht="15" customHeight="1" x14ac:dyDescent="0.25">
      <c r="C31" s="47"/>
      <c r="D31" s="28"/>
      <c r="E31" s="28" t="s">
        <v>129</v>
      </c>
      <c r="F31" s="3" t="s">
        <v>130</v>
      </c>
      <c r="G31" s="31" t="s">
        <v>131</v>
      </c>
      <c r="H31" s="3" t="s">
        <v>103</v>
      </c>
      <c r="I31" s="3"/>
    </row>
    <row r="32" spans="1:9" ht="15" customHeight="1" x14ac:dyDescent="0.25">
      <c r="E32" s="28" t="s">
        <v>132</v>
      </c>
      <c r="F32" s="3" t="s">
        <v>133</v>
      </c>
      <c r="G32" s="31" t="s">
        <v>134</v>
      </c>
      <c r="H32" s="3" t="s">
        <v>103</v>
      </c>
      <c r="I32" s="3"/>
    </row>
    <row r="33" spans="2:9" ht="15" customHeight="1" x14ac:dyDescent="0.25">
      <c r="E33" s="28" t="s">
        <v>135</v>
      </c>
      <c r="F33" s="3" t="s">
        <v>136</v>
      </c>
      <c r="G33" s="31" t="s">
        <v>137</v>
      </c>
      <c r="H33" s="3" t="s">
        <v>103</v>
      </c>
      <c r="I33" s="3"/>
    </row>
    <row r="34" spans="2:9" ht="15" customHeight="1" x14ac:dyDescent="0.25">
      <c r="E34" s="28" t="s">
        <v>138</v>
      </c>
      <c r="F34" s="3" t="s">
        <v>139</v>
      </c>
      <c r="G34" s="31" t="s">
        <v>140</v>
      </c>
      <c r="H34" s="3" t="s">
        <v>141</v>
      </c>
      <c r="I34" s="3"/>
    </row>
    <row r="35" spans="2:9" ht="15" customHeight="1" x14ac:dyDescent="0.25">
      <c r="E35" s="28" t="s">
        <v>22</v>
      </c>
      <c r="F35" s="3" t="s">
        <v>23</v>
      </c>
      <c r="G35" s="31" t="s">
        <v>24</v>
      </c>
      <c r="H35" s="3" t="s">
        <v>103</v>
      </c>
      <c r="I35" s="3"/>
    </row>
    <row r="36" spans="2:9" ht="15" customHeight="1" x14ac:dyDescent="0.25">
      <c r="E36" s="28" t="s">
        <v>14</v>
      </c>
      <c r="F36" s="3" t="s">
        <v>15</v>
      </c>
      <c r="G36" s="31" t="s">
        <v>16</v>
      </c>
      <c r="H36" s="3" t="s">
        <v>103</v>
      </c>
      <c r="I36" s="3"/>
    </row>
    <row r="37" spans="2:9" ht="15" customHeight="1" x14ac:dyDescent="0.25">
      <c r="E37" s="28" t="s">
        <v>142</v>
      </c>
      <c r="F37" s="3" t="s">
        <v>143</v>
      </c>
      <c r="G37" s="31" t="s">
        <v>144</v>
      </c>
      <c r="H37" s="3" t="s">
        <v>145</v>
      </c>
      <c r="I37" s="3"/>
    </row>
    <row r="38" spans="2:9" ht="15" customHeight="1" x14ac:dyDescent="0.25">
      <c r="E38" s="28" t="s">
        <v>18</v>
      </c>
      <c r="F38" s="3" t="s">
        <v>19</v>
      </c>
      <c r="G38" s="31" t="s">
        <v>20</v>
      </c>
      <c r="H38" s="3" t="s">
        <v>103</v>
      </c>
      <c r="I38" s="3"/>
    </row>
    <row r="39" spans="2:9" ht="15" x14ac:dyDescent="0.25">
      <c r="E39" s="28" t="s">
        <v>146</v>
      </c>
      <c r="F39" s="3" t="s">
        <v>147</v>
      </c>
      <c r="G39" s="31" t="s">
        <v>148</v>
      </c>
      <c r="H39" s="3" t="s">
        <v>103</v>
      </c>
      <c r="I39" s="3"/>
    </row>
    <row r="40" spans="2:9" ht="15" customHeight="1" x14ac:dyDescent="0.25">
      <c r="C40" s="47"/>
      <c r="D40" s="28"/>
      <c r="E40" s="28" t="s">
        <v>149</v>
      </c>
      <c r="F40" s="3" t="s">
        <v>150</v>
      </c>
      <c r="G40" s="31" t="s">
        <v>151</v>
      </c>
      <c r="H40" s="3" t="s">
        <v>145</v>
      </c>
      <c r="I40" s="3"/>
    </row>
    <row r="41" spans="2:9" ht="15" customHeight="1" x14ac:dyDescent="0.25">
      <c r="E41" s="28" t="s">
        <v>152</v>
      </c>
      <c r="F41" s="3" t="s">
        <v>153</v>
      </c>
      <c r="G41" s="31" t="s">
        <v>154</v>
      </c>
      <c r="H41" s="3" t="s">
        <v>155</v>
      </c>
      <c r="I41" s="3"/>
    </row>
    <row r="42" spans="2:9" ht="15" customHeight="1" x14ac:dyDescent="0.25">
      <c r="E42" s="28" t="s">
        <v>156</v>
      </c>
      <c r="F42" s="3" t="s">
        <v>157</v>
      </c>
      <c r="G42" s="31" t="s">
        <v>158</v>
      </c>
      <c r="H42" s="3" t="s">
        <v>155</v>
      </c>
      <c r="I42" s="3"/>
    </row>
    <row r="43" spans="2:9" ht="15" customHeight="1" x14ac:dyDescent="0.25">
      <c r="E43" s="28"/>
      <c r="F43" s="3"/>
      <c r="G43" s="31"/>
      <c r="H43" s="3"/>
      <c r="I43" s="3"/>
    </row>
    <row r="44" spans="2:9" ht="15" customHeight="1" x14ac:dyDescent="0.25">
      <c r="B44" s="28" t="s">
        <v>34</v>
      </c>
      <c r="E44" s="28"/>
      <c r="F44" s="3"/>
      <c r="G44" s="31"/>
      <c r="H44" s="3"/>
      <c r="I44" s="3"/>
    </row>
    <row r="45" spans="2:9" ht="15" customHeight="1" x14ac:dyDescent="0.25">
      <c r="E45" s="28"/>
      <c r="F45" s="3"/>
      <c r="G45" s="31"/>
      <c r="H45" s="3"/>
      <c r="I45" s="3"/>
    </row>
    <row r="46" spans="2:9" ht="15" customHeight="1" x14ac:dyDescent="0.25">
      <c r="E46" s="28"/>
      <c r="F46" s="3"/>
      <c r="G46" s="31"/>
      <c r="H46" s="3"/>
      <c r="I46" s="3"/>
    </row>
    <row r="47" spans="2:9" ht="15" customHeight="1" x14ac:dyDescent="0.25">
      <c r="E47" s="28"/>
      <c r="F47" s="3"/>
      <c r="G47" s="31"/>
      <c r="H47" s="3"/>
      <c r="I47" s="3"/>
    </row>
    <row r="48" spans="2:9" ht="15" customHeight="1" x14ac:dyDescent="0.25">
      <c r="E48" s="28"/>
      <c r="F48" s="3"/>
      <c r="G48" s="31"/>
      <c r="H48" s="3"/>
      <c r="I48" s="3"/>
    </row>
    <row r="49" spans="3:9" ht="15" customHeight="1" x14ac:dyDescent="0.25">
      <c r="E49" s="28"/>
      <c r="F49" s="3"/>
      <c r="G49" s="31"/>
      <c r="H49" s="3"/>
      <c r="I49" s="3"/>
    </row>
    <row r="51" spans="3:9" ht="15" customHeight="1" x14ac:dyDescent="0.25">
      <c r="C51" s="47"/>
      <c r="D51" s="28"/>
      <c r="E51" s="28"/>
      <c r="F51" s="3"/>
      <c r="G51" s="31"/>
      <c r="H51" s="3"/>
      <c r="I51" s="3"/>
    </row>
    <row r="52" spans="3:9" ht="15" customHeight="1" x14ac:dyDescent="0.25">
      <c r="E52" s="28"/>
      <c r="F52" s="3"/>
      <c r="G52" s="31"/>
      <c r="H52" s="3"/>
      <c r="I52" s="3"/>
    </row>
    <row r="53" spans="3:9" ht="15" customHeight="1" x14ac:dyDescent="0.25">
      <c r="E53" s="28"/>
      <c r="F53" s="3"/>
      <c r="G53" s="31"/>
      <c r="H53" s="3"/>
      <c r="I53" s="3"/>
    </row>
    <row r="54" spans="3:9" ht="15" customHeight="1" x14ac:dyDescent="0.25">
      <c r="E54" s="28"/>
      <c r="F54" s="3"/>
      <c r="G54" s="31"/>
      <c r="H54" s="3"/>
      <c r="I54" s="3"/>
    </row>
    <row r="55" spans="3:9" ht="15" customHeight="1" x14ac:dyDescent="0.25">
      <c r="E55" s="28"/>
      <c r="F55" s="3"/>
      <c r="G55" s="31"/>
      <c r="H55" s="3"/>
      <c r="I55" s="3"/>
    </row>
    <row r="56" spans="3:9" ht="15" customHeight="1" x14ac:dyDescent="0.25">
      <c r="E56" s="28"/>
      <c r="F56" s="3"/>
      <c r="G56" s="31"/>
      <c r="H56" s="3"/>
      <c r="I56" s="3"/>
    </row>
    <row r="57" spans="3:9" ht="15" customHeight="1" x14ac:dyDescent="0.25">
      <c r="E57" s="28"/>
      <c r="F57" s="3"/>
      <c r="G57" s="31"/>
      <c r="H57" s="3"/>
      <c r="I57" s="3"/>
    </row>
    <row r="58" spans="3:9" ht="15" customHeight="1" x14ac:dyDescent="0.25">
      <c r="E58" s="28"/>
      <c r="F58" s="3"/>
      <c r="G58" s="31"/>
      <c r="H58" s="3"/>
      <c r="I58" s="3"/>
    </row>
    <row r="59" spans="3:9" ht="15" customHeight="1" x14ac:dyDescent="0.25">
      <c r="E59" s="28"/>
      <c r="F59" s="3"/>
      <c r="G59" s="31"/>
      <c r="H59" s="3"/>
      <c r="I59" s="3"/>
    </row>
    <row r="60" spans="3:9" ht="15" customHeight="1" x14ac:dyDescent="0.25">
      <c r="E60" s="28"/>
      <c r="F60" s="3"/>
      <c r="G60" s="31"/>
      <c r="H60" s="3"/>
      <c r="I60" s="3"/>
    </row>
    <row r="61" spans="3:9" ht="15" customHeight="1" x14ac:dyDescent="0.25">
      <c r="E61" s="28"/>
      <c r="F61" s="3"/>
      <c r="G61" s="31"/>
      <c r="H61" s="3"/>
      <c r="I61" s="3"/>
    </row>
    <row r="62" spans="3:9" ht="15" customHeight="1" x14ac:dyDescent="0.25">
      <c r="E62" s="28"/>
      <c r="F62" s="3"/>
      <c r="G62" s="31"/>
      <c r="H62" s="3"/>
      <c r="I62" s="3"/>
    </row>
    <row r="63" spans="3:9" ht="15" customHeight="1" x14ac:dyDescent="0.25">
      <c r="E63" s="28"/>
      <c r="F63" s="3"/>
      <c r="G63" s="31"/>
      <c r="H63" s="3"/>
      <c r="I63" s="3"/>
    </row>
    <row r="65" spans="2:9" ht="15" customHeight="1" x14ac:dyDescent="0.25">
      <c r="C65" s="47"/>
      <c r="D65" s="28"/>
      <c r="E65" s="28"/>
      <c r="F65" s="3"/>
      <c r="G65" s="31"/>
      <c r="H65" s="3"/>
      <c r="I65" s="3"/>
    </row>
    <row r="66" spans="2:9" ht="15" customHeight="1" x14ac:dyDescent="0.25">
      <c r="E66" s="28"/>
      <c r="F66" s="3"/>
      <c r="G66" s="31"/>
      <c r="H66" s="3"/>
      <c r="I66" s="3"/>
    </row>
    <row r="67" spans="2:9" ht="15" customHeight="1" x14ac:dyDescent="0.25">
      <c r="E67" s="28"/>
      <c r="F67" s="3"/>
      <c r="G67" s="31"/>
      <c r="H67" s="3"/>
      <c r="I67" s="3"/>
    </row>
    <row r="68" spans="2:9" ht="15" customHeight="1" x14ac:dyDescent="0.25">
      <c r="E68" s="28"/>
      <c r="F68" s="3"/>
      <c r="G68" s="31"/>
      <c r="H68" s="3"/>
      <c r="I68" s="3"/>
    </row>
    <row r="69" spans="2:9" ht="15" customHeight="1" x14ac:dyDescent="0.25">
      <c r="E69" s="28"/>
      <c r="F69" s="3"/>
      <c r="G69" s="31"/>
      <c r="H69" s="3"/>
      <c r="I69" s="3"/>
    </row>
    <row r="71" spans="2:9" ht="15" customHeight="1" x14ac:dyDescent="0.25">
      <c r="B71" s="28"/>
    </row>
  </sheetData>
  <sheetProtection algorithmName="SHA-512" hashValue="1wfQslLDmWtpCI6dRDo4pj4gCH9nejMmmys7le798S0VVo4jANVTnFMMM2wPdUJZoc9EU/U3Yo2fuxxbLgD6uw==" saltValue="Aghg3qpWo3/E29DsTOUbAw==" spinCount="100000" sheet="1" objects="1" scenarios="1"/>
  <mergeCells count="1">
    <mergeCell ref="B1:I1"/>
  </mergeCells>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 &amp;Kffffff&amp;A</oddHeader>
    <oddFooter>&amp;C&amp;"Times New Roman,Regular"&amp;12 &amp;KffffffPage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pageSetUpPr fitToPage="1"/>
  </sheetPr>
  <dimension ref="A1:Z1000"/>
  <sheetViews>
    <sheetView tabSelected="1" zoomScale="110" zoomScaleNormal="110" workbookViewId="0">
      <selection activeCell="B8" sqref="B8"/>
    </sheetView>
  </sheetViews>
  <sheetFormatPr defaultColWidth="14.42578125" defaultRowHeight="15" customHeight="1" x14ac:dyDescent="0.25"/>
  <cols>
    <col min="1" max="1" width="12.7109375" customWidth="1"/>
    <col min="2" max="2" width="36.5703125" customWidth="1"/>
    <col min="3" max="3" width="13.28515625" customWidth="1"/>
    <col min="4" max="4" width="14" style="48" customWidth="1"/>
    <col min="5" max="5" width="14.7109375" customWidth="1"/>
    <col min="6" max="25" width="9.140625" customWidth="1"/>
  </cols>
  <sheetData>
    <row r="1" spans="1:26" ht="14.25" customHeight="1" x14ac:dyDescent="0.25">
      <c r="A1" s="17"/>
      <c r="B1" s="238" t="s">
        <v>0</v>
      </c>
      <c r="C1" s="239"/>
      <c r="D1" s="240"/>
      <c r="E1" s="49"/>
      <c r="F1" s="49"/>
      <c r="G1" s="49"/>
      <c r="H1" s="49"/>
      <c r="I1" s="49"/>
      <c r="J1" s="49"/>
      <c r="K1" s="49"/>
      <c r="L1" s="49"/>
      <c r="M1" s="49"/>
      <c r="N1" s="49"/>
      <c r="O1" s="49"/>
      <c r="P1" s="49"/>
      <c r="Q1" s="49"/>
      <c r="R1" s="49"/>
      <c r="S1" s="49"/>
      <c r="T1" s="49"/>
      <c r="U1" s="49"/>
      <c r="V1" s="49"/>
      <c r="W1" s="49"/>
      <c r="X1" s="49"/>
      <c r="Y1" s="49"/>
      <c r="Z1" s="49"/>
    </row>
    <row r="2" spans="1:26" ht="14.25" customHeight="1" x14ac:dyDescent="0.25">
      <c r="A2" s="50" t="s">
        <v>1</v>
      </c>
      <c r="B2" s="234" t="s">
        <v>2</v>
      </c>
      <c r="C2" s="235"/>
      <c r="D2" s="236"/>
      <c r="E2" s="49"/>
      <c r="F2" s="49"/>
      <c r="G2" s="49"/>
      <c r="H2" s="49"/>
      <c r="I2" s="49"/>
      <c r="J2" s="49"/>
      <c r="K2" s="49"/>
      <c r="L2" s="49"/>
      <c r="M2" s="49"/>
      <c r="N2" s="49"/>
      <c r="O2" s="49"/>
      <c r="P2" s="49"/>
      <c r="Q2" s="49"/>
      <c r="R2" s="49"/>
      <c r="S2" s="49"/>
      <c r="T2" s="49"/>
      <c r="U2" s="49"/>
      <c r="V2" s="49"/>
      <c r="W2" s="49"/>
      <c r="X2" s="49"/>
      <c r="Y2" s="49"/>
      <c r="Z2" s="49"/>
    </row>
    <row r="3" spans="1:26" ht="14.25" customHeight="1" x14ac:dyDescent="0.25">
      <c r="A3" s="50" t="s">
        <v>3</v>
      </c>
      <c r="B3" s="234" t="s">
        <v>4</v>
      </c>
      <c r="C3" s="235"/>
      <c r="D3" s="236"/>
      <c r="E3" s="49"/>
      <c r="F3" s="49"/>
      <c r="G3" s="49"/>
      <c r="H3" s="49"/>
      <c r="I3" s="49"/>
      <c r="J3" s="49"/>
      <c r="K3" s="49"/>
      <c r="L3" s="49"/>
      <c r="M3" s="49"/>
      <c r="N3" s="49"/>
      <c r="O3" s="49"/>
      <c r="P3" s="49"/>
      <c r="Q3" s="49"/>
      <c r="R3" s="49"/>
      <c r="S3" s="49"/>
      <c r="T3" s="49"/>
      <c r="U3" s="49"/>
      <c r="V3" s="49"/>
      <c r="W3" s="49"/>
      <c r="X3" s="49"/>
      <c r="Y3" s="49"/>
      <c r="Z3" s="49"/>
    </row>
    <row r="4" spans="1:26" ht="14.25" customHeight="1" x14ac:dyDescent="0.25">
      <c r="A4" s="50" t="s">
        <v>5</v>
      </c>
      <c r="B4" s="51" t="s">
        <v>6</v>
      </c>
      <c r="C4" s="52" t="s">
        <v>7</v>
      </c>
      <c r="D4" s="53">
        <v>1</v>
      </c>
      <c r="E4" s="49"/>
      <c r="F4" s="49"/>
      <c r="G4" s="49"/>
      <c r="H4" s="49"/>
      <c r="I4" s="49"/>
      <c r="J4" s="49"/>
      <c r="K4" s="49"/>
      <c r="L4" s="49"/>
      <c r="M4" s="49"/>
      <c r="N4" s="49"/>
      <c r="O4" s="49"/>
      <c r="P4" s="49"/>
      <c r="Q4" s="49"/>
      <c r="R4" s="49"/>
      <c r="S4" s="49"/>
      <c r="T4" s="49"/>
      <c r="U4" s="49"/>
      <c r="V4" s="49"/>
      <c r="W4" s="49"/>
      <c r="X4" s="49"/>
      <c r="Y4" s="49"/>
      <c r="Z4" s="49"/>
    </row>
    <row r="5" spans="1:26" ht="14.25" customHeight="1" x14ac:dyDescent="0.25">
      <c r="A5" s="17"/>
      <c r="B5" s="241" t="s">
        <v>8</v>
      </c>
      <c r="C5" s="242"/>
      <c r="D5" s="307" t="s">
        <v>216</v>
      </c>
      <c r="E5" s="54"/>
      <c r="F5" s="49"/>
      <c r="G5" s="49"/>
      <c r="H5" s="49"/>
      <c r="I5" s="49"/>
      <c r="J5" s="49"/>
      <c r="K5" s="49"/>
      <c r="L5" s="49"/>
      <c r="M5" s="49"/>
      <c r="N5" s="49"/>
      <c r="O5" s="49"/>
      <c r="P5" s="49"/>
      <c r="Q5" s="49"/>
      <c r="R5" s="49"/>
      <c r="S5" s="49"/>
      <c r="T5" s="49"/>
      <c r="U5" s="49"/>
      <c r="V5" s="49"/>
      <c r="W5" s="49"/>
      <c r="X5" s="49"/>
      <c r="Y5" s="49"/>
      <c r="Z5" s="49"/>
    </row>
    <row r="6" spans="1:26" ht="14.25" customHeight="1" x14ac:dyDescent="0.25">
      <c r="A6" s="237" t="s">
        <v>9</v>
      </c>
      <c r="B6" s="224"/>
      <c r="C6" s="224"/>
      <c r="D6" s="220"/>
    </row>
    <row r="7" spans="1:26" ht="14.25" customHeight="1" x14ac:dyDescent="0.25">
      <c r="A7" s="55"/>
      <c r="B7" s="17" t="s">
        <v>10</v>
      </c>
      <c r="C7" s="17" t="s">
        <v>11</v>
      </c>
      <c r="D7" s="56" t="s">
        <v>12</v>
      </c>
    </row>
    <row r="8" spans="1:26" ht="14.25" customHeight="1" x14ac:dyDescent="0.25">
      <c r="A8" s="57" t="str">
        <f>CONCATENATE("Baan ",D$4)</f>
        <v>Baan 1</v>
      </c>
      <c r="B8" s="58"/>
      <c r="C8" s="59"/>
      <c r="D8" s="60"/>
    </row>
    <row r="9" spans="1:26" ht="14.25" customHeight="1" x14ac:dyDescent="0.25">
      <c r="A9" s="55" t="s">
        <v>13</v>
      </c>
      <c r="B9" s="61"/>
      <c r="C9" s="62"/>
      <c r="D9" s="60"/>
    </row>
    <row r="10" spans="1:26" ht="14.25" customHeight="1" x14ac:dyDescent="0.25">
      <c r="A10" s="55" t="s">
        <v>17</v>
      </c>
      <c r="B10" s="61"/>
      <c r="C10" s="62"/>
      <c r="D10" s="60"/>
    </row>
    <row r="11" spans="1:26" ht="14.25" customHeight="1" x14ac:dyDescent="0.25">
      <c r="A11" s="55" t="s">
        <v>21</v>
      </c>
      <c r="B11" s="63"/>
      <c r="C11" s="64"/>
      <c r="D11" s="60"/>
    </row>
    <row r="12" spans="1:26" ht="14.25" customHeight="1" x14ac:dyDescent="0.25">
      <c r="A12" s="55"/>
      <c r="B12" s="17" t="s">
        <v>10</v>
      </c>
      <c r="C12" s="17" t="s">
        <v>11</v>
      </c>
      <c r="D12" s="56"/>
    </row>
    <row r="13" spans="1:26" ht="14.25" customHeight="1" x14ac:dyDescent="0.25">
      <c r="A13" s="57" t="str">
        <f>CONCATENATE("Baan ",D$4+1)</f>
        <v>Baan 2</v>
      </c>
      <c r="B13" s="58"/>
      <c r="C13" s="59"/>
      <c r="D13" s="60"/>
    </row>
    <row r="14" spans="1:26" ht="14.25" customHeight="1" x14ac:dyDescent="0.25">
      <c r="A14" s="55" t="s">
        <v>13</v>
      </c>
      <c r="B14" s="61"/>
      <c r="C14" s="62"/>
      <c r="D14" s="60"/>
    </row>
    <row r="15" spans="1:26" ht="14.25" customHeight="1" x14ac:dyDescent="0.25">
      <c r="A15" s="55" t="s">
        <v>17</v>
      </c>
      <c r="B15" s="61"/>
      <c r="C15" s="62"/>
      <c r="D15" s="60"/>
    </row>
    <row r="16" spans="1:26" ht="14.25" customHeight="1" x14ac:dyDescent="0.25">
      <c r="A16" s="55" t="s">
        <v>21</v>
      </c>
      <c r="B16" s="63"/>
      <c r="C16" s="64"/>
      <c r="D16" s="60"/>
    </row>
    <row r="17" spans="1:4" ht="14.25" customHeight="1" x14ac:dyDescent="0.25">
      <c r="A17" s="55"/>
      <c r="B17" s="17" t="s">
        <v>10</v>
      </c>
      <c r="C17" s="17" t="s">
        <v>11</v>
      </c>
      <c r="D17" s="56"/>
    </row>
    <row r="18" spans="1:4" ht="14.25" customHeight="1" x14ac:dyDescent="0.25">
      <c r="A18" s="57" t="str">
        <f>CONCATENATE("Baan ",D$4+2)</f>
        <v>Baan 3</v>
      </c>
      <c r="B18" s="58"/>
      <c r="C18" s="59"/>
      <c r="D18" s="60"/>
    </row>
    <row r="19" spans="1:4" ht="14.25" customHeight="1" x14ac:dyDescent="0.25">
      <c r="A19" s="55" t="s">
        <v>13</v>
      </c>
      <c r="B19" s="61"/>
      <c r="C19" s="62"/>
      <c r="D19" s="60"/>
    </row>
    <row r="20" spans="1:4" ht="14.25" customHeight="1" x14ac:dyDescent="0.25">
      <c r="A20" s="55" t="s">
        <v>17</v>
      </c>
      <c r="B20" s="61"/>
      <c r="C20" s="62"/>
      <c r="D20" s="60"/>
    </row>
    <row r="21" spans="1:4" ht="14.25" customHeight="1" x14ac:dyDescent="0.25">
      <c r="A21" s="55" t="s">
        <v>21</v>
      </c>
      <c r="B21" s="63"/>
      <c r="C21" s="64"/>
      <c r="D21" s="60"/>
    </row>
    <row r="22" spans="1:4" ht="14.25" customHeight="1" x14ac:dyDescent="0.25">
      <c r="A22" s="55"/>
      <c r="B22" s="17" t="s">
        <v>10</v>
      </c>
      <c r="C22" s="17" t="s">
        <v>11</v>
      </c>
      <c r="D22" s="56"/>
    </row>
    <row r="23" spans="1:4" ht="14.25" customHeight="1" x14ac:dyDescent="0.25">
      <c r="A23" s="57" t="str">
        <f>CONCATENATE("Baan ",D$4+3)</f>
        <v>Baan 4</v>
      </c>
      <c r="B23" s="58"/>
      <c r="C23" s="59"/>
      <c r="D23" s="60"/>
    </row>
    <row r="24" spans="1:4" ht="14.25" customHeight="1" x14ac:dyDescent="0.25">
      <c r="A24" s="55" t="s">
        <v>13</v>
      </c>
      <c r="B24" s="61"/>
      <c r="C24" s="62"/>
      <c r="D24" s="60"/>
    </row>
    <row r="25" spans="1:4" ht="14.25" customHeight="1" x14ac:dyDescent="0.25">
      <c r="A25" s="55" t="s">
        <v>17</v>
      </c>
      <c r="B25" s="61"/>
      <c r="C25" s="62"/>
      <c r="D25" s="60"/>
    </row>
    <row r="26" spans="1:4" ht="14.25" customHeight="1" x14ac:dyDescent="0.25">
      <c r="A26" s="55" t="s">
        <v>21</v>
      </c>
      <c r="B26" s="63"/>
      <c r="C26" s="64"/>
      <c r="D26" s="60"/>
    </row>
    <row r="27" spans="1:4" ht="14.25" customHeight="1" x14ac:dyDescent="0.25">
      <c r="A27" s="55"/>
      <c r="B27" s="17" t="s">
        <v>10</v>
      </c>
      <c r="C27" s="17" t="s">
        <v>11</v>
      </c>
      <c r="D27" s="56"/>
    </row>
    <row r="28" spans="1:4" ht="14.25" customHeight="1" x14ac:dyDescent="0.25">
      <c r="A28" s="57" t="str">
        <f>CONCATENATE("Baan ",D$4+4)</f>
        <v>Baan 5</v>
      </c>
      <c r="B28" s="58"/>
      <c r="C28" s="59"/>
      <c r="D28" s="60"/>
    </row>
    <row r="29" spans="1:4" ht="14.25" customHeight="1" x14ac:dyDescent="0.25">
      <c r="A29" s="55" t="s">
        <v>13</v>
      </c>
      <c r="B29" s="61"/>
      <c r="C29" s="62"/>
      <c r="D29" s="60"/>
    </row>
    <row r="30" spans="1:4" ht="14.25" customHeight="1" x14ac:dyDescent="0.25">
      <c r="A30" s="55" t="s">
        <v>17</v>
      </c>
      <c r="B30" s="61"/>
      <c r="C30" s="62"/>
      <c r="D30" s="60"/>
    </row>
    <row r="31" spans="1:4" ht="14.25" customHeight="1" x14ac:dyDescent="0.25">
      <c r="A31" s="55" t="s">
        <v>21</v>
      </c>
      <c r="B31" s="63"/>
      <c r="C31" s="64"/>
      <c r="D31" s="60"/>
    </row>
    <row r="32" spans="1:4" ht="14.25" customHeight="1" x14ac:dyDescent="0.25">
      <c r="A32" s="55"/>
      <c r="B32" s="17" t="s">
        <v>10</v>
      </c>
      <c r="C32" s="17" t="s">
        <v>11</v>
      </c>
      <c r="D32" s="56"/>
    </row>
    <row r="33" spans="1:4" ht="14.25" customHeight="1" x14ac:dyDescent="0.25">
      <c r="A33" s="57" t="str">
        <f>CONCATENATE("Baan ",D$4+5)</f>
        <v>Baan 6</v>
      </c>
      <c r="B33" s="58"/>
      <c r="C33" s="59"/>
      <c r="D33" s="60"/>
    </row>
    <row r="34" spans="1:4" ht="14.25" customHeight="1" x14ac:dyDescent="0.25">
      <c r="A34" s="55" t="s">
        <v>13</v>
      </c>
      <c r="B34" s="61"/>
      <c r="C34" s="62"/>
      <c r="D34" s="60"/>
    </row>
    <row r="35" spans="1:4" ht="14.25" customHeight="1" x14ac:dyDescent="0.25">
      <c r="A35" s="55" t="s">
        <v>17</v>
      </c>
      <c r="B35" s="61"/>
      <c r="C35" s="62"/>
      <c r="D35" s="60"/>
    </row>
    <row r="36" spans="1:4" ht="14.25" customHeight="1" x14ac:dyDescent="0.25">
      <c r="A36" s="55" t="s">
        <v>21</v>
      </c>
      <c r="B36" s="63"/>
      <c r="C36" s="64"/>
      <c r="D36" s="60"/>
    </row>
    <row r="37" spans="1:4" ht="14.25" customHeight="1" x14ac:dyDescent="0.25">
      <c r="A37" s="55"/>
      <c r="B37" s="17" t="s">
        <v>10</v>
      </c>
      <c r="C37" s="17" t="s">
        <v>11</v>
      </c>
      <c r="D37" s="56"/>
    </row>
    <row r="38" spans="1:4" ht="14.25" customHeight="1" x14ac:dyDescent="0.25">
      <c r="A38" s="57" t="str">
        <f>CONCATENATE("Baan ",D$4+6)</f>
        <v>Baan 7</v>
      </c>
      <c r="B38" s="58"/>
      <c r="C38" s="59"/>
      <c r="D38" s="60"/>
    </row>
    <row r="39" spans="1:4" ht="14.25" customHeight="1" x14ac:dyDescent="0.25">
      <c r="A39" s="55" t="s">
        <v>13</v>
      </c>
      <c r="B39" s="61"/>
      <c r="C39" s="62"/>
      <c r="D39" s="60"/>
    </row>
    <row r="40" spans="1:4" ht="14.25" customHeight="1" x14ac:dyDescent="0.25">
      <c r="A40" s="55" t="s">
        <v>17</v>
      </c>
      <c r="B40" s="61"/>
      <c r="C40" s="62"/>
      <c r="D40" s="60"/>
    </row>
    <row r="41" spans="1:4" ht="14.25" customHeight="1" x14ac:dyDescent="0.25">
      <c r="A41" s="55" t="s">
        <v>21</v>
      </c>
      <c r="B41" s="63"/>
      <c r="C41" s="64"/>
      <c r="D41" s="60"/>
    </row>
    <row r="42" spans="1:4" ht="14.25" customHeight="1" x14ac:dyDescent="0.25">
      <c r="A42" s="55"/>
      <c r="B42" s="17" t="s">
        <v>10</v>
      </c>
      <c r="C42" s="17" t="s">
        <v>11</v>
      </c>
      <c r="D42" s="56"/>
    </row>
    <row r="43" spans="1:4" ht="14.25" customHeight="1" x14ac:dyDescent="0.25">
      <c r="A43" s="57" t="str">
        <f>CONCATENATE("Baan ",D$4+7)</f>
        <v>Baan 8</v>
      </c>
      <c r="B43" s="58"/>
      <c r="C43" s="59"/>
      <c r="D43" s="60"/>
    </row>
    <row r="44" spans="1:4" ht="14.25" customHeight="1" x14ac:dyDescent="0.25">
      <c r="A44" s="55" t="s">
        <v>13</v>
      </c>
      <c r="B44" s="61"/>
      <c r="C44" s="62"/>
      <c r="D44" s="60"/>
    </row>
    <row r="45" spans="1:4" ht="14.25" customHeight="1" x14ac:dyDescent="0.25">
      <c r="A45" s="55" t="s">
        <v>17</v>
      </c>
      <c r="B45" s="61"/>
      <c r="C45" s="62"/>
      <c r="D45" s="60"/>
    </row>
    <row r="46" spans="1:4" ht="14.25" customHeight="1" x14ac:dyDescent="0.25">
      <c r="A46" s="55" t="s">
        <v>21</v>
      </c>
      <c r="B46" s="63"/>
      <c r="C46" s="64"/>
      <c r="D46" s="60"/>
    </row>
    <row r="47" spans="1:4" ht="14.25" customHeight="1" x14ac:dyDescent="0.25">
      <c r="A47" s="65"/>
      <c r="B47" s="66"/>
      <c r="C47" s="66"/>
      <c r="D47" s="67"/>
    </row>
    <row r="48" spans="1:4" ht="14.25" customHeight="1" x14ac:dyDescent="0.25"/>
    <row r="49" spans="1:1" ht="14.25" customHeight="1" x14ac:dyDescent="0.25"/>
    <row r="50" spans="1:1" ht="14.25" customHeight="1" x14ac:dyDescent="0.25">
      <c r="A50" t="s">
        <v>34</v>
      </c>
    </row>
    <row r="51" spans="1:1" ht="14.25" customHeight="1" x14ac:dyDescent="0.25"/>
    <row r="52" spans="1:1" ht="14.25" customHeight="1" x14ac:dyDescent="0.25"/>
    <row r="53" spans="1:1" ht="14.25" customHeight="1" x14ac:dyDescent="0.25"/>
    <row r="54" spans="1:1" ht="14.25" customHeight="1" x14ac:dyDescent="0.25"/>
    <row r="55" spans="1:1" ht="14.25" customHeight="1" x14ac:dyDescent="0.25"/>
    <row r="56" spans="1:1" ht="14.25" customHeight="1" x14ac:dyDescent="0.25"/>
    <row r="57" spans="1:1" ht="14.25" customHeight="1" x14ac:dyDescent="0.25"/>
    <row r="58" spans="1:1" ht="14.25" customHeight="1" x14ac:dyDescent="0.25"/>
    <row r="59" spans="1:1" ht="14.25" customHeight="1" x14ac:dyDescent="0.25"/>
    <row r="60" spans="1:1" ht="14.25" customHeight="1" x14ac:dyDescent="0.25"/>
    <row r="61" spans="1:1" ht="14.25" customHeight="1" x14ac:dyDescent="0.25"/>
    <row r="62" spans="1:1" ht="14.25" customHeight="1" x14ac:dyDescent="0.25"/>
    <row r="63" spans="1:1" ht="14.25" customHeight="1" x14ac:dyDescent="0.25"/>
    <row r="64" spans="1:1"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algorithmName="SHA-512" hashValue="kXrzb5YVbU++peNaaNA/M99KsqQ3+04FqxN1lMApLRydbd/us7oLjOOvy+tDeQNoRugvz0V/6mqMf+MxjKw/bA==" saltValue="GyyeIXtG+wNKMZwtU9dAfg==" spinCount="100000" sheet="1" objects="1" scenarios="1" selectLockedCells="1"/>
  <mergeCells count="5">
    <mergeCell ref="B3:D3"/>
    <mergeCell ref="A6:D6"/>
    <mergeCell ref="B1:D1"/>
    <mergeCell ref="B5:C5"/>
    <mergeCell ref="B2:D2"/>
  </mergeCells>
  <dataValidations count="1">
    <dataValidation type="list" allowBlank="1" showErrorMessage="1" sqref="D5" xr:uid="{00000000-0002-0000-0200-000000000000}">
      <formula1>"1 of 2,3 of 4,5 of 6,7 of 8"</formula1>
    </dataValidation>
  </dataValidations>
  <printOptions horizontalCentered="1" verticalCentered="1"/>
  <pageMargins left="0.43333333333333302" right="0.31527777777777799" top="0.47222222222222199" bottom="0.179861111111111" header="0" footer="0.511811023622047"/>
  <pageSetup paperSize="9" orientation="portrait" horizontalDpi="300" verticalDpi="300"/>
  <headerFooter>
    <oddHeader>&amp;CDeelnemers</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pageSetUpPr fitToPage="1"/>
  </sheetPr>
  <dimension ref="A1:AG1000"/>
  <sheetViews>
    <sheetView zoomScaleNormal="100" workbookViewId="0">
      <selection activeCell="C5" sqref="C5"/>
    </sheetView>
  </sheetViews>
  <sheetFormatPr defaultColWidth="14.42578125" defaultRowHeight="15" customHeight="1" x14ac:dyDescent="0.25"/>
  <cols>
    <col min="1" max="1" width="8.7109375" style="3" customWidth="1"/>
    <col min="2" max="2" width="65.140625" style="3" customWidth="1"/>
    <col min="3" max="6" width="6.7109375" style="47" customWidth="1"/>
    <col min="7" max="7" width="6.7109375" style="3" customWidth="1"/>
    <col min="8" max="8" width="4.42578125" style="3" customWidth="1"/>
    <col min="9" max="9" width="28.5703125" style="3" customWidth="1"/>
    <col min="10" max="10" width="8.140625" style="3" customWidth="1"/>
    <col min="11" max="24" width="3.28515625" style="3" customWidth="1"/>
    <col min="25" max="25" width="5.5703125" style="3" customWidth="1"/>
    <col min="26" max="26" width="8.140625" style="3" customWidth="1"/>
    <col min="27" max="27" width="6.42578125" style="3" customWidth="1"/>
    <col min="28" max="28" width="14.42578125" style="3" customWidth="1"/>
    <col min="29" max="29" width="14.42578125" style="3" hidden="1" customWidth="1"/>
    <col min="30" max="30" width="26.5703125" style="3" hidden="1" customWidth="1"/>
    <col min="31" max="33" width="6.28515625" style="3" hidden="1" customWidth="1"/>
    <col min="34" max="34" width="14.42578125" style="3" customWidth="1"/>
    <col min="35" max="16384" width="14.42578125" style="3"/>
  </cols>
  <sheetData>
    <row r="1" spans="1:33" ht="14.25" customHeight="1" x14ac:dyDescent="0.25">
      <c r="B1" s="29"/>
      <c r="C1" s="29"/>
      <c r="D1" s="29"/>
      <c r="E1" s="29"/>
      <c r="F1" s="29"/>
      <c r="G1" s="4"/>
      <c r="H1" s="4"/>
      <c r="I1" s="29"/>
      <c r="J1" s="29"/>
      <c r="K1" s="29"/>
      <c r="L1" s="29"/>
      <c r="M1" s="29"/>
      <c r="N1" s="29"/>
      <c r="O1" s="29"/>
      <c r="P1" s="29"/>
      <c r="Q1" s="29"/>
      <c r="R1" s="29"/>
      <c r="S1" s="29"/>
      <c r="T1" s="29"/>
      <c r="U1" s="29"/>
      <c r="V1" s="29"/>
      <c r="W1" s="29"/>
      <c r="X1" s="29"/>
      <c r="Y1" s="29"/>
      <c r="Z1" s="4"/>
      <c r="AA1" s="4"/>
    </row>
    <row r="2" spans="1:33" ht="14.25" customHeight="1" x14ac:dyDescent="0.25">
      <c r="A2" s="68"/>
      <c r="B2" s="223" t="s">
        <v>159</v>
      </c>
      <c r="C2" s="224"/>
      <c r="D2" s="224"/>
      <c r="E2" s="224"/>
      <c r="F2" s="220"/>
      <c r="G2" s="4"/>
      <c r="H2" s="69"/>
      <c r="I2" s="227" t="s">
        <v>160</v>
      </c>
      <c r="J2" s="228"/>
      <c r="K2" s="228"/>
      <c r="L2" s="228"/>
      <c r="M2" s="228"/>
      <c r="N2" s="228"/>
      <c r="O2" s="228"/>
      <c r="P2" s="228"/>
      <c r="Q2" s="228"/>
      <c r="R2" s="228"/>
      <c r="S2" s="228"/>
      <c r="T2" s="228"/>
      <c r="U2" s="228"/>
      <c r="V2" s="228"/>
      <c r="W2" s="228"/>
      <c r="X2" s="228"/>
      <c r="Y2" s="228"/>
      <c r="Z2" s="70"/>
      <c r="AA2" s="70"/>
      <c r="AC2" s="71" t="str">
        <f>Deelnemers!D5</f>
        <v>7 of 8</v>
      </c>
    </row>
    <row r="3" spans="1:33" ht="14.25" customHeight="1" x14ac:dyDescent="0.25">
      <c r="A3" s="72"/>
      <c r="B3" s="73"/>
      <c r="C3" s="2"/>
      <c r="D3" s="2"/>
      <c r="F3" s="1"/>
      <c r="H3" s="18"/>
      <c r="I3" s="74"/>
      <c r="J3" s="29"/>
      <c r="K3" s="29"/>
      <c r="L3" s="29"/>
      <c r="M3" s="29"/>
      <c r="N3" s="29"/>
      <c r="O3" s="29"/>
      <c r="P3" s="29"/>
      <c r="Q3" s="29"/>
      <c r="R3" s="29"/>
      <c r="S3" s="29"/>
      <c r="T3" s="29"/>
      <c r="U3" s="29"/>
      <c r="V3" s="29"/>
      <c r="W3" s="29"/>
      <c r="X3" s="29"/>
      <c r="Y3" s="29"/>
      <c r="Z3" s="75"/>
      <c r="AA3" s="75"/>
    </row>
    <row r="4" spans="1:33" ht="14.25" customHeight="1" x14ac:dyDescent="0.25">
      <c r="A4" s="76" t="s">
        <v>161</v>
      </c>
      <c r="C4" s="225" t="s">
        <v>162</v>
      </c>
      <c r="D4" s="226"/>
      <c r="E4" s="221" t="s">
        <v>163</v>
      </c>
      <c r="F4" s="222"/>
      <c r="G4" s="47"/>
      <c r="H4" s="18"/>
      <c r="I4" s="18"/>
      <c r="J4" s="3" t="s">
        <v>164</v>
      </c>
      <c r="K4" s="219">
        <v>1</v>
      </c>
      <c r="L4" s="220"/>
      <c r="M4" s="219">
        <v>2</v>
      </c>
      <c r="N4" s="220"/>
      <c r="O4" s="219">
        <v>3</v>
      </c>
      <c r="P4" s="220"/>
      <c r="Q4" s="219">
        <v>4</v>
      </c>
      <c r="R4" s="220"/>
      <c r="S4" s="219">
        <v>5</v>
      </c>
      <c r="T4" s="220"/>
      <c r="U4" s="219">
        <v>6</v>
      </c>
      <c r="V4" s="220"/>
      <c r="W4" s="219">
        <v>7</v>
      </c>
      <c r="X4" s="220"/>
      <c r="Y4" s="72" t="s">
        <v>165</v>
      </c>
      <c r="Z4" s="77" t="s">
        <v>165</v>
      </c>
      <c r="AA4" s="75" t="s">
        <v>166</v>
      </c>
    </row>
    <row r="5" spans="1:33" ht="14.25" customHeight="1" x14ac:dyDescent="0.25">
      <c r="A5" s="78"/>
      <c r="B5" s="3" t="str">
        <f>CONCATENATE(Wedstrijdschema!D5," - ",Wedstrijdschema!F5)</f>
        <v>0 - 0</v>
      </c>
      <c r="C5" s="79"/>
      <c r="D5" s="80"/>
      <c r="E5" s="47">
        <f>IF(C5="",0,IF(AND(C5=0,D5=0),0,IF(C5=D5,1,IF(C5&gt;D5,2,0))))</f>
        <v>0</v>
      </c>
      <c r="F5" s="1">
        <f>IF(C5="",0,IF(AND(C5=0,D5=0),0,IF(C5=D5,1,IF(C5&lt;D5,2,0))))</f>
        <v>0</v>
      </c>
      <c r="H5" s="18" t="s">
        <v>167</v>
      </c>
      <c r="I5" s="68" t="s">
        <v>10</v>
      </c>
      <c r="J5" s="81" t="s">
        <v>11</v>
      </c>
      <c r="K5" s="82" t="s">
        <v>168</v>
      </c>
      <c r="L5" s="83" t="s">
        <v>169</v>
      </c>
      <c r="M5" s="82" t="s">
        <v>168</v>
      </c>
      <c r="N5" s="83" t="s">
        <v>169</v>
      </c>
      <c r="O5" s="82" t="s">
        <v>168</v>
      </c>
      <c r="P5" s="83" t="s">
        <v>169</v>
      </c>
      <c r="Q5" s="82" t="s">
        <v>168</v>
      </c>
      <c r="R5" s="83" t="s">
        <v>169</v>
      </c>
      <c r="S5" s="82" t="s">
        <v>168</v>
      </c>
      <c r="T5" s="83" t="s">
        <v>169</v>
      </c>
      <c r="U5" s="82" t="s">
        <v>168</v>
      </c>
      <c r="V5" s="83" t="s">
        <v>169</v>
      </c>
      <c r="W5" s="84" t="s">
        <v>168</v>
      </c>
      <c r="X5" s="83" t="s">
        <v>169</v>
      </c>
      <c r="Y5" s="85" t="s">
        <v>170</v>
      </c>
      <c r="Z5" s="86" t="s">
        <v>171</v>
      </c>
      <c r="AA5" s="75"/>
      <c r="AC5" s="87"/>
      <c r="AD5" s="7"/>
      <c r="AE5" s="7"/>
      <c r="AF5" s="7"/>
      <c r="AG5" s="10"/>
    </row>
    <row r="6" spans="1:33" ht="14.25" customHeight="1" x14ac:dyDescent="0.25">
      <c r="A6" s="88"/>
      <c r="B6" s="3" t="str">
        <f>CONCATENATE(Wedstrijdschema!D6," - ",Wedstrijdschema!F6)</f>
        <v>0 - 0</v>
      </c>
      <c r="C6" s="89"/>
      <c r="D6" s="90"/>
      <c r="E6" s="47">
        <f>IF(C6="",0,IF(AND(C6=0,D6=0),0,IF(C6=D6,1,IF(C6&gt;D6,2,0))))</f>
        <v>0</v>
      </c>
      <c r="F6" s="1">
        <f>IF(C6="",0,IF(AND(C6=0,D6=0),0,IF(C6=D6,1,IF(C6&lt;D6,2,0))))</f>
        <v>0</v>
      </c>
      <c r="H6" s="91" t="str">
        <f>IF(C$5&lt;&gt;"",RANK(Z6,Z$6:Z$13),"")</f>
        <v/>
      </c>
      <c r="I6" s="92">
        <f>Deelnemers!B8</f>
        <v>0</v>
      </c>
      <c r="J6" s="93">
        <f>IF(I6&lt;&gt;"",Deelnemers!C8,"")</f>
        <v>0</v>
      </c>
      <c r="K6" s="94">
        <f>C5</f>
        <v>0</v>
      </c>
      <c r="L6" s="95">
        <f>IF(C5&lt;&gt;"",E5,0)</f>
        <v>0</v>
      </c>
      <c r="M6" s="94">
        <f>C11</f>
        <v>0</v>
      </c>
      <c r="N6" s="95">
        <f>IF(C11&lt;&gt;"",E11,0)</f>
        <v>0</v>
      </c>
      <c r="O6" s="94">
        <f>C17</f>
        <v>0</v>
      </c>
      <c r="P6" s="95">
        <f>IF(C17&lt;&gt;"",E17,0)</f>
        <v>0</v>
      </c>
      <c r="Q6" s="94">
        <f>C23</f>
        <v>0</v>
      </c>
      <c r="R6" s="95">
        <f>IF(C23&lt;&gt;"",E23,0)</f>
        <v>0</v>
      </c>
      <c r="S6" s="96">
        <f>IF(B29=" - ",0,C29)</f>
        <v>0</v>
      </c>
      <c r="T6" s="97">
        <f>IF(B29=" - ",0,E29)</f>
        <v>0</v>
      </c>
      <c r="U6" s="96">
        <f>IF(B35=" - ",0,C35)</f>
        <v>0</v>
      </c>
      <c r="V6" s="97">
        <f>IF(B35=" - ",0,E35)</f>
        <v>0</v>
      </c>
      <c r="W6" s="98">
        <f>IF(B41=" - ",0,C41)</f>
        <v>0</v>
      </c>
      <c r="X6" s="97">
        <f>IF(B41=" - ",0,E41)</f>
        <v>0</v>
      </c>
      <c r="Y6" s="99">
        <f>IF(C$5&lt;&gt;"",K6+M6+O6+Q6+S6+U6+W6,0)</f>
        <v>0</v>
      </c>
      <c r="Z6" s="100">
        <f>IF(C$5&lt;&gt;"",L6+N6+P6+R6+T6+V6+X6+(AA6/100),0)</f>
        <v>0</v>
      </c>
      <c r="AA6" s="101"/>
      <c r="AC6" s="102" t="str">
        <f>IF(C$5&lt;&gt;"",_xlfn.RANK.EQ(AF6,AF$6:AF$13),"")</f>
        <v/>
      </c>
      <c r="AD6" s="3">
        <f>Deelnemers!B8</f>
        <v>0</v>
      </c>
      <c r="AE6" s="3">
        <f>IF(AD6&lt;&gt;"",Deelnemers!C8,"")</f>
        <v>0</v>
      </c>
      <c r="AF6" s="103">
        <f>IF(C$5&lt;&gt;"",L6+N6+P6+R6+T6+V6+X6+(AA6/100),0)</f>
        <v>0</v>
      </c>
      <c r="AG6" s="104" t="str">
        <f t="shared" ref="AG6:AG13" si="0">IF(AA6="","",AA6)</f>
        <v/>
      </c>
    </row>
    <row r="7" spans="1:33" ht="14.25" customHeight="1" x14ac:dyDescent="0.25">
      <c r="A7" s="105"/>
      <c r="B7" s="3" t="str">
        <f>CONCATENATE(Wedstrijdschema!D7," - ",Wedstrijdschema!F7)</f>
        <v>0 - 0</v>
      </c>
      <c r="C7" s="89"/>
      <c r="D7" s="90"/>
      <c r="E7" s="47">
        <f>IF(C7="",0,IF(AND(C7=0,D7=0),0,IF(C7=D7,1,IF(C7&gt;D7,2,0))))</f>
        <v>0</v>
      </c>
      <c r="F7" s="1">
        <f>IF(C7="",0,IF(AND(C7=0,D7=0),0,IF(C7=D7,1,IF(C7&lt;D7,2,0))))</f>
        <v>0</v>
      </c>
      <c r="H7" s="91" t="str">
        <f>IF(C$5&lt;&gt;"",RANK(Z7,Z$6:Z$13),"")</f>
        <v/>
      </c>
      <c r="I7" s="106">
        <f>Deelnemers!B13</f>
        <v>0</v>
      </c>
      <c r="J7" s="107">
        <f>IF(I7&lt;&gt;"",Deelnemers!C13,"")</f>
        <v>0</v>
      </c>
      <c r="K7" s="108">
        <f>D5</f>
        <v>0</v>
      </c>
      <c r="L7" s="109">
        <f>IF(C5&lt;&gt;"",F5,0)</f>
        <v>0</v>
      </c>
      <c r="M7" s="108">
        <f>IF(AC2="1 of 2",D11,C12)</f>
        <v>0</v>
      </c>
      <c r="N7" s="109">
        <f>IF(AC2="1 of 2",F11,E12)</f>
        <v>0</v>
      </c>
      <c r="O7" s="108">
        <f>IF(AC2="1 of 2",D17,C18)</f>
        <v>0</v>
      </c>
      <c r="P7" s="109">
        <f>IF(AC2="1 of 2",F17,E18)</f>
        <v>0</v>
      </c>
      <c r="Q7" s="108">
        <f>IF(AC2="1 of 2",D23,IF(OR(AC2="5 of 6",AC2="7 of 8"),C24,D23))</f>
        <v>0</v>
      </c>
      <c r="R7" s="109">
        <f>IF(AC2="1 of 2",F23,IF(OR(AC2="5 of 6",AC2="7 of 8"),E24,F23))</f>
        <v>0</v>
      </c>
      <c r="S7" s="110">
        <f>IF(B29=" - ",0,C30)</f>
        <v>0</v>
      </c>
      <c r="T7" s="111">
        <f>IF(B29=" - ",0,E30)</f>
        <v>0</v>
      </c>
      <c r="U7" s="110">
        <f>IF(B35=" - ",0,C36)</f>
        <v>0</v>
      </c>
      <c r="V7" s="111">
        <f>IF(B35=" - ",0,E36)</f>
        <v>0</v>
      </c>
      <c r="W7" s="112">
        <f>IF(AC2="7 of 8",C42,0)</f>
        <v>0</v>
      </c>
      <c r="X7" s="111">
        <f>IF(AC2="7 of 8",E42,0)</f>
        <v>0</v>
      </c>
      <c r="Y7" s="113">
        <f>IF(C$5&lt;&gt;"",K7+M7+O7+Q7+S7+U7+W7,0)</f>
        <v>0</v>
      </c>
      <c r="Z7" s="114">
        <f>IF(C$5&lt;&gt;"",L7+N7+P7+R7+T7+V7+X7+(AA7/100),0)</f>
        <v>0</v>
      </c>
      <c r="AA7" s="115"/>
      <c r="AC7" s="102" t="str">
        <f>IF(C$5&lt;&gt;"",_xlfn.RANK.EQ(AF7,AF$6:AF$13),"")</f>
        <v/>
      </c>
      <c r="AD7" s="3">
        <f>Deelnemers!B13</f>
        <v>0</v>
      </c>
      <c r="AE7" s="3">
        <f>IF(AD7&lt;&gt;"",Deelnemers!C13,"")</f>
        <v>0</v>
      </c>
      <c r="AF7" s="103">
        <f>IF(C$5&lt;&gt;"",L7+N7+P7+R7+T7+V7+X7+(AA7/100),0)</f>
        <v>0</v>
      </c>
      <c r="AG7" s="104" t="str">
        <f t="shared" si="0"/>
        <v/>
      </c>
    </row>
    <row r="8" spans="1:33" ht="14.25" customHeight="1" x14ac:dyDescent="0.25">
      <c r="A8" s="116"/>
      <c r="B8" s="3" t="str">
        <f>CONCATENATE(Wedstrijdschema!D8," - ",Wedstrijdschema!F8)</f>
        <v>0 - 0</v>
      </c>
      <c r="C8" s="117"/>
      <c r="D8" s="118"/>
      <c r="E8" s="47">
        <f>IF(C8="",0,IF(AND(C8=0,D8=0),0,IF(C8=D8,1,IF(C8&gt;D8,2,0))))</f>
        <v>0</v>
      </c>
      <c r="F8" s="1">
        <f>IF(C8="",0,IF(AND(C8=0,D8=0),0,IF(C8=D8,1,IF(C8&lt;D8,2,0))))</f>
        <v>0</v>
      </c>
      <c r="H8" s="91" t="str">
        <f>IF(Deelnemers!D5="1 of 2","",IF(C$5&lt;&gt;"",RANK(Z8,Z$6:Z$13),""))</f>
        <v/>
      </c>
      <c r="I8" s="106">
        <f>IF(Deelnemers!D5="1 of 2","",Deelnemers!B18)</f>
        <v>0</v>
      </c>
      <c r="J8" s="107">
        <f>IF(I8&lt;&gt;"",Deelnemers!C18,"")</f>
        <v>0</v>
      </c>
      <c r="K8" s="108">
        <f>IF(AC2="1 of 2",0,C6)</f>
        <v>0</v>
      </c>
      <c r="L8" s="109">
        <f>IF(AC2="1 of 2",0,E6)</f>
        <v>0</v>
      </c>
      <c r="M8" s="108">
        <f>IF(AC2="1 of 2",0,D11)</f>
        <v>0</v>
      </c>
      <c r="N8" s="109">
        <f>IF(AC2="1 of 2",0,F11)</f>
        <v>0</v>
      </c>
      <c r="O8" s="108">
        <f>IF(AC2="1 of 2",0,IF(AC2="3 of 4",D18,IF(OR(AC2="5 of 6",AC2="7 of 8"),C19,0)))</f>
        <v>0</v>
      </c>
      <c r="P8" s="109">
        <f>IF(AC2="1 of 2",0,IF(AC2="3 of 4",F18,IF(OR(AC2="5 of 6",AC2="7 of 8"),E19,0)))</f>
        <v>0</v>
      </c>
      <c r="Q8" s="108">
        <f>IF(AC2="1 of 2",0,IF(AC2="3 of 4",C24,IF(OR(AC2="5 of 6",AC2="7 of 8"),C25,0)))</f>
        <v>0</v>
      </c>
      <c r="R8" s="109">
        <f>IF(AC2="1 of 2",0,IF(AC2="3 of 4",E24,IF(OR(AC2="5 of 6",AC2="7 of 8"),E25,0)))</f>
        <v>0</v>
      </c>
      <c r="S8" s="110">
        <f>IF(AC2="1 of 2",0,IF(AC2="3 of 4",D29,IF(AC2="5 of 6",D30,IF(AC2="7 of 8",C31,0))))</f>
        <v>0</v>
      </c>
      <c r="T8" s="111">
        <f>IF(AC2="1 of 2",0,IF(AC2="3 of 4",F29,IF(AC2="5 of 6",F30,IF(AC2="7 of 8",E31,0))))</f>
        <v>0</v>
      </c>
      <c r="U8" s="110">
        <f>IF(AC2="1 of 2",0,IF(AC2="3 of 4",D36,IF(AC2="7 of 8",C37,0)))</f>
        <v>0</v>
      </c>
      <c r="V8" s="111">
        <f>IF(AC2="1 of 2",0,IF(AC2="3 of 4",F36,IF(AC2="7 of 8",E37,0)))</f>
        <v>0</v>
      </c>
      <c r="W8" s="112">
        <f>IF(AC2="7 of 8",D42,0)</f>
        <v>0</v>
      </c>
      <c r="X8" s="111">
        <f>IF(AC2="7 of 8",F42,0)</f>
        <v>0</v>
      </c>
      <c r="Y8" s="113">
        <f>IF(Deelnemers!D5=2,"",IF(C$5&lt;&gt;"",K8+M8+O8+Q8+S8+U8+W8,0))</f>
        <v>0</v>
      </c>
      <c r="Z8" s="114">
        <f>IF(Deelnemers!D5=2,"",IF(C$5&lt;&gt;"",L8+N8+P8+R8+T8+V8+X8+(AA8/100),0))</f>
        <v>0</v>
      </c>
      <c r="AA8" s="115"/>
      <c r="AC8" s="102" t="str">
        <f>IF(Deelnemers!D5="1 of 2","",IF(C$5&lt;&gt;"",_xlfn.RANK.EQ(AF8,AF$6:AF$13),""))</f>
        <v/>
      </c>
      <c r="AD8" s="3">
        <f>IF(Deelnemers!D5="1 of 2","",Deelnemers!B18)</f>
        <v>0</v>
      </c>
      <c r="AE8" s="3">
        <f>IF(AD8&lt;&gt;"",Deelnemers!C18,"")</f>
        <v>0</v>
      </c>
      <c r="AF8" s="103">
        <f>IF(Deelnemers!D5="1 of 2","",IF(C$5&lt;&gt;"",L8+N8+P8+R8+T8+V8+X8+(AA8/100),0))</f>
        <v>0</v>
      </c>
      <c r="AG8" s="104" t="str">
        <f t="shared" si="0"/>
        <v/>
      </c>
    </row>
    <row r="9" spans="1:33" ht="14.25" customHeight="1" x14ac:dyDescent="0.25">
      <c r="A9" s="76"/>
      <c r="C9" s="2"/>
      <c r="D9" s="2"/>
      <c r="F9" s="1"/>
      <c r="H9" s="91" t="str">
        <f>IF(Deelnemers!D5="1 of 2","",IF(C$5&lt;&gt;"",RANK(Z9,Z$6:Z$13),""))</f>
        <v/>
      </c>
      <c r="I9" s="106">
        <f>IF(Deelnemers!D5="1 of 2","",Deelnemers!B23)</f>
        <v>0</v>
      </c>
      <c r="J9" s="107">
        <f>IF(I9&lt;&gt;"",Deelnemers!C23,"")</f>
        <v>0</v>
      </c>
      <c r="K9" s="108">
        <f>IF(AC2="1 of 2",0,D6)</f>
        <v>0</v>
      </c>
      <c r="L9" s="109">
        <f>IF(AC2="1 of 2",0,F6)</f>
        <v>0</v>
      </c>
      <c r="M9" s="108">
        <f>IF(AC2="1 of 2",0,IF(AC2="3 of 4",D12,IF(OR(AC2="5 of 6",AC2="7 of 8"),C13,0)))</f>
        <v>0</v>
      </c>
      <c r="N9" s="109">
        <f>IF(AC2="1 of 2",0,IF(AC2="3 of 4",F12,IF(OR(AC2="5 of 6",AC2="7 of 8"),E13,)))</f>
        <v>0</v>
      </c>
      <c r="O9" s="108">
        <f>IF(AC2="1 of 2",0,IF(AC2="3 of 4",D17,IF(OR(AC2="5 of 6",AC2="7 of 8"),D17,0)))</f>
        <v>0</v>
      </c>
      <c r="P9" s="109">
        <f>IF(AC2="1 of 2",0,IF(AC2="3 of 4",F17,IF(OR(AC2="5 of 6",AC2="7 of 8"),F17,1)))</f>
        <v>0</v>
      </c>
      <c r="Q9" s="108">
        <f>IF(AC2="1 of 2",0,IF(OR(AC2="3 of 4",AC2="5 of 6"),D24,IF(AC2="7 of 8",C26,0)))</f>
        <v>0</v>
      </c>
      <c r="R9" s="109">
        <f>IF(AC2="1 of 2",0,IF(OR(AC2="3 of 4",AC2="5 of 6"),F24,IF(AC2="7 of 8",E26,0)))</f>
        <v>0</v>
      </c>
      <c r="S9" s="110">
        <f>IF(AC2="1 of 2",0,IF(AC2="3 of 4",D30,IF(AC2="5 of 6",C31,IF(AC2="7 of 8",C32,0))))</f>
        <v>0</v>
      </c>
      <c r="T9" s="111">
        <f>IF(AC2="1 of 2",0,IF(AC2="3 of 4",F30,IF(AC2="5 of 6",E31,IF(AC2="7 of 8",E32,0))))</f>
        <v>0</v>
      </c>
      <c r="U9" s="110">
        <f>IF(AC2="1 of 2",0,IF(AC2="3 of 4",D35,IF(AC2="7 of 8",D36,0)))</f>
        <v>0</v>
      </c>
      <c r="V9" s="111">
        <f>IF(AC2="1 of 2",0,IF(AC2="3 of 4",F35,IF(AC2="7 of 8",F36,0)))</f>
        <v>0</v>
      </c>
      <c r="W9" s="112">
        <f>IF(AC2="7 of 8",C43,0)</f>
        <v>0</v>
      </c>
      <c r="X9" s="111">
        <f>IF(AC2="7 of 8",E43,0)</f>
        <v>0</v>
      </c>
      <c r="Y9" s="113">
        <f>IF(Deelnemers!D5=2,"",IF(C$5&lt;&gt;"",K9+M9+O9+Q9+S9+U9+W9,0))</f>
        <v>0</v>
      </c>
      <c r="Z9" s="114">
        <f>IF(Deelnemers!D5=2,"",IF(C$5&lt;&gt;"",L9+N9+P9+R9+T9+V9+X9+(AA9/100),0))</f>
        <v>0</v>
      </c>
      <c r="AA9" s="115"/>
      <c r="AC9" s="102" t="str">
        <f>IF(Deelnemers!D5="1 of 2","",IF(C$5&lt;&gt;"",_xlfn.RANK.EQ(AF9,AF$6:AF$13),""))</f>
        <v/>
      </c>
      <c r="AD9" s="3">
        <f>IF(Deelnemers!D5="1 of 2","",Deelnemers!B23)</f>
        <v>0</v>
      </c>
      <c r="AE9" s="3">
        <f>IF(AD9&lt;&gt;"",Deelnemers!C23,"")</f>
        <v>0</v>
      </c>
      <c r="AF9" s="103">
        <f>IF(Deelnemers!D5="1 of 2","",IF(C$5&lt;&gt;"",L9+N9+P9+R9+T9+V9+X9+(AA9/100),0))</f>
        <v>0</v>
      </c>
      <c r="AG9" s="104" t="str">
        <f t="shared" si="0"/>
        <v/>
      </c>
    </row>
    <row r="10" spans="1:33" ht="14.25" customHeight="1" x14ac:dyDescent="0.25">
      <c r="A10" s="76" t="s">
        <v>172</v>
      </c>
      <c r="C10" s="2"/>
      <c r="D10" s="2"/>
      <c r="F10" s="1"/>
      <c r="H10" s="91" t="str">
        <f>IF(OR(Deelnemers!D5="1 of 2",Deelnemers!D5="3 of 4"),"",IF(C$5&lt;&gt;"",RANK(Z10,Z$6:Z$13),""))</f>
        <v/>
      </c>
      <c r="I10" s="106">
        <f>IF(OR(Deelnemers!D5="1 of 2",Deelnemers!D5="3 of 4"),"",Deelnemers!B28)</f>
        <v>0</v>
      </c>
      <c r="J10" s="107">
        <f>IF(I10&lt;&gt;"",Deelnemers!C28,"")</f>
        <v>0</v>
      </c>
      <c r="K10" s="108">
        <f>IF(OR(AC2="1 of 2",AC2="3 of 4"),0,C7)</f>
        <v>0</v>
      </c>
      <c r="L10" s="109">
        <f>IF(OR(AC2="1 of 2",AC2="3 of 4"),0,E7)</f>
        <v>0</v>
      </c>
      <c r="M10" s="108">
        <f>IF(OR(AC2="1 of 2",AC2="3 of 4"),0,IF(OR(AC2="5 of 6",AC2="7 of 8"),D12,1))</f>
        <v>0</v>
      </c>
      <c r="N10" s="109">
        <f>IF(OR(AC2="1 of 2",AC2="3 of 4"),0,IF(OR(AC2="5 of 6",AC2="7 of 8"),F12,1))</f>
        <v>0</v>
      </c>
      <c r="O10" s="108">
        <f>IF(OR(AC2="1 of 2",AC2="3 of 4"),0,IF(AC2="5 of 6",D19,IF(AC2="7 of 8",C20,0)))</f>
        <v>0</v>
      </c>
      <c r="P10" s="109">
        <f>IF(OR(AC2="1 of 2",AC2="3 of 4"),0,IF(AC2="5 of 6",F19,IF(AC2="7 of 8",E20,0)))</f>
        <v>0</v>
      </c>
      <c r="Q10" s="108">
        <f>IF(OR(AC2="1 of 2",AC2="3 of 4"),0,IF(OR(AC2="5 of 6",AC2="7 of 8"),D23,1))</f>
        <v>0</v>
      </c>
      <c r="R10" s="109">
        <f>IF(OR(AC2="1 of 2",AC2="3 of 4"),0,IF(OR(AC2="5 of 6",AC2="7 of 8"),F23,1))</f>
        <v>0</v>
      </c>
      <c r="S10" s="110">
        <f>IF(OR(AC2="1 of 2",AC2="3 of 4"),0,IF(OR(AC2="5 of 6",AC2="7 of 8"),D31,0))</f>
        <v>0</v>
      </c>
      <c r="T10" s="111">
        <f>IF(OR(AC2="1 of 2",AC2="3 of 4"),0,IF(OR(AC2="5 of 6",AC2="7 of 8"),F31,1))</f>
        <v>0</v>
      </c>
      <c r="U10" s="110">
        <f>IF(OR(AC2="1 of 2",AC2="3 of 4"),0,IF(AC2="5 of 6",0,IF(AC2="7 of 8",C38,0)))</f>
        <v>0</v>
      </c>
      <c r="V10" s="111">
        <f>IF(OR(AC2="1 of 2",AC2="3 of 4"),0,IF(AC2="5 of 6",0,IF(AC2="7 of 8",E38,0)))</f>
        <v>0</v>
      </c>
      <c r="W10" s="112">
        <f>IF(AC2="7 of 8",D43,0)</f>
        <v>0</v>
      </c>
      <c r="X10" s="111">
        <f>IF(AC2="7 of 8",F43,0)</f>
        <v>0</v>
      </c>
      <c r="Y10" s="113">
        <f>IF(OR(Deelnemers!D5=2,Deelnemers!D5="3 of 4"),"",IF(C$5&lt;&gt;"",K10+M10+O10+Q10+S10+U10+W10,0))</f>
        <v>0</v>
      </c>
      <c r="Z10" s="114">
        <f>IF(OR(Deelnemers!D5=2,Deelnemers!D5="3 of 4"),"",IF(C$5&lt;&gt;"",L10+N10+P10+R10+T10+V10+X10+(AA10/100),0))</f>
        <v>0</v>
      </c>
      <c r="AA10" s="115"/>
      <c r="AC10" s="102" t="str">
        <f>IF(OR(Deelnemers!D5="1 of 2",Deelnemers!D5="3 of 4"),"",IF(C$5&lt;&gt;"",_xlfn.RANK.EQ(AF10,AF$6:AF$13),""))</f>
        <v/>
      </c>
      <c r="AD10" s="3">
        <f>IF(OR(Deelnemers!D5="1 of 2",Deelnemers!D5="3 of 4"),"",Deelnemers!B28)</f>
        <v>0</v>
      </c>
      <c r="AE10" s="3">
        <f>IF(AD10&lt;&gt;"",Deelnemers!C28,"")</f>
        <v>0</v>
      </c>
      <c r="AF10" s="103">
        <f>IF(OR(Deelnemers!D5="1 of 2",Deelnemers!D5="3 of 4"),"",IF(C$5&lt;&gt;"",L10+N10+P10+R10+T10+V10+X10+(AA10/100),0))</f>
        <v>0</v>
      </c>
      <c r="AG10" s="104" t="str">
        <f t="shared" si="0"/>
        <v/>
      </c>
    </row>
    <row r="11" spans="1:33" ht="14.25" customHeight="1" x14ac:dyDescent="0.25">
      <c r="A11" s="78"/>
      <c r="B11" s="3" t="str">
        <f>CONCATENATE(Wedstrijdschema!D11," - ",Wedstrijdschema!F11)</f>
        <v>0 - 0</v>
      </c>
      <c r="C11" s="79"/>
      <c r="D11" s="80"/>
      <c r="E11" s="47">
        <f>IF(C11="",0,IF(AND(C11=0,D11=0),0,IF(C11=D11,1,IF(C11&gt;D11,2,0))))</f>
        <v>0</v>
      </c>
      <c r="F11" s="1">
        <f>IF(C11="",0,IF(AND(C11=0,D11=0),0,IF(C11=D11,1,IF(C11&lt;D11,2,0))))</f>
        <v>0</v>
      </c>
      <c r="H11" s="91" t="str">
        <f>IF(OR(Deelnemers!D5="1 of 2",Deelnemers!D5="3 of 4")," ",IF(C$5&lt;&gt;"",RANK(Z11,Z$6:Z$13),""))</f>
        <v/>
      </c>
      <c r="I11" s="106">
        <f>IF(OR(Deelnemers!D5="1 of 2",Deelnemers!D5="3 of 4"),"",Deelnemers!B33)</f>
        <v>0</v>
      </c>
      <c r="J11" s="107">
        <f>IF(I11&lt;&gt;"",Deelnemers!C33,"")</f>
        <v>0</v>
      </c>
      <c r="K11" s="108">
        <f>IF(OR(AC2="1 of 2",AC2="3 of 4"),0,D7)</f>
        <v>0</v>
      </c>
      <c r="L11" s="109">
        <f>IF(OR(AC2="1 of 2",AC2="3 of 4"),0,F7)</f>
        <v>0</v>
      </c>
      <c r="M11" s="108">
        <f>IF(OR(AC2="1 of 2",AC2="3 of 4"),0,IF(AC2="5 of 6",D13,IF(AC2="7 of 8",C14,0)))</f>
        <v>0</v>
      </c>
      <c r="N11" s="109">
        <f>IF(OR(AC2="1 of 2",AC2="3 of 4"),0,IF(AC2="5 of 6",F13,IF(AC2="7 of 8",E14,0)))</f>
        <v>0</v>
      </c>
      <c r="O11" s="108">
        <f>IF(OR(AC2="1 of 2",AC2="3 of 4"),0,IF(OR(AC2="5 of 6",AC2="7 of 8"),D18,1))</f>
        <v>0</v>
      </c>
      <c r="P11" s="109">
        <f>IF(OR(AC2="1 of 2",AC2="3 of 4"),0,IF(OR(AC2="5 of 6",AC2="7 of 8"),F18,1))</f>
        <v>0</v>
      </c>
      <c r="Q11" s="108">
        <f>IF(OR(AC2="1 of 2",AC2="3 of 4"),0,IF(AC2="5 of 6",D25,IF(AC2="7 of 8",D26,0)))</f>
        <v>0</v>
      </c>
      <c r="R11" s="109">
        <f>IF(OR(AC2="1 of 2",AC2="3 of 4"),0,IF(AC2="5 of 6",F25,IF(AC2="7 of 8",F26,0)))</f>
        <v>0</v>
      </c>
      <c r="S11" s="110">
        <f>IF(OR(AC2="1 of 2",AC2="3 of 4"),0,IF(OR(AC2="5 of 6",AC2="7 of 8"),D29,0))</f>
        <v>0</v>
      </c>
      <c r="T11" s="111">
        <f>IF(OR(AC2="1 of 2",AC2="3 of 4"),0,IF(OR(AC2="5 of 6",AC2="7 of 8"),F29,0))</f>
        <v>0</v>
      </c>
      <c r="U11" s="110">
        <f>IF(OR(AC2="1 of 2",AC2="3 of 4"),0,IF(AC2="5 of 6",0,IF(AC2="7 of 8",D37,0)))</f>
        <v>0</v>
      </c>
      <c r="V11" s="111">
        <f>IF(OR(AC2="1 of 2",AC2="3 of 4"),0,IF(AC2="5 of 6",0,IF(AC2="7 of 8",F37,0)))</f>
        <v>0</v>
      </c>
      <c r="W11" s="112">
        <f>IF(AC2="7 of 8",C44,0)</f>
        <v>0</v>
      </c>
      <c r="X11" s="111">
        <f>IF(AC2="7 of 8",E44,0)</f>
        <v>0</v>
      </c>
      <c r="Y11" s="113">
        <f>IF(OR(Deelnemers!D5=2,Deelnemers!D5="3 of 4"),"",IF(C$5&lt;&gt;"",K11+M11+O11+Q11+S11+U11+W11,0))</f>
        <v>0</v>
      </c>
      <c r="Z11" s="114">
        <f>IF(OR(Deelnemers!D5=2,Deelnemers!D5="3 of 4"),"",IF(C$5&lt;&gt;"",L11+N11+P11+R11+T11+V11+X11+(AA11/100),0))</f>
        <v>0</v>
      </c>
      <c r="AA11" s="115"/>
      <c r="AC11" s="102" t="str">
        <f>IF(OR(Deelnemers!D5="1 of 2",Deelnemers!D5="3 of 4"),"",IF(C$5&lt;&gt;"",_xlfn.RANK.EQ(AF11,AF$6:AF$13),""))</f>
        <v/>
      </c>
      <c r="AD11" s="3">
        <f>IF(OR(Deelnemers!D5="1 of 2",Deelnemers!D5="3 of 4"),"",Deelnemers!B33)</f>
        <v>0</v>
      </c>
      <c r="AE11" s="3">
        <f>IF(AD11&lt;&gt;"",Deelnemers!C33,"")</f>
        <v>0</v>
      </c>
      <c r="AF11" s="103">
        <f>IF(OR(Deelnemers!D5="1 of 2",Deelnemers!D5="3 of 4"),"",IF(C$5&lt;&gt;"",L11+N11+P11+R11+T11+V11+X11+(AA11/100),0))</f>
        <v>0</v>
      </c>
      <c r="AG11" s="104" t="str">
        <f t="shared" si="0"/>
        <v/>
      </c>
    </row>
    <row r="12" spans="1:33" ht="14.25" customHeight="1" x14ac:dyDescent="0.25">
      <c r="A12" s="88"/>
      <c r="B12" s="3" t="str">
        <f>CONCATENATE(Wedstrijdschema!D12," - ",Wedstrijdschema!F12)</f>
        <v>0 - 0</v>
      </c>
      <c r="C12" s="89"/>
      <c r="D12" s="90"/>
      <c r="E12" s="47">
        <f>IF(C12="",0,IF(AND(C12=0,D12=0),0,IF(C12=D12,1,IF(C12&gt;D12,2,0))))</f>
        <v>0</v>
      </c>
      <c r="F12" s="1">
        <f>IF(C12="",0,IF(AND(C12=0,D12=0),0,IF(C12=D12,1,IF(C12&lt;D12,2,0))))</f>
        <v>0</v>
      </c>
      <c r="H12" s="91" t="str">
        <f>IF(Deelnemers!D5&lt;&gt;"7 of 8","  ",IF(C$5&lt;&gt;"",RANK(Z12,Z$6:Z$13),""))</f>
        <v/>
      </c>
      <c r="I12" s="106">
        <f>IF(Deelnemers!D5="7 of 8",Deelnemers!B38,"")</f>
        <v>0</v>
      </c>
      <c r="J12" s="107">
        <f>IF(I12&lt;&gt;"",Deelnemers!C38,"")</f>
        <v>0</v>
      </c>
      <c r="K12" s="108">
        <f>IF(AC2="7 of 8",C8,0)</f>
        <v>0</v>
      </c>
      <c r="L12" s="109">
        <f>IF(AC2="7 of 8",E8,0)</f>
        <v>0</v>
      </c>
      <c r="M12" s="108">
        <f>IF(AC2="7 of 8",D13,0)</f>
        <v>0</v>
      </c>
      <c r="N12" s="109">
        <f>IF(AC2="7 of 8",F13,0)</f>
        <v>0</v>
      </c>
      <c r="O12" s="108">
        <f>IF(AC2="7 of 8",D20,0)</f>
        <v>0</v>
      </c>
      <c r="P12" s="109">
        <f>IF(AC2="7 of 8",F20,0)</f>
        <v>0</v>
      </c>
      <c r="Q12" s="108">
        <f>IF(AC2="7 of 8",D25,0)</f>
        <v>0</v>
      </c>
      <c r="R12" s="109">
        <f>IF(AC2="7 of 8",F25,0)</f>
        <v>0</v>
      </c>
      <c r="S12" s="110">
        <f>IF(AC2="7 of 8",D30,0)</f>
        <v>0</v>
      </c>
      <c r="T12" s="111">
        <f>IF(AC2="7 of 8",F30,0)</f>
        <v>0</v>
      </c>
      <c r="U12" s="110">
        <f>IF(AC2="7 of 8",D35,0)</f>
        <v>0</v>
      </c>
      <c r="V12" s="111">
        <f>IF(AC2="7 of 8",F35,0)</f>
        <v>0</v>
      </c>
      <c r="W12" s="112">
        <f>IF(AC2="7 of 8",D44,0)</f>
        <v>0</v>
      </c>
      <c r="X12" s="111">
        <f>IF(AC2="7 of 8",F44,0)</f>
        <v>0</v>
      </c>
      <c r="Y12" s="113">
        <f>IF(Deelnemers!D5&lt;&gt;"7 of 8","",IF(C$5&lt;&gt;"",K12+M12+O12+Q12+S12+U12+W12,0))</f>
        <v>0</v>
      </c>
      <c r="Z12" s="114">
        <f>IF(Deelnemers!D5&lt;&gt;"7 of 8","",IF(C$5&lt;&gt;"",L12+N12+P12+R12+T12+V12+X12+(AA12/100),0))</f>
        <v>0</v>
      </c>
      <c r="AA12" s="115"/>
      <c r="AC12" s="102" t="str">
        <f>IF(Deelnemers!D5&lt;&gt;"7 of 8","",IF(C$5&lt;&gt;"",_xlfn.RANK.EQ(AF12,AF$6:AF$13),""))</f>
        <v/>
      </c>
      <c r="AD12" s="3">
        <f>IF(Deelnemers!D5="7 of 8",Deelnemers!B38,"")</f>
        <v>0</v>
      </c>
      <c r="AE12" s="3">
        <f>IF(AD12&lt;&gt;"",Deelnemers!C38,"")</f>
        <v>0</v>
      </c>
      <c r="AF12" s="103">
        <f>IF(Deelnemers!D5&lt;&gt;"7 of 8","",IF(C$5&lt;&gt;"",L12+N12+P12+R12+T12+V12+X12+(AA12/100),0))</f>
        <v>0</v>
      </c>
      <c r="AG12" s="104" t="str">
        <f t="shared" si="0"/>
        <v/>
      </c>
    </row>
    <row r="13" spans="1:33" ht="14.25" customHeight="1" x14ac:dyDescent="0.25">
      <c r="A13" s="105"/>
      <c r="B13" s="3" t="str">
        <f>CONCATENATE(Wedstrijdschema!D13," - ",Wedstrijdschema!F13)</f>
        <v>0 - 0</v>
      </c>
      <c r="C13" s="89"/>
      <c r="D13" s="90"/>
      <c r="E13" s="47">
        <f>IF(C13="",0,IF(AND(C13=0,D13=0),0,IF(C13=D13,1,IF(C13&gt;D13,2,0))))</f>
        <v>0</v>
      </c>
      <c r="F13" s="1">
        <f>IF(C13="",0,IF(AND(C13=0,D13=0),0,IF(C13=D13,1,IF(C13&lt;D13,2,0))))</f>
        <v>0</v>
      </c>
      <c r="H13" s="91" t="str">
        <f>IF(Deelnemers!D5&lt;&gt;"7 of 8","   ",IF(C$5&lt;&gt;"",RANK(Z13,Z$6:Z$13),""))</f>
        <v/>
      </c>
      <c r="I13" s="119">
        <f>IF(Deelnemers!D5="7 of 8",Deelnemers!B43,"")</f>
        <v>0</v>
      </c>
      <c r="J13" s="120">
        <f>IF(I13&lt;&gt;"",Deelnemers!C43,"")</f>
        <v>0</v>
      </c>
      <c r="K13" s="121">
        <f>IF(AC2="7 of 8",D8,0)</f>
        <v>0</v>
      </c>
      <c r="L13" s="122">
        <f>IF(AC2="7 of 8",F8,0)</f>
        <v>0</v>
      </c>
      <c r="M13" s="121">
        <f>IF(AC2="7 of 8",D14,0)</f>
        <v>0</v>
      </c>
      <c r="N13" s="122">
        <f>IF(AC2="7 of 8",F14,0)</f>
        <v>0</v>
      </c>
      <c r="O13" s="121">
        <f>IF(AC2="7 of 8",D19,0)</f>
        <v>0</v>
      </c>
      <c r="P13" s="122">
        <f>IF(AC2="7 of 8",F19,0)</f>
        <v>0</v>
      </c>
      <c r="Q13" s="121">
        <f>IF(AC2="7 of 8",D24,0)</f>
        <v>0</v>
      </c>
      <c r="R13" s="122">
        <f>IF(AC2="7 of 8",F24,0)</f>
        <v>0</v>
      </c>
      <c r="S13" s="123">
        <f>IF(AC2="7 of 8",D32,0)</f>
        <v>0</v>
      </c>
      <c r="T13" s="124">
        <f>IF(AC2="7 of 8",F32,0)</f>
        <v>0</v>
      </c>
      <c r="U13" s="123">
        <f>IF(AC2="7 of 8",D38,0)</f>
        <v>0</v>
      </c>
      <c r="V13" s="124">
        <f>IF(AC2="7 of 8",F38,0)</f>
        <v>0</v>
      </c>
      <c r="W13" s="125">
        <f>IF(AC2="7 of 8",D41,0)</f>
        <v>0</v>
      </c>
      <c r="X13" s="124">
        <f>IF(AC2="7 of 8",F41,0)</f>
        <v>0</v>
      </c>
      <c r="Y13" s="126">
        <f>IF(Deelnemers!D5&lt;&gt;"7 of 8","",IF(C$5&lt;&gt;"",K13+M13+O13+Q13+S13+U13+W13,0))</f>
        <v>0</v>
      </c>
      <c r="Z13" s="127">
        <f>IF(Deelnemers!D5&lt;&gt;"7 of 8","",IF(C$5&lt;&gt;"",L13+N13+P13+R13+T13+V13+X13+(AA13/100),0))</f>
        <v>0</v>
      </c>
      <c r="AA13" s="128"/>
      <c r="AC13" s="129" t="str">
        <f>IF(Deelnemers!D5&lt;&gt;"7 of 8","",IF(C$5&lt;&gt;"",_xlfn.RANK.EQ(AF13,AF$6:AF$13),""))</f>
        <v/>
      </c>
      <c r="AD13" s="14">
        <f>IF(Deelnemers!D5="7 of 8",Deelnemers!B43,"")</f>
        <v>0</v>
      </c>
      <c r="AE13" s="14">
        <f>IF(AD13&lt;&gt;"",Deelnemers!C43,"")</f>
        <v>0</v>
      </c>
      <c r="AF13" s="130">
        <f>IF(Deelnemers!D5&lt;&gt;"7 of 8","",IF(C$5&lt;&gt;"",L13+N13+P13+R13+T13+V13+X13+(AA13/100),0))</f>
        <v>0</v>
      </c>
      <c r="AG13" s="131" t="str">
        <f t="shared" si="0"/>
        <v/>
      </c>
    </row>
    <row r="14" spans="1:33" ht="14.25" customHeight="1" x14ac:dyDescent="0.25">
      <c r="A14" s="116"/>
      <c r="B14" s="3" t="str">
        <f>CONCATENATE(Wedstrijdschema!D14," - ",Wedstrijdschema!F14)</f>
        <v>0 - 0</v>
      </c>
      <c r="C14" s="117"/>
      <c r="D14" s="118"/>
      <c r="E14" s="47">
        <f>IF(C14="",0,IF(AND(C14=0,D14=0),0,IF(C14=D14,1,IF(C14&gt;D14,2,0))))</f>
        <v>0</v>
      </c>
      <c r="F14" s="1">
        <f>IF(C14="",0,IF(AND(C14=0,D14=0),0,IF(C14=D14,1,IF(C14&lt;D14,2,0))))</f>
        <v>0</v>
      </c>
      <c r="H14" s="85"/>
      <c r="I14" s="85"/>
      <c r="J14" s="132"/>
      <c r="K14" s="132"/>
      <c r="L14" s="132"/>
      <c r="M14" s="132"/>
      <c r="N14" s="132"/>
      <c r="O14" s="132"/>
      <c r="P14" s="132"/>
      <c r="Q14" s="132"/>
      <c r="R14" s="132"/>
      <c r="S14" s="132"/>
      <c r="T14" s="132"/>
      <c r="U14" s="132"/>
      <c r="V14" s="132"/>
      <c r="W14" s="132"/>
      <c r="X14" s="132"/>
      <c r="Y14" s="132"/>
      <c r="Z14" s="86"/>
      <c r="AA14" s="86"/>
    </row>
    <row r="15" spans="1:33" ht="14.25" customHeight="1" x14ac:dyDescent="0.25">
      <c r="A15" s="76"/>
      <c r="C15" s="2"/>
      <c r="D15" s="2"/>
      <c r="F15" s="1"/>
      <c r="AC15" s="3" t="s">
        <v>173</v>
      </c>
    </row>
    <row r="16" spans="1:33" ht="14.25" customHeight="1" x14ac:dyDescent="0.25">
      <c r="A16" s="76" t="s">
        <v>174</v>
      </c>
      <c r="C16" s="2"/>
      <c r="D16" s="2"/>
      <c r="F16" s="1"/>
      <c r="I16" s="3" t="s">
        <v>175</v>
      </c>
      <c r="AC16" s="87" t="str">
        <f t="array" ref="AC16:AG23">_xlfn._xlws.SORT(AC6:AG13,1,1)</f>
        <v/>
      </c>
      <c r="AD16" s="7">
        <v>0</v>
      </c>
      <c r="AE16" s="7">
        <v>0</v>
      </c>
      <c r="AF16" s="7">
        <v>0</v>
      </c>
      <c r="AG16" s="10" t="str">
        <v/>
      </c>
    </row>
    <row r="17" spans="1:33" ht="14.25" customHeight="1" x14ac:dyDescent="0.25">
      <c r="A17" s="78"/>
      <c r="B17" s="3" t="str">
        <f>CONCATENATE(Wedstrijdschema!D17," - ",Wedstrijdschema!F17)</f>
        <v>0 - 0</v>
      </c>
      <c r="C17" s="79"/>
      <c r="D17" s="80"/>
      <c r="E17" s="47">
        <f>IF(C17="",0,IF(AND(C17=0,D17=0),0,IF(C17=D17,1,IF(C17&gt;D17,2,0))))</f>
        <v>0</v>
      </c>
      <c r="F17" s="1">
        <f>IF(C17="",0,IF(AND(C17=0,D17=0),0,IF(C17=D17,1,IF(C17&lt;D17,2,0))))</f>
        <v>0</v>
      </c>
      <c r="AC17" s="102" t="str">
        <v/>
      </c>
      <c r="AD17" s="3">
        <v>0</v>
      </c>
      <c r="AE17" s="3">
        <v>0</v>
      </c>
      <c r="AF17" s="3">
        <v>0</v>
      </c>
      <c r="AG17" s="133" t="str">
        <v/>
      </c>
    </row>
    <row r="18" spans="1:33" ht="14.25" customHeight="1" x14ac:dyDescent="0.25">
      <c r="A18" s="88"/>
      <c r="B18" s="3" t="str">
        <f>CONCATENATE(Wedstrijdschema!D18," - ",Wedstrijdschema!F18)</f>
        <v>0 - 0</v>
      </c>
      <c r="C18" s="89"/>
      <c r="D18" s="90"/>
      <c r="E18" s="47">
        <f>IF(C18="",0,IF(AND(C18=0,D18=0),0,IF(C18=D18,1,IF(C18&gt;D18,2,0))))</f>
        <v>0</v>
      </c>
      <c r="F18" s="1">
        <f>IF(C18="",0,IF(AND(C18=0,D18=0),0,IF(C18=D18,1,IF(C18&lt;D18,2,0))))</f>
        <v>0</v>
      </c>
      <c r="I18" s="3" t="s">
        <v>176</v>
      </c>
      <c r="T18" s="71"/>
      <c r="V18" s="71"/>
      <c r="X18" s="71"/>
      <c r="AC18" s="102" t="str">
        <v/>
      </c>
      <c r="AD18" s="3">
        <v>0</v>
      </c>
      <c r="AE18" s="3">
        <v>0</v>
      </c>
      <c r="AF18" s="3">
        <v>0</v>
      </c>
      <c r="AG18" s="133" t="str">
        <v/>
      </c>
    </row>
    <row r="19" spans="1:33" ht="14.25" customHeight="1" x14ac:dyDescent="0.25">
      <c r="A19" s="105"/>
      <c r="B19" s="3" t="str">
        <f>CONCATENATE(Wedstrijdschema!D19," - ",Wedstrijdschema!F19)</f>
        <v>0 - 0</v>
      </c>
      <c r="C19" s="89"/>
      <c r="D19" s="90"/>
      <c r="E19" s="47">
        <f>IF(C19="",0,IF(AND(C19=0,D19=0),0,IF(C19=D19,1,IF(C19&gt;D19,2,0))))</f>
        <v>0</v>
      </c>
      <c r="F19" s="1">
        <f>IF(C19="",0,IF(AND(C19=0,D19=0),0,IF(C19=D19,1,IF(C19&lt;D19,2,0))))</f>
        <v>0</v>
      </c>
      <c r="I19" s="3" t="s">
        <v>177</v>
      </c>
      <c r="T19" s="71"/>
      <c r="V19" s="71"/>
      <c r="X19" s="71"/>
      <c r="AC19" s="102" t="str">
        <v/>
      </c>
      <c r="AD19" s="3">
        <v>0</v>
      </c>
      <c r="AE19" s="3">
        <v>0</v>
      </c>
      <c r="AF19" s="3">
        <v>0</v>
      </c>
      <c r="AG19" s="133" t="str">
        <v/>
      </c>
    </row>
    <row r="20" spans="1:33" ht="14.25" customHeight="1" x14ac:dyDescent="0.25">
      <c r="A20" s="116"/>
      <c r="B20" s="3" t="str">
        <f>CONCATENATE(Wedstrijdschema!D20," - ",Wedstrijdschema!F20)</f>
        <v>0 - 0</v>
      </c>
      <c r="C20" s="117"/>
      <c r="D20" s="118"/>
      <c r="E20" s="47">
        <f>IF(C20="",0,IF(AND(C20=0,D20=0),0,IF(C20=D20,1,IF(C20&gt;D20,2,0))))</f>
        <v>0</v>
      </c>
      <c r="F20" s="1">
        <f>IF(C20="",0,IF(AND(C20=0,D20=0),0,IF(C20=D20,1,IF(C20&lt;D20,2,0))))</f>
        <v>0</v>
      </c>
      <c r="I20" s="3" t="s">
        <v>178</v>
      </c>
      <c r="T20" s="71"/>
      <c r="V20" s="71"/>
      <c r="X20" s="71"/>
      <c r="AC20" s="102" t="str">
        <v/>
      </c>
      <c r="AD20" s="3">
        <v>0</v>
      </c>
      <c r="AE20" s="3">
        <v>0</v>
      </c>
      <c r="AF20" s="3">
        <v>0</v>
      </c>
      <c r="AG20" s="133" t="str">
        <v/>
      </c>
    </row>
    <row r="21" spans="1:33" ht="14.25" customHeight="1" x14ac:dyDescent="0.25">
      <c r="A21" s="76"/>
      <c r="C21" s="2"/>
      <c r="D21" s="2"/>
      <c r="F21" s="1"/>
      <c r="T21" s="71"/>
      <c r="V21" s="71"/>
      <c r="X21" s="71"/>
      <c r="AC21" s="102" t="str">
        <v/>
      </c>
      <c r="AD21" s="3">
        <v>0</v>
      </c>
      <c r="AE21" s="3">
        <v>0</v>
      </c>
      <c r="AF21" s="3">
        <v>0</v>
      </c>
      <c r="AG21" s="133" t="str">
        <v/>
      </c>
    </row>
    <row r="22" spans="1:33" ht="14.25" customHeight="1" x14ac:dyDescent="0.25">
      <c r="A22" s="76" t="s">
        <v>179</v>
      </c>
      <c r="C22" s="2"/>
      <c r="D22" s="2"/>
      <c r="F22" s="1"/>
      <c r="T22" s="71"/>
      <c r="V22" s="71"/>
      <c r="X22" s="71"/>
      <c r="AC22" s="102" t="str">
        <v/>
      </c>
      <c r="AD22" s="3">
        <v>0</v>
      </c>
      <c r="AE22" s="3">
        <v>0</v>
      </c>
      <c r="AF22" s="3">
        <v>0</v>
      </c>
      <c r="AG22" s="133" t="str">
        <v/>
      </c>
    </row>
    <row r="23" spans="1:33" ht="14.25" customHeight="1" x14ac:dyDescent="0.25">
      <c r="A23" s="78"/>
      <c r="B23" s="3" t="str">
        <f>CONCATENATE(Wedstrijdschema!D23," - ",Wedstrijdschema!F23)</f>
        <v>0 - 0</v>
      </c>
      <c r="C23" s="79"/>
      <c r="D23" s="80"/>
      <c r="E23" s="47">
        <f>IF(C23="",0,IF(AND(C23=0,D23=0),0,IF(C23=D23,1,IF(C23&gt;D23,2,0))))</f>
        <v>0</v>
      </c>
      <c r="F23" s="1">
        <f>IF(C23="",0,IF(AND(C23=0,D23=0),0,IF(C23=D23,1,IF(C23&lt;D23,2,0))))</f>
        <v>0</v>
      </c>
      <c r="T23" s="71"/>
      <c r="V23" s="71"/>
      <c r="X23" s="71"/>
      <c r="AC23" s="129" t="str">
        <v/>
      </c>
      <c r="AD23" s="14">
        <v>0</v>
      </c>
      <c r="AE23" s="14">
        <v>0</v>
      </c>
      <c r="AF23" s="14">
        <v>0</v>
      </c>
      <c r="AG23" s="15" t="str">
        <v/>
      </c>
    </row>
    <row r="24" spans="1:33" ht="14.25" customHeight="1" x14ac:dyDescent="0.25">
      <c r="A24" s="88"/>
      <c r="B24" s="3" t="str">
        <f>CONCATENATE(Wedstrijdschema!D24," - ",Wedstrijdschema!F24)</f>
        <v>0 - 0</v>
      </c>
      <c r="C24" s="89"/>
      <c r="D24" s="90"/>
      <c r="E24" s="47">
        <f>IF(C24="",0,IF(AND(C24=0,D24=0),0,IF(C24=D24,1,IF(C24&gt;D24,2,0))))</f>
        <v>0</v>
      </c>
      <c r="F24" s="1">
        <f>IF(C24="",0,IF(AND(C24=0,D24=0),0,IF(C24=D24,1,IF(C24&lt;D24,2,0))))</f>
        <v>0</v>
      </c>
      <c r="T24" s="71"/>
      <c r="V24" s="71"/>
      <c r="X24" s="71"/>
    </row>
    <row r="25" spans="1:33" ht="14.25" customHeight="1" x14ac:dyDescent="0.25">
      <c r="A25" s="105"/>
      <c r="B25" s="3" t="str">
        <f>CONCATENATE(Wedstrijdschema!D25," - ",Wedstrijdschema!F25)</f>
        <v>0 - 0</v>
      </c>
      <c r="C25" s="89"/>
      <c r="D25" s="90"/>
      <c r="E25" s="47">
        <f>IF(C25="",0,IF(AND(C25=0,D25=0),0,IF(C25=D25,1,IF(C25&gt;D25,2,0))))</f>
        <v>0</v>
      </c>
      <c r="F25" s="1">
        <f>IF(C25="",0,IF(AND(C25=0,D25=0),0,IF(C25=D25,1,IF(C25&lt;D25,2,0))))</f>
        <v>0</v>
      </c>
      <c r="T25" s="71"/>
      <c r="V25" s="71"/>
      <c r="X25" s="71"/>
    </row>
    <row r="26" spans="1:33" ht="14.25" customHeight="1" x14ac:dyDescent="0.25">
      <c r="A26" s="116"/>
      <c r="B26" s="3" t="str">
        <f>CONCATENATE(Wedstrijdschema!D26," - ",Wedstrijdschema!F26)</f>
        <v>0 - 0</v>
      </c>
      <c r="C26" s="117"/>
      <c r="D26" s="118"/>
      <c r="E26" s="47">
        <f>IF(C26="",0,IF(AND(C26=0,D26=0),0,IF(C26=D26,1,IF(C26&gt;D26,2,0))))</f>
        <v>0</v>
      </c>
      <c r="F26" s="1">
        <f>IF(C26="",0,IF(AND(C26=0,D26=0),0,IF(C26=D26,1,IF(C26&lt;D26,2,0))))</f>
        <v>0</v>
      </c>
    </row>
    <row r="27" spans="1:33" ht="14.25" customHeight="1" x14ac:dyDescent="0.25">
      <c r="A27" s="76"/>
      <c r="C27" s="2"/>
      <c r="D27" s="2"/>
      <c r="F27" s="1"/>
    </row>
    <row r="28" spans="1:33" ht="14.25" customHeight="1" x14ac:dyDescent="0.25">
      <c r="A28" s="76" t="s">
        <v>180</v>
      </c>
      <c r="C28" s="2"/>
      <c r="D28" s="2"/>
      <c r="F28" s="1"/>
    </row>
    <row r="29" spans="1:33" ht="14.25" customHeight="1" x14ac:dyDescent="0.25">
      <c r="A29" s="78"/>
      <c r="B29" s="3" t="str">
        <f>CONCATENATE(Wedstrijdschema!D29," - ",Wedstrijdschema!F29)</f>
        <v>0 - 0</v>
      </c>
      <c r="C29" s="79"/>
      <c r="D29" s="80"/>
      <c r="E29" s="47">
        <f>IF(C29="",0,IF(AND(C29=0,D29=0),0,IF(C29=D29,1,IF(C29&gt;D29,2,0))))</f>
        <v>0</v>
      </c>
      <c r="F29" s="1">
        <f>IF(C29="",0,IF(AND(C29=0,D29=0),0,IF(C29=D29,1,IF(C29&lt;D29,2,0))))</f>
        <v>0</v>
      </c>
    </row>
    <row r="30" spans="1:33" ht="14.25" customHeight="1" x14ac:dyDescent="0.25">
      <c r="A30" s="88"/>
      <c r="B30" s="3" t="str">
        <f>CONCATENATE(Wedstrijdschema!D30," - ",Wedstrijdschema!F30)</f>
        <v>0 - 0</v>
      </c>
      <c r="C30" s="89"/>
      <c r="D30" s="90"/>
      <c r="E30" s="47">
        <f>IF(C30="",0,IF(AND(C30=0,D30=0),0,IF(C30=D30,1,IF(C30&gt;D30,2,0))))</f>
        <v>0</v>
      </c>
      <c r="F30" s="1">
        <f>IF(C30="",0,IF(AND(C30=0,D30=0),0,IF(C30=D30,1,IF(C30&lt;D30,2,0))))</f>
        <v>0</v>
      </c>
    </row>
    <row r="31" spans="1:33" ht="14.25" customHeight="1" x14ac:dyDescent="0.25">
      <c r="A31" s="105"/>
      <c r="B31" s="3" t="str">
        <f>CONCATENATE(Wedstrijdschema!D31," - ",Wedstrijdschema!F31)</f>
        <v>0 - 0</v>
      </c>
      <c r="C31" s="89"/>
      <c r="D31" s="90"/>
      <c r="E31" s="47">
        <f>IF(C31="",0,IF(AND(C31=0,D31=0),0,IF(C31=D31,1,IF(C31&gt;D31,2,0))))</f>
        <v>0</v>
      </c>
      <c r="F31" s="1">
        <f>IF(C31="",0,IF(AND(C31=0,D31=0),0,IF(C31=D31,1,IF(C31&lt;D31,2,0))))</f>
        <v>0</v>
      </c>
    </row>
    <row r="32" spans="1:33" ht="14.25" customHeight="1" x14ac:dyDescent="0.25">
      <c r="A32" s="116"/>
      <c r="B32" s="3" t="str">
        <f>CONCATENATE(Wedstrijdschema!D32," - ",Wedstrijdschema!F32)</f>
        <v>0 - 0</v>
      </c>
      <c r="C32" s="117"/>
      <c r="D32" s="118"/>
      <c r="E32" s="47">
        <f>IF(C32="",0,IF(AND(C32=0,D32=0),0,IF(C32=D32,1,IF(C32&gt;D32,2,0))))</f>
        <v>0</v>
      </c>
      <c r="F32" s="1">
        <f>IF(C32="",0,IF(AND(C32=0,D32=0),0,IF(C32=D32,1,IF(C32&lt;D32,2,0))))</f>
        <v>0</v>
      </c>
    </row>
    <row r="33" spans="1:6" ht="14.25" customHeight="1" x14ac:dyDescent="0.25">
      <c r="A33" s="76"/>
      <c r="C33" s="2"/>
      <c r="D33" s="2"/>
      <c r="F33" s="1"/>
    </row>
    <row r="34" spans="1:6" ht="14.25" customHeight="1" x14ac:dyDescent="0.25">
      <c r="A34" s="76" t="s">
        <v>181</v>
      </c>
      <c r="C34" s="2"/>
      <c r="D34" s="2"/>
      <c r="F34" s="1"/>
    </row>
    <row r="35" spans="1:6" ht="14.25" customHeight="1" x14ac:dyDescent="0.25">
      <c r="A35" s="78"/>
      <c r="B35" s="3" t="str">
        <f>CONCATENATE(Wedstrijdschema!D35," - ",Wedstrijdschema!F35)</f>
        <v>0 - 0</v>
      </c>
      <c r="C35" s="79"/>
      <c r="D35" s="80"/>
      <c r="E35" s="47">
        <f>IF(C35="",0,IF(AND(C35=0,D35=0),0,IF(C35=D35,1,IF(C35&gt;D35,2,0))))</f>
        <v>0</v>
      </c>
      <c r="F35" s="1">
        <f>IF(C35="",0,IF(AND(C35=0,D35=0),0,IF(C35=D35,1,IF(C35&lt;D35,2,0))))</f>
        <v>0</v>
      </c>
    </row>
    <row r="36" spans="1:6" ht="14.25" customHeight="1" x14ac:dyDescent="0.25">
      <c r="A36" s="88"/>
      <c r="B36" s="3" t="str">
        <f>CONCATENATE(Wedstrijdschema!D36," - ",Wedstrijdschema!F36)</f>
        <v>0 - 0</v>
      </c>
      <c r="C36" s="89"/>
      <c r="D36" s="90"/>
      <c r="E36" s="47">
        <f>IF(C36="",0,IF(AND(C36=0,D36=0),0,IF(C36=D36,1,IF(C36&gt;D36,2,0))))</f>
        <v>0</v>
      </c>
      <c r="F36" s="1">
        <f>IF(C36="",0,IF(AND(C36=0,D36=0),0,IF(C36=D36,1,IF(C36&lt;D36,2,0))))</f>
        <v>0</v>
      </c>
    </row>
    <row r="37" spans="1:6" ht="14.25" customHeight="1" x14ac:dyDescent="0.25">
      <c r="A37" s="105"/>
      <c r="B37" s="3" t="str">
        <f>CONCATENATE(Wedstrijdschema!D37," - ",Wedstrijdschema!F37)</f>
        <v>0 - 0</v>
      </c>
      <c r="C37" s="89"/>
      <c r="D37" s="90"/>
      <c r="E37" s="47">
        <f>IF(C37="",0,IF(AND(C37=0,D37=0),0,IF(C37=D37,1,IF(C37&gt;D37,2,0))))</f>
        <v>0</v>
      </c>
      <c r="F37" s="1">
        <f>IF(C37="",0,IF(AND(C37=0,D37=0),0,IF(C37=D37,1,IF(C37&lt;D37,2,0))))</f>
        <v>0</v>
      </c>
    </row>
    <row r="38" spans="1:6" ht="14.25" customHeight="1" x14ac:dyDescent="0.25">
      <c r="A38" s="116"/>
      <c r="B38" s="3" t="str">
        <f>CONCATENATE(Wedstrijdschema!D38," - ",Wedstrijdschema!F38)</f>
        <v>0 - 0</v>
      </c>
      <c r="C38" s="117"/>
      <c r="D38" s="118"/>
      <c r="E38" s="47">
        <f>IF(C38="",0,IF(AND(C38=0,D38=0),0,IF(C38=D38,1,IF(C38&gt;D38,2,0))))</f>
        <v>0</v>
      </c>
      <c r="F38" s="1">
        <f>IF(C38="",0,IF(AND(C38=0,D38=0),0,IF(C38=D38,1,IF(C38&lt;D38,2,0))))</f>
        <v>0</v>
      </c>
    </row>
    <row r="39" spans="1:6" ht="14.25" customHeight="1" x14ac:dyDescent="0.25">
      <c r="A39" s="76"/>
      <c r="C39" s="2"/>
      <c r="D39" s="2"/>
      <c r="F39" s="1"/>
    </row>
    <row r="40" spans="1:6" ht="14.25" customHeight="1" x14ac:dyDescent="0.25">
      <c r="A40" s="76" t="s">
        <v>182</v>
      </c>
      <c r="C40" s="2"/>
      <c r="D40" s="2"/>
      <c r="F40" s="1"/>
    </row>
    <row r="41" spans="1:6" ht="14.25" customHeight="1" x14ac:dyDescent="0.25">
      <c r="A41" s="78"/>
      <c r="B41" s="3" t="str">
        <f>CONCATENATE(Wedstrijdschema!D41," - ",Wedstrijdschema!F41)</f>
        <v>0 - 0</v>
      </c>
      <c r="C41" s="79"/>
      <c r="D41" s="80"/>
      <c r="E41" s="47">
        <f>IF(C41="",0,IF(AND(C41=0,D41=0),0,IF(C41=D41,1,IF(C41&gt;D41,2,0))))</f>
        <v>0</v>
      </c>
      <c r="F41" s="1">
        <f>IF(C41="",0,IF(AND(C41=0,D41=0),0,IF(C41=D41,1,IF(C41&lt;D41,2,0))))</f>
        <v>0</v>
      </c>
    </row>
    <row r="42" spans="1:6" ht="14.25" customHeight="1" x14ac:dyDescent="0.25">
      <c r="A42" s="88"/>
      <c r="B42" s="3" t="str">
        <f>CONCATENATE(Wedstrijdschema!D42," - ",Wedstrijdschema!F42)</f>
        <v>0 - 0</v>
      </c>
      <c r="C42" s="89"/>
      <c r="D42" s="90"/>
      <c r="E42" s="47">
        <f>IF(C42="",0,IF(AND(C42=0,D42=0),0,IF(C42=D42,1,IF(C42&gt;D42,2,0))))</f>
        <v>0</v>
      </c>
      <c r="F42" s="1">
        <f>IF(C42="",0,IF(AND(C42=0,D42=0),0,IF(C42=D42,1,IF(C42&lt;D42,2,0))))</f>
        <v>0</v>
      </c>
    </row>
    <row r="43" spans="1:6" ht="14.25" customHeight="1" x14ac:dyDescent="0.25">
      <c r="A43" s="105"/>
      <c r="B43" s="3" t="str">
        <f>CONCATENATE(Wedstrijdschema!D43," - ",Wedstrijdschema!F43)</f>
        <v>0 - 0</v>
      </c>
      <c r="C43" s="89"/>
      <c r="D43" s="90"/>
      <c r="E43" s="47">
        <f>IF(C43="",0,IF(AND(C43=0,D43=0),0,IF(C43=D43,1,IF(C43&gt;D43,2,0))))</f>
        <v>0</v>
      </c>
      <c r="F43" s="1">
        <f>IF(C43="",0,IF(AND(C43=0,D43=0),0,IF(C43=D43,1,IF(C43&lt;D43,2,0))))</f>
        <v>0</v>
      </c>
    </row>
    <row r="44" spans="1:6" ht="14.25" customHeight="1" x14ac:dyDescent="0.25">
      <c r="A44" s="116"/>
      <c r="B44" s="3" t="str">
        <f>CONCATENATE(Wedstrijdschema!D44," - ",Wedstrijdschema!F44)</f>
        <v>0 - 0</v>
      </c>
      <c r="C44" s="117"/>
      <c r="D44" s="118"/>
      <c r="E44" s="47">
        <f>IF(C44="",0,IF(AND(C44=0,D44=0),0,IF(C44=D44,1,IF(C44&gt;D44,2,0))))</f>
        <v>0</v>
      </c>
      <c r="F44" s="1">
        <f>IF(C44="",0,IF(AND(C44=0,D44=0),0,IF(C44=D44,1,IF(C44&lt;D44,2,0))))</f>
        <v>0</v>
      </c>
    </row>
    <row r="45" spans="1:6" ht="14.25" customHeight="1" x14ac:dyDescent="0.25">
      <c r="A45" s="85"/>
      <c r="B45" s="132"/>
      <c r="C45" s="134"/>
      <c r="D45" s="134"/>
      <c r="E45" s="135"/>
      <c r="F45" s="136"/>
    </row>
    <row r="46" spans="1:6" ht="14.25" customHeight="1" x14ac:dyDescent="0.25">
      <c r="C46" s="2"/>
      <c r="D46" s="2"/>
    </row>
    <row r="47" spans="1:6" ht="14.25" customHeight="1" x14ac:dyDescent="0.25">
      <c r="C47" s="2"/>
      <c r="D47" s="2"/>
    </row>
    <row r="48" spans="1:6" ht="14.25" customHeight="1" x14ac:dyDescent="0.25">
      <c r="C48" s="2"/>
      <c r="D48" s="2"/>
    </row>
    <row r="49" spans="3:4" ht="14.25" customHeight="1" x14ac:dyDescent="0.25">
      <c r="C49" s="2"/>
      <c r="D49" s="2"/>
    </row>
    <row r="50" spans="3:4" ht="14.25" customHeight="1" x14ac:dyDescent="0.25">
      <c r="C50" s="2"/>
      <c r="D50" s="2"/>
    </row>
    <row r="51" spans="3:4" ht="14.25" customHeight="1" x14ac:dyDescent="0.25">
      <c r="C51" s="2"/>
      <c r="D51" s="2"/>
    </row>
    <row r="52" spans="3:4" ht="14.25" customHeight="1" x14ac:dyDescent="0.25">
      <c r="C52" s="2"/>
      <c r="D52" s="2"/>
    </row>
    <row r="53" spans="3:4" ht="14.25" customHeight="1" x14ac:dyDescent="0.25">
      <c r="C53" s="2"/>
      <c r="D53" s="2"/>
    </row>
    <row r="54" spans="3:4" ht="14.25" customHeight="1" x14ac:dyDescent="0.25">
      <c r="C54" s="2"/>
      <c r="D54" s="2"/>
    </row>
    <row r="55" spans="3:4" ht="14.25" customHeight="1" x14ac:dyDescent="0.25">
      <c r="C55" s="2"/>
      <c r="D55" s="2"/>
    </row>
    <row r="56" spans="3:4" ht="14.25" customHeight="1" x14ac:dyDescent="0.25">
      <c r="C56" s="2"/>
      <c r="D56" s="2"/>
    </row>
    <row r="57" spans="3:4" ht="14.25" customHeight="1" x14ac:dyDescent="0.25">
      <c r="C57" s="2"/>
      <c r="D57" s="2"/>
    </row>
    <row r="58" spans="3:4" ht="14.25" customHeight="1" x14ac:dyDescent="0.25">
      <c r="C58" s="2"/>
      <c r="D58" s="2"/>
    </row>
    <row r="59" spans="3:4" ht="14.25" customHeight="1" x14ac:dyDescent="0.25">
      <c r="C59" s="2"/>
      <c r="D59" s="2"/>
    </row>
    <row r="60" spans="3:4" ht="14.25" customHeight="1" x14ac:dyDescent="0.25">
      <c r="C60" s="2"/>
      <c r="D60" s="2"/>
    </row>
    <row r="61" spans="3:4" ht="14.25" customHeight="1" x14ac:dyDescent="0.25">
      <c r="C61" s="2"/>
      <c r="D61" s="2"/>
    </row>
    <row r="62" spans="3:4" ht="14.25" customHeight="1" x14ac:dyDescent="0.25">
      <c r="C62" s="2"/>
      <c r="D62" s="2"/>
    </row>
    <row r="63" spans="3:4" ht="14.25" customHeight="1" x14ac:dyDescent="0.25">
      <c r="C63" s="2"/>
      <c r="D63" s="2"/>
    </row>
    <row r="64" spans="3:4" ht="14.25" customHeight="1" x14ac:dyDescent="0.25">
      <c r="C64" s="2"/>
      <c r="D64" s="2"/>
    </row>
    <row r="65" spans="3:4" ht="14.25" customHeight="1" x14ac:dyDescent="0.25">
      <c r="C65" s="2"/>
      <c r="D65" s="2"/>
    </row>
    <row r="66" spans="3:4" ht="14.25" customHeight="1" x14ac:dyDescent="0.25">
      <c r="C66" s="2"/>
      <c r="D66" s="2"/>
    </row>
    <row r="67" spans="3:4" ht="14.25" customHeight="1" x14ac:dyDescent="0.25">
      <c r="C67" s="2"/>
      <c r="D67" s="2"/>
    </row>
    <row r="68" spans="3:4" ht="14.25" customHeight="1" x14ac:dyDescent="0.25">
      <c r="C68" s="2"/>
      <c r="D68" s="2"/>
    </row>
    <row r="69" spans="3:4" ht="14.25" customHeight="1" x14ac:dyDescent="0.25">
      <c r="C69" s="2"/>
      <c r="D69" s="2"/>
    </row>
    <row r="70" spans="3:4" ht="14.25" customHeight="1" x14ac:dyDescent="0.25">
      <c r="C70" s="2"/>
      <c r="D70" s="2"/>
    </row>
    <row r="71" spans="3:4" ht="14.25" customHeight="1" x14ac:dyDescent="0.25">
      <c r="C71" s="2"/>
      <c r="D71" s="2"/>
    </row>
    <row r="72" spans="3:4" ht="14.25" customHeight="1" x14ac:dyDescent="0.25">
      <c r="C72" s="2"/>
      <c r="D72" s="2"/>
    </row>
    <row r="73" spans="3:4" ht="14.25" customHeight="1" x14ac:dyDescent="0.25">
      <c r="C73" s="2"/>
      <c r="D73" s="2"/>
    </row>
    <row r="74" spans="3:4" ht="14.25" customHeight="1" x14ac:dyDescent="0.25">
      <c r="C74" s="2"/>
      <c r="D74" s="2"/>
    </row>
    <row r="75" spans="3:4" ht="14.25" customHeight="1" x14ac:dyDescent="0.25">
      <c r="C75" s="2"/>
      <c r="D75" s="2"/>
    </row>
    <row r="76" spans="3:4" ht="14.25" customHeight="1" x14ac:dyDescent="0.25">
      <c r="C76" s="2"/>
      <c r="D76" s="2"/>
    </row>
    <row r="77" spans="3:4" ht="14.25" customHeight="1" x14ac:dyDescent="0.25">
      <c r="C77" s="2"/>
      <c r="D77" s="2"/>
    </row>
    <row r="78" spans="3:4" ht="14.25" customHeight="1" x14ac:dyDescent="0.25">
      <c r="C78" s="2"/>
      <c r="D78" s="2"/>
    </row>
    <row r="79" spans="3:4" ht="14.25" customHeight="1" x14ac:dyDescent="0.25">
      <c r="C79" s="2"/>
      <c r="D79" s="2"/>
    </row>
    <row r="80" spans="3:4" ht="14.25" customHeight="1" x14ac:dyDescent="0.25">
      <c r="C80" s="2"/>
      <c r="D80" s="2"/>
    </row>
    <row r="81" spans="3:4" ht="14.25" customHeight="1" x14ac:dyDescent="0.25">
      <c r="C81" s="2"/>
      <c r="D81" s="2"/>
    </row>
    <row r="82" spans="3:4" ht="14.25" customHeight="1" x14ac:dyDescent="0.25">
      <c r="C82" s="2"/>
      <c r="D82" s="2"/>
    </row>
    <row r="83" spans="3:4" ht="14.25" customHeight="1" x14ac:dyDescent="0.25">
      <c r="C83" s="2"/>
      <c r="D83" s="2"/>
    </row>
    <row r="84" spans="3:4" ht="14.25" customHeight="1" x14ac:dyDescent="0.25">
      <c r="C84" s="2"/>
      <c r="D84" s="2"/>
    </row>
    <row r="85" spans="3:4" ht="14.25" customHeight="1" x14ac:dyDescent="0.25">
      <c r="C85" s="2"/>
      <c r="D85" s="2"/>
    </row>
    <row r="86" spans="3:4" ht="14.25" customHeight="1" x14ac:dyDescent="0.25">
      <c r="C86" s="2"/>
      <c r="D86" s="2"/>
    </row>
    <row r="87" spans="3:4" ht="14.25" customHeight="1" x14ac:dyDescent="0.25">
      <c r="C87" s="2"/>
      <c r="D87" s="2"/>
    </row>
    <row r="88" spans="3:4" ht="14.25" customHeight="1" x14ac:dyDescent="0.25">
      <c r="C88" s="2"/>
      <c r="D88" s="2"/>
    </row>
    <row r="89" spans="3:4" ht="14.25" customHeight="1" x14ac:dyDescent="0.25">
      <c r="C89" s="2"/>
      <c r="D89" s="2"/>
    </row>
    <row r="90" spans="3:4" ht="14.25" customHeight="1" x14ac:dyDescent="0.25">
      <c r="C90" s="2"/>
      <c r="D90" s="2"/>
    </row>
    <row r="91" spans="3:4" ht="14.25" customHeight="1" x14ac:dyDescent="0.25">
      <c r="C91" s="2"/>
      <c r="D91" s="2"/>
    </row>
    <row r="92" spans="3:4" ht="14.25" customHeight="1" x14ac:dyDescent="0.25">
      <c r="C92" s="2"/>
      <c r="D92" s="2"/>
    </row>
    <row r="93" spans="3:4" ht="14.25" customHeight="1" x14ac:dyDescent="0.25">
      <c r="C93" s="2"/>
      <c r="D93" s="2"/>
    </row>
    <row r="94" spans="3:4" ht="14.25" customHeight="1" x14ac:dyDescent="0.25">
      <c r="C94" s="2"/>
      <c r="D94" s="2"/>
    </row>
    <row r="95" spans="3:4" ht="14.25" customHeight="1" x14ac:dyDescent="0.25">
      <c r="C95" s="2"/>
      <c r="D95" s="2"/>
    </row>
    <row r="96" spans="3:4" ht="14.25" customHeight="1" x14ac:dyDescent="0.25">
      <c r="C96" s="2"/>
      <c r="D96" s="2"/>
    </row>
    <row r="97" spans="3:4" ht="14.25" customHeight="1" x14ac:dyDescent="0.25">
      <c r="C97" s="2"/>
      <c r="D97" s="2"/>
    </row>
    <row r="98" spans="3:4" ht="14.25" customHeight="1" x14ac:dyDescent="0.25">
      <c r="C98" s="2"/>
      <c r="D98" s="2"/>
    </row>
    <row r="99" spans="3:4" ht="14.25" customHeight="1" x14ac:dyDescent="0.25">
      <c r="C99" s="2"/>
      <c r="D99" s="2"/>
    </row>
    <row r="100" spans="3:4" ht="14.25" customHeight="1" x14ac:dyDescent="0.25">
      <c r="C100" s="2"/>
      <c r="D100" s="2"/>
    </row>
    <row r="101" spans="3:4" ht="14.25" customHeight="1" x14ac:dyDescent="0.25">
      <c r="C101" s="2"/>
      <c r="D101" s="2"/>
    </row>
    <row r="102" spans="3:4" ht="14.25" customHeight="1" x14ac:dyDescent="0.25">
      <c r="C102" s="2"/>
      <c r="D102" s="2"/>
    </row>
    <row r="103" spans="3:4" ht="14.25" customHeight="1" x14ac:dyDescent="0.25">
      <c r="C103" s="2"/>
      <c r="D103" s="2"/>
    </row>
    <row r="104" spans="3:4" ht="14.25" customHeight="1" x14ac:dyDescent="0.25">
      <c r="C104" s="2"/>
      <c r="D104" s="2"/>
    </row>
    <row r="105" spans="3:4" ht="14.25" customHeight="1" x14ac:dyDescent="0.25">
      <c r="C105" s="2"/>
      <c r="D105" s="2"/>
    </row>
    <row r="106" spans="3:4" ht="14.25" customHeight="1" x14ac:dyDescent="0.25">
      <c r="C106" s="2"/>
      <c r="D106" s="2"/>
    </row>
    <row r="107" spans="3:4" ht="14.25" customHeight="1" x14ac:dyDescent="0.25">
      <c r="C107" s="2"/>
      <c r="D107" s="2"/>
    </row>
    <row r="108" spans="3:4" ht="14.25" customHeight="1" x14ac:dyDescent="0.25">
      <c r="C108" s="2"/>
      <c r="D108" s="2"/>
    </row>
    <row r="109" spans="3:4" ht="14.25" customHeight="1" x14ac:dyDescent="0.25">
      <c r="C109" s="2"/>
      <c r="D109" s="2"/>
    </row>
    <row r="110" spans="3:4" ht="14.25" customHeight="1" x14ac:dyDescent="0.25">
      <c r="C110" s="2"/>
      <c r="D110" s="2"/>
    </row>
    <row r="111" spans="3:4" ht="14.25" customHeight="1" x14ac:dyDescent="0.25">
      <c r="C111" s="2"/>
      <c r="D111" s="2"/>
    </row>
    <row r="112" spans="3:4" ht="14.25" customHeight="1" x14ac:dyDescent="0.25">
      <c r="C112" s="2"/>
      <c r="D112" s="2"/>
    </row>
    <row r="113" spans="3:4" ht="14.25" customHeight="1" x14ac:dyDescent="0.25">
      <c r="C113" s="2"/>
      <c r="D113" s="2"/>
    </row>
    <row r="114" spans="3:4" ht="14.25" customHeight="1" x14ac:dyDescent="0.25">
      <c r="C114" s="2"/>
      <c r="D114" s="2"/>
    </row>
    <row r="115" spans="3:4" ht="14.25" customHeight="1" x14ac:dyDescent="0.25">
      <c r="C115" s="2"/>
      <c r="D115" s="2"/>
    </row>
    <row r="116" spans="3:4" ht="14.25" customHeight="1" x14ac:dyDescent="0.25">
      <c r="C116" s="2"/>
      <c r="D116" s="2"/>
    </row>
    <row r="117" spans="3:4" ht="14.25" customHeight="1" x14ac:dyDescent="0.25">
      <c r="C117" s="2"/>
      <c r="D117" s="2"/>
    </row>
    <row r="118" spans="3:4" ht="14.25" customHeight="1" x14ac:dyDescent="0.25">
      <c r="C118" s="2"/>
      <c r="D118" s="2"/>
    </row>
    <row r="119" spans="3:4" ht="14.25" customHeight="1" x14ac:dyDescent="0.25">
      <c r="C119" s="2"/>
      <c r="D119" s="2"/>
    </row>
    <row r="120" spans="3:4" ht="14.25" customHeight="1" x14ac:dyDescent="0.25">
      <c r="C120" s="2"/>
      <c r="D120" s="2"/>
    </row>
    <row r="121" spans="3:4" ht="14.25" customHeight="1" x14ac:dyDescent="0.25">
      <c r="C121" s="2"/>
      <c r="D121" s="2"/>
    </row>
    <row r="122" spans="3:4" ht="14.25" customHeight="1" x14ac:dyDescent="0.25">
      <c r="C122" s="2"/>
      <c r="D122" s="2"/>
    </row>
    <row r="123" spans="3:4" ht="14.25" customHeight="1" x14ac:dyDescent="0.25">
      <c r="C123" s="2"/>
      <c r="D123" s="2"/>
    </row>
    <row r="124" spans="3:4" ht="14.25" customHeight="1" x14ac:dyDescent="0.25">
      <c r="C124" s="2"/>
      <c r="D124" s="2"/>
    </row>
    <row r="125" spans="3:4" ht="14.25" customHeight="1" x14ac:dyDescent="0.25">
      <c r="C125" s="2"/>
      <c r="D125" s="2"/>
    </row>
    <row r="126" spans="3:4" ht="14.25" customHeight="1" x14ac:dyDescent="0.25">
      <c r="C126" s="2"/>
      <c r="D126" s="2"/>
    </row>
    <row r="127" spans="3:4" ht="14.25" customHeight="1" x14ac:dyDescent="0.25">
      <c r="C127" s="2"/>
      <c r="D127" s="2"/>
    </row>
    <row r="128" spans="3:4" ht="14.25" customHeight="1" x14ac:dyDescent="0.25">
      <c r="C128" s="2"/>
      <c r="D128" s="2"/>
    </row>
    <row r="129" spans="3:4" ht="14.25" customHeight="1" x14ac:dyDescent="0.25">
      <c r="C129" s="2"/>
      <c r="D129" s="2"/>
    </row>
    <row r="130" spans="3:4" ht="14.25" customHeight="1" x14ac:dyDescent="0.25">
      <c r="C130" s="2"/>
      <c r="D130" s="2"/>
    </row>
    <row r="131" spans="3:4" ht="14.25" customHeight="1" x14ac:dyDescent="0.25">
      <c r="C131" s="2"/>
      <c r="D131" s="2"/>
    </row>
    <row r="132" spans="3:4" ht="14.25" customHeight="1" x14ac:dyDescent="0.25">
      <c r="C132" s="2"/>
      <c r="D132" s="2"/>
    </row>
    <row r="133" spans="3:4" ht="14.25" customHeight="1" x14ac:dyDescent="0.25">
      <c r="C133" s="2"/>
      <c r="D133" s="2"/>
    </row>
    <row r="134" spans="3:4" ht="14.25" customHeight="1" x14ac:dyDescent="0.25">
      <c r="C134" s="2"/>
      <c r="D134" s="2"/>
    </row>
    <row r="135" spans="3:4" ht="14.25" customHeight="1" x14ac:dyDescent="0.25">
      <c r="C135" s="2"/>
      <c r="D135" s="2"/>
    </row>
    <row r="136" spans="3:4" ht="14.25" customHeight="1" x14ac:dyDescent="0.25">
      <c r="C136" s="2"/>
      <c r="D136" s="2"/>
    </row>
    <row r="137" spans="3:4" ht="14.25" customHeight="1" x14ac:dyDescent="0.25">
      <c r="C137" s="2"/>
      <c r="D137" s="2"/>
    </row>
    <row r="138" spans="3:4" ht="14.25" customHeight="1" x14ac:dyDescent="0.25">
      <c r="C138" s="2"/>
      <c r="D138" s="2"/>
    </row>
    <row r="139" spans="3:4" ht="14.25" customHeight="1" x14ac:dyDescent="0.25">
      <c r="C139" s="2"/>
      <c r="D139" s="2"/>
    </row>
    <row r="140" spans="3:4" ht="14.25" customHeight="1" x14ac:dyDescent="0.25">
      <c r="C140" s="2"/>
      <c r="D140" s="2"/>
    </row>
    <row r="141" spans="3:4" ht="14.25" customHeight="1" x14ac:dyDescent="0.25">
      <c r="C141" s="2"/>
      <c r="D141" s="2"/>
    </row>
    <row r="142" spans="3:4" ht="14.25" customHeight="1" x14ac:dyDescent="0.25">
      <c r="C142" s="2"/>
      <c r="D142" s="2"/>
    </row>
    <row r="143" spans="3:4" ht="14.25" customHeight="1" x14ac:dyDescent="0.25">
      <c r="C143" s="2"/>
      <c r="D143" s="2"/>
    </row>
    <row r="144" spans="3:4" ht="14.25" customHeight="1" x14ac:dyDescent="0.25">
      <c r="C144" s="2"/>
      <c r="D144" s="2"/>
    </row>
    <row r="145" spans="3:4" ht="14.25" customHeight="1" x14ac:dyDescent="0.25">
      <c r="C145" s="2"/>
      <c r="D145" s="2"/>
    </row>
    <row r="146" spans="3:4" ht="14.25" customHeight="1" x14ac:dyDescent="0.25">
      <c r="C146" s="2"/>
      <c r="D146" s="2"/>
    </row>
    <row r="147" spans="3:4" ht="14.25" customHeight="1" x14ac:dyDescent="0.25">
      <c r="C147" s="2"/>
      <c r="D147" s="2"/>
    </row>
    <row r="148" spans="3:4" ht="14.25" customHeight="1" x14ac:dyDescent="0.25">
      <c r="C148" s="2"/>
      <c r="D148" s="2"/>
    </row>
    <row r="149" spans="3:4" ht="14.25" customHeight="1" x14ac:dyDescent="0.25">
      <c r="C149" s="2"/>
      <c r="D149" s="2"/>
    </row>
    <row r="150" spans="3:4" ht="14.25" customHeight="1" x14ac:dyDescent="0.25">
      <c r="C150" s="2"/>
      <c r="D150" s="2"/>
    </row>
    <row r="151" spans="3:4" ht="14.25" customHeight="1" x14ac:dyDescent="0.25">
      <c r="C151" s="2"/>
      <c r="D151" s="2"/>
    </row>
    <row r="152" spans="3:4" ht="14.25" customHeight="1" x14ac:dyDescent="0.25">
      <c r="C152" s="2"/>
      <c r="D152" s="2"/>
    </row>
    <row r="153" spans="3:4" ht="14.25" customHeight="1" x14ac:dyDescent="0.25">
      <c r="C153" s="2"/>
      <c r="D153" s="2"/>
    </row>
    <row r="154" spans="3:4" ht="14.25" customHeight="1" x14ac:dyDescent="0.25">
      <c r="C154" s="2"/>
      <c r="D154" s="2"/>
    </row>
    <row r="155" spans="3:4" ht="14.25" customHeight="1" x14ac:dyDescent="0.25">
      <c r="C155" s="2"/>
      <c r="D155" s="2"/>
    </row>
    <row r="156" spans="3:4" ht="14.25" customHeight="1" x14ac:dyDescent="0.25">
      <c r="C156" s="2"/>
      <c r="D156" s="2"/>
    </row>
    <row r="157" spans="3:4" ht="14.25" customHeight="1" x14ac:dyDescent="0.25">
      <c r="C157" s="2"/>
      <c r="D157" s="2"/>
    </row>
    <row r="158" spans="3:4" ht="14.25" customHeight="1" x14ac:dyDescent="0.25">
      <c r="C158" s="2"/>
      <c r="D158" s="2"/>
    </row>
    <row r="159" spans="3:4" ht="14.25" customHeight="1" x14ac:dyDescent="0.25">
      <c r="C159" s="2"/>
      <c r="D159" s="2"/>
    </row>
    <row r="160" spans="3:4" ht="14.25" customHeight="1" x14ac:dyDescent="0.25">
      <c r="C160" s="2"/>
      <c r="D160" s="2"/>
    </row>
    <row r="161" spans="3:4" ht="14.25" customHeight="1" x14ac:dyDescent="0.25">
      <c r="C161" s="2"/>
      <c r="D161" s="2"/>
    </row>
    <row r="162" spans="3:4" ht="14.25" customHeight="1" x14ac:dyDescent="0.25">
      <c r="C162" s="2"/>
      <c r="D162" s="2"/>
    </row>
    <row r="163" spans="3:4" ht="14.25" customHeight="1" x14ac:dyDescent="0.25">
      <c r="C163" s="2"/>
      <c r="D163" s="2"/>
    </row>
    <row r="164" spans="3:4" ht="14.25" customHeight="1" x14ac:dyDescent="0.25">
      <c r="C164" s="2"/>
      <c r="D164" s="2"/>
    </row>
    <row r="165" spans="3:4" ht="14.25" customHeight="1" x14ac:dyDescent="0.25">
      <c r="C165" s="2"/>
      <c r="D165" s="2"/>
    </row>
    <row r="166" spans="3:4" ht="14.25" customHeight="1" x14ac:dyDescent="0.25">
      <c r="C166" s="2"/>
      <c r="D166" s="2"/>
    </row>
    <row r="167" spans="3:4" ht="14.25" customHeight="1" x14ac:dyDescent="0.25">
      <c r="C167" s="2"/>
      <c r="D167" s="2"/>
    </row>
    <row r="168" spans="3:4" ht="14.25" customHeight="1" x14ac:dyDescent="0.25">
      <c r="C168" s="2"/>
      <c r="D168" s="2"/>
    </row>
    <row r="169" spans="3:4" ht="14.25" customHeight="1" x14ac:dyDescent="0.25">
      <c r="C169" s="2"/>
      <c r="D169" s="2"/>
    </row>
    <row r="170" spans="3:4" ht="14.25" customHeight="1" x14ac:dyDescent="0.25">
      <c r="C170" s="2"/>
      <c r="D170" s="2"/>
    </row>
    <row r="171" spans="3:4" ht="14.25" customHeight="1" x14ac:dyDescent="0.25">
      <c r="C171" s="2"/>
      <c r="D171" s="2"/>
    </row>
    <row r="172" spans="3:4" ht="14.25" customHeight="1" x14ac:dyDescent="0.25">
      <c r="C172" s="2"/>
      <c r="D172" s="2"/>
    </row>
    <row r="173" spans="3:4" ht="14.25" customHeight="1" x14ac:dyDescent="0.25">
      <c r="C173" s="2"/>
      <c r="D173" s="2"/>
    </row>
    <row r="174" spans="3:4" ht="14.25" customHeight="1" x14ac:dyDescent="0.25">
      <c r="C174" s="2"/>
      <c r="D174" s="2"/>
    </row>
    <row r="175" spans="3:4" ht="14.25" customHeight="1" x14ac:dyDescent="0.25">
      <c r="C175" s="2"/>
      <c r="D175" s="2"/>
    </row>
    <row r="176" spans="3:4" ht="14.25" customHeight="1" x14ac:dyDescent="0.25">
      <c r="C176" s="2"/>
      <c r="D176" s="2"/>
    </row>
    <row r="177" spans="3:4" ht="14.25" customHeight="1" x14ac:dyDescent="0.25">
      <c r="C177" s="2"/>
      <c r="D177" s="2"/>
    </row>
    <row r="178" spans="3:4" ht="14.25" customHeight="1" x14ac:dyDescent="0.25">
      <c r="C178" s="2"/>
      <c r="D178" s="2"/>
    </row>
    <row r="179" spans="3:4" ht="14.25" customHeight="1" x14ac:dyDescent="0.25">
      <c r="C179" s="2"/>
      <c r="D179" s="2"/>
    </row>
    <row r="180" spans="3:4" ht="14.25" customHeight="1" x14ac:dyDescent="0.25">
      <c r="C180" s="2"/>
      <c r="D180" s="2"/>
    </row>
    <row r="181" spans="3:4" ht="14.25" customHeight="1" x14ac:dyDescent="0.25">
      <c r="C181" s="2"/>
      <c r="D181" s="2"/>
    </row>
    <row r="182" spans="3:4" ht="14.25" customHeight="1" x14ac:dyDescent="0.25">
      <c r="C182" s="2"/>
      <c r="D182" s="2"/>
    </row>
    <row r="183" spans="3:4" ht="14.25" customHeight="1" x14ac:dyDescent="0.25">
      <c r="C183" s="2"/>
      <c r="D183" s="2"/>
    </row>
    <row r="184" spans="3:4" ht="14.25" customHeight="1" x14ac:dyDescent="0.25">
      <c r="C184" s="2"/>
      <c r="D184" s="2"/>
    </row>
    <row r="185" spans="3:4" ht="14.25" customHeight="1" x14ac:dyDescent="0.25">
      <c r="C185" s="2"/>
      <c r="D185" s="2"/>
    </row>
    <row r="186" spans="3:4" ht="14.25" customHeight="1" x14ac:dyDescent="0.25">
      <c r="C186" s="2"/>
      <c r="D186" s="2"/>
    </row>
    <row r="187" spans="3:4" ht="14.25" customHeight="1" x14ac:dyDescent="0.25">
      <c r="C187" s="2"/>
      <c r="D187" s="2"/>
    </row>
    <row r="188" spans="3:4" ht="14.25" customHeight="1" x14ac:dyDescent="0.25">
      <c r="C188" s="2"/>
      <c r="D188" s="2"/>
    </row>
    <row r="189" spans="3:4" ht="14.25" customHeight="1" x14ac:dyDescent="0.25">
      <c r="C189" s="2"/>
      <c r="D189" s="2"/>
    </row>
    <row r="190" spans="3:4" ht="14.25" customHeight="1" x14ac:dyDescent="0.25">
      <c r="C190" s="2"/>
      <c r="D190" s="2"/>
    </row>
    <row r="191" spans="3:4" ht="14.25" customHeight="1" x14ac:dyDescent="0.25">
      <c r="C191" s="2"/>
      <c r="D191" s="2"/>
    </row>
    <row r="192" spans="3:4" ht="14.25" customHeight="1" x14ac:dyDescent="0.25">
      <c r="C192" s="2"/>
      <c r="D192" s="2"/>
    </row>
    <row r="193" spans="3:4" ht="14.25" customHeight="1" x14ac:dyDescent="0.25">
      <c r="C193" s="2"/>
      <c r="D193" s="2"/>
    </row>
    <row r="194" spans="3:4" ht="14.25" customHeight="1" x14ac:dyDescent="0.25">
      <c r="C194" s="2"/>
      <c r="D194" s="2"/>
    </row>
    <row r="195" spans="3:4" ht="14.25" customHeight="1" x14ac:dyDescent="0.25">
      <c r="C195" s="2"/>
      <c r="D195" s="2"/>
    </row>
    <row r="196" spans="3:4" ht="14.25" customHeight="1" x14ac:dyDescent="0.25">
      <c r="C196" s="2"/>
      <c r="D196" s="2"/>
    </row>
    <row r="197" spans="3:4" ht="14.25" customHeight="1" x14ac:dyDescent="0.25">
      <c r="C197" s="2"/>
      <c r="D197" s="2"/>
    </row>
    <row r="198" spans="3:4" ht="14.25" customHeight="1" x14ac:dyDescent="0.25">
      <c r="C198" s="2"/>
      <c r="D198" s="2"/>
    </row>
    <row r="199" spans="3:4" ht="14.25" customHeight="1" x14ac:dyDescent="0.25">
      <c r="C199" s="2"/>
      <c r="D199" s="2"/>
    </row>
    <row r="200" spans="3:4" ht="14.25" customHeight="1" x14ac:dyDescent="0.25">
      <c r="C200" s="2"/>
      <c r="D200" s="2"/>
    </row>
    <row r="201" spans="3:4" ht="14.25" customHeight="1" x14ac:dyDescent="0.25">
      <c r="C201" s="2"/>
      <c r="D201" s="2"/>
    </row>
    <row r="202" spans="3:4" ht="14.25" customHeight="1" x14ac:dyDescent="0.25">
      <c r="C202" s="2"/>
      <c r="D202" s="2"/>
    </row>
    <row r="203" spans="3:4" ht="14.25" customHeight="1" x14ac:dyDescent="0.25">
      <c r="C203" s="2"/>
      <c r="D203" s="2"/>
    </row>
    <row r="204" spans="3:4" ht="14.25" customHeight="1" x14ac:dyDescent="0.25">
      <c r="C204" s="2"/>
      <c r="D204" s="2"/>
    </row>
    <row r="205" spans="3:4" ht="14.25" customHeight="1" x14ac:dyDescent="0.25">
      <c r="C205" s="2"/>
      <c r="D205" s="2"/>
    </row>
    <row r="206" spans="3:4" ht="14.25" customHeight="1" x14ac:dyDescent="0.25">
      <c r="C206" s="2"/>
      <c r="D206" s="2"/>
    </row>
    <row r="207" spans="3:4" ht="14.25" customHeight="1" x14ac:dyDescent="0.25">
      <c r="C207" s="2"/>
      <c r="D207" s="2"/>
    </row>
    <row r="208" spans="3:4" ht="14.25" customHeight="1" x14ac:dyDescent="0.25">
      <c r="C208" s="2"/>
      <c r="D208" s="2"/>
    </row>
    <row r="209" spans="3:4" ht="14.25" customHeight="1" x14ac:dyDescent="0.25">
      <c r="C209" s="2"/>
      <c r="D209" s="2"/>
    </row>
    <row r="210" spans="3:4" ht="14.25" customHeight="1" x14ac:dyDescent="0.25">
      <c r="C210" s="2"/>
      <c r="D210" s="2"/>
    </row>
    <row r="211" spans="3:4" ht="14.25" customHeight="1" x14ac:dyDescent="0.25">
      <c r="C211" s="2"/>
      <c r="D211" s="2"/>
    </row>
    <row r="212" spans="3:4" ht="14.25" customHeight="1" x14ac:dyDescent="0.25">
      <c r="C212" s="2"/>
      <c r="D212" s="2"/>
    </row>
    <row r="213" spans="3:4" ht="14.25" customHeight="1" x14ac:dyDescent="0.25">
      <c r="C213" s="2"/>
      <c r="D213" s="2"/>
    </row>
    <row r="214" spans="3:4" ht="14.25" customHeight="1" x14ac:dyDescent="0.25">
      <c r="C214" s="2"/>
      <c r="D214" s="2"/>
    </row>
    <row r="215" spans="3:4" ht="14.25" customHeight="1" x14ac:dyDescent="0.25">
      <c r="C215" s="2"/>
      <c r="D215" s="2"/>
    </row>
    <row r="216" spans="3:4" ht="14.25" customHeight="1" x14ac:dyDescent="0.25">
      <c r="C216" s="2"/>
      <c r="D216" s="2"/>
    </row>
    <row r="217" spans="3:4" ht="14.25" customHeight="1" x14ac:dyDescent="0.25">
      <c r="C217" s="2"/>
      <c r="D217" s="2"/>
    </row>
    <row r="218" spans="3:4" ht="14.25" customHeight="1" x14ac:dyDescent="0.25">
      <c r="C218" s="2"/>
      <c r="D218" s="2"/>
    </row>
    <row r="219" spans="3:4" ht="14.25" customHeight="1" x14ac:dyDescent="0.25">
      <c r="C219" s="2"/>
      <c r="D219" s="2"/>
    </row>
    <row r="220" spans="3:4" ht="14.25" customHeight="1" x14ac:dyDescent="0.25">
      <c r="C220" s="2"/>
      <c r="D220" s="2"/>
    </row>
    <row r="221" spans="3:4" ht="14.25" customHeight="1" x14ac:dyDescent="0.25">
      <c r="C221" s="2"/>
      <c r="D221" s="2"/>
    </row>
    <row r="222" spans="3:4" ht="14.25" customHeight="1" x14ac:dyDescent="0.25">
      <c r="C222" s="2"/>
      <c r="D222" s="2"/>
    </row>
    <row r="223" spans="3:4" ht="14.25" customHeight="1" x14ac:dyDescent="0.25">
      <c r="C223" s="2"/>
      <c r="D223" s="2"/>
    </row>
    <row r="224" spans="3:4" ht="14.25" customHeight="1" x14ac:dyDescent="0.25">
      <c r="C224" s="2"/>
      <c r="D224" s="2"/>
    </row>
    <row r="225" spans="3:4" ht="14.25" customHeight="1" x14ac:dyDescent="0.25">
      <c r="C225" s="2"/>
      <c r="D225" s="2"/>
    </row>
    <row r="226" spans="3:4" ht="14.25" customHeight="1" x14ac:dyDescent="0.25">
      <c r="C226" s="2"/>
      <c r="D226" s="2"/>
    </row>
    <row r="227" spans="3:4" ht="14.25" customHeight="1" x14ac:dyDescent="0.25">
      <c r="C227" s="2"/>
      <c r="D227" s="2"/>
    </row>
    <row r="228" spans="3:4" ht="14.25" customHeight="1" x14ac:dyDescent="0.25">
      <c r="C228" s="2"/>
      <c r="D228" s="2"/>
    </row>
    <row r="229" spans="3:4" ht="14.25" customHeight="1" x14ac:dyDescent="0.25">
      <c r="C229" s="2"/>
      <c r="D229" s="2"/>
    </row>
    <row r="230" spans="3:4" ht="14.25" customHeight="1" x14ac:dyDescent="0.25">
      <c r="C230" s="2"/>
      <c r="D230" s="2"/>
    </row>
    <row r="231" spans="3:4" ht="14.25" customHeight="1" x14ac:dyDescent="0.25">
      <c r="C231" s="2"/>
      <c r="D231" s="2"/>
    </row>
    <row r="232" spans="3:4" ht="14.25" customHeight="1" x14ac:dyDescent="0.25">
      <c r="C232" s="2"/>
      <c r="D232" s="2"/>
    </row>
    <row r="233" spans="3:4" ht="14.25" customHeight="1" x14ac:dyDescent="0.25">
      <c r="C233" s="2"/>
      <c r="D233" s="2"/>
    </row>
    <row r="234" spans="3:4" ht="14.25" customHeight="1" x14ac:dyDescent="0.25">
      <c r="C234" s="2"/>
      <c r="D234" s="2"/>
    </row>
    <row r="235" spans="3:4" ht="14.25" customHeight="1" x14ac:dyDescent="0.25">
      <c r="C235" s="2"/>
      <c r="D235" s="2"/>
    </row>
    <row r="236" spans="3:4" ht="14.25" customHeight="1" x14ac:dyDescent="0.25">
      <c r="C236" s="2"/>
      <c r="D236" s="2"/>
    </row>
    <row r="237" spans="3:4" ht="14.25" customHeight="1" x14ac:dyDescent="0.25">
      <c r="C237" s="2"/>
      <c r="D237" s="2"/>
    </row>
    <row r="238" spans="3:4" ht="14.25" customHeight="1" x14ac:dyDescent="0.25">
      <c r="C238" s="2"/>
      <c r="D238" s="2"/>
    </row>
    <row r="239" spans="3:4" ht="14.25" customHeight="1" x14ac:dyDescent="0.25">
      <c r="C239" s="2"/>
      <c r="D239" s="2"/>
    </row>
    <row r="240" spans="3:4" ht="14.25" customHeight="1" x14ac:dyDescent="0.25">
      <c r="C240" s="2"/>
      <c r="D240" s="2"/>
    </row>
    <row r="241" spans="3:4" ht="14.25" customHeight="1" x14ac:dyDescent="0.25">
      <c r="C241" s="2"/>
      <c r="D241" s="2"/>
    </row>
    <row r="242" spans="3:4" ht="14.25" customHeight="1" x14ac:dyDescent="0.25">
      <c r="C242" s="2"/>
      <c r="D242" s="2"/>
    </row>
    <row r="243" spans="3:4" ht="14.25" customHeight="1" x14ac:dyDescent="0.25">
      <c r="C243" s="2"/>
      <c r="D243" s="2"/>
    </row>
    <row r="244" spans="3:4" ht="14.25" customHeight="1" x14ac:dyDescent="0.25">
      <c r="C244" s="2"/>
      <c r="D244" s="2"/>
    </row>
    <row r="245" spans="3:4" ht="15.75" customHeight="1" x14ac:dyDescent="0.25"/>
    <row r="246" spans="3:4" ht="15.75" customHeight="1" x14ac:dyDescent="0.25"/>
    <row r="247" spans="3:4" ht="15.75" customHeight="1" x14ac:dyDescent="0.25"/>
    <row r="248" spans="3:4" ht="15.75" customHeight="1" x14ac:dyDescent="0.25"/>
    <row r="249" spans="3:4" ht="15.75" customHeight="1" x14ac:dyDescent="0.25"/>
    <row r="250" spans="3:4" ht="15.75" customHeight="1" x14ac:dyDescent="0.25"/>
    <row r="251" spans="3:4" ht="15.75" customHeight="1" x14ac:dyDescent="0.25"/>
    <row r="252" spans="3:4" ht="15.75" customHeight="1" x14ac:dyDescent="0.25"/>
    <row r="253" spans="3:4" ht="15.75" customHeight="1" x14ac:dyDescent="0.25"/>
    <row r="254" spans="3:4" ht="15.75" customHeight="1" x14ac:dyDescent="0.25"/>
    <row r="255" spans="3:4" ht="15.75" customHeight="1" x14ac:dyDescent="0.25"/>
    <row r="256" spans="3:4"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algorithmName="SHA-512" hashValue="c5Q9k0twPkh1JMNZXvixbktV3k9knu1RgIwM8CqZ2LzWON8p36ro7jnaUSx2JYvItfKWzax5ELRUwilbgEaB3Q==" saltValue="HCXRlB+Ucg3BzZidDwH8hw==" spinCount="100000" sheet="1" objects="1" scenarios="1" selectLockedCells="1"/>
  <mergeCells count="11">
    <mergeCell ref="W4:X4"/>
    <mergeCell ref="E4:F4"/>
    <mergeCell ref="B2:F2"/>
    <mergeCell ref="C4:D4"/>
    <mergeCell ref="K4:L4"/>
    <mergeCell ref="I2:Y2"/>
    <mergeCell ref="O4:P4"/>
    <mergeCell ref="M4:N4"/>
    <mergeCell ref="S4:T4"/>
    <mergeCell ref="Q4:R4"/>
    <mergeCell ref="U4:V4"/>
  </mergeCells>
  <conditionalFormatting sqref="H6:H13">
    <cfRule type="expression" dxfId="1" priority="3">
      <formula>AND(H6&gt;0, H6&lt;=3, COUNTIF($H$6:$H$13, H6)&gt;1)</formula>
    </cfRule>
  </conditionalFormatting>
  <conditionalFormatting sqref="Z6:Z13">
    <cfRule type="expression" dxfId="0" priority="2">
      <formula>AND(H6&gt;0, H6&lt;=3, COUNTIF($H$6:$H$13, H6)&gt;1)</formula>
    </cfRule>
  </conditionalFormatting>
  <printOptions horizontalCentered="1" verticalCentered="1"/>
  <pageMargins left="0.19685039370078741" right="0.19685039370078741" top="0.74803149606299213" bottom="0.74803149606299213" header="0" footer="0"/>
  <pageSetup paperSize="9" fitToHeight="0" orientation="landscape" horizontalDpi="300" verticalDpi="300" r:id="rId1"/>
  <headerFooter>
    <oddHeader>&amp;CTussenstand</oddHeader>
    <oddFooter>&amp;C&amp;D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2:G1000"/>
  <sheetViews>
    <sheetView zoomScale="110" zoomScaleNormal="110" workbookViewId="0">
      <selection activeCell="B5" sqref="B5:G5"/>
    </sheetView>
  </sheetViews>
  <sheetFormatPr defaultColWidth="14.42578125" defaultRowHeight="15" customHeight="1" x14ac:dyDescent="0.25"/>
  <cols>
    <col min="1" max="1" width="2.7109375" style="3" customWidth="1"/>
    <col min="2" max="2" width="6.28515625" style="3" customWidth="1"/>
    <col min="3" max="3" width="38.42578125" style="3" customWidth="1"/>
    <col min="4" max="4" width="13.85546875" style="3" customWidth="1"/>
    <col min="5" max="6" width="12.85546875" style="3" customWidth="1"/>
    <col min="7" max="7" width="12.140625" style="3" customWidth="1"/>
    <col min="8" max="8" width="4.7109375" style="3" customWidth="1"/>
    <col min="9" max="9" width="14.42578125" style="3" customWidth="1"/>
    <col min="10" max="16384" width="14.42578125" style="3"/>
  </cols>
  <sheetData>
    <row r="2" spans="1:7" ht="21.75" customHeight="1" x14ac:dyDescent="0.35">
      <c r="B2" s="243" t="str">
        <f>"Uitslag "&amp;Deelnemers!B1</f>
        <v>Uitslag RK Teams Rayon 4, 25m 1pijl competitie 2025/2026</v>
      </c>
      <c r="C2" s="230"/>
      <c r="D2" s="230"/>
      <c r="E2" s="230"/>
      <c r="F2" s="230"/>
      <c r="G2" s="230"/>
    </row>
    <row r="3" spans="1:7" ht="21.75" customHeight="1" x14ac:dyDescent="0.35">
      <c r="B3" s="243" t="str">
        <f>Deelnemers!B2</f>
        <v>Recurve klasse D</v>
      </c>
      <c r="C3" s="230"/>
      <c r="D3" s="230"/>
      <c r="E3" s="230"/>
      <c r="F3" s="230"/>
      <c r="G3" s="230"/>
    </row>
    <row r="4" spans="1:7" ht="19.5" customHeight="1" x14ac:dyDescent="0.3">
      <c r="B4" s="244" t="str">
        <f>IF(Deelnemers!B3="","",Deelnemers!B3)</f>
        <v>Willem Tell 1921, Kerkrade</v>
      </c>
      <c r="C4" s="230"/>
      <c r="D4" s="230"/>
      <c r="E4" s="230"/>
      <c r="F4" s="230"/>
      <c r="G4" s="230"/>
    </row>
    <row r="5" spans="1:7" ht="19.5" customHeight="1" x14ac:dyDescent="0.3">
      <c r="B5" s="245" t="str">
        <f>IF(Deelnemers!B4="","",Deelnemers!B4)</f>
        <v>2026-04-11</v>
      </c>
      <c r="C5" s="230"/>
      <c r="D5" s="230"/>
      <c r="E5" s="230"/>
      <c r="F5" s="230"/>
      <c r="G5" s="230"/>
    </row>
    <row r="7" spans="1:7" ht="15" customHeight="1" x14ac:dyDescent="0.25">
      <c r="B7" s="29" t="s">
        <v>183</v>
      </c>
      <c r="C7" s="4" t="s">
        <v>184</v>
      </c>
      <c r="D7" s="29" t="s">
        <v>185</v>
      </c>
      <c r="E7" s="29" t="s">
        <v>163</v>
      </c>
      <c r="F7" s="29" t="s">
        <v>186</v>
      </c>
    </row>
    <row r="8" spans="1:7" ht="15" customHeight="1" x14ac:dyDescent="0.25">
      <c r="A8" s="4"/>
      <c r="B8" s="29" t="str">
        <f>Scores!AC16</f>
        <v/>
      </c>
      <c r="C8" s="3">
        <f>Scores!AD16</f>
        <v>0</v>
      </c>
      <c r="D8" s="47">
        <f>Scores!AE16</f>
        <v>0</v>
      </c>
      <c r="E8" s="2">
        <f>Scores!AF16</f>
        <v>0</v>
      </c>
      <c r="F8" s="2" t="str">
        <f>IF(Scores!AG16&lt;&gt;"",Scores!AG16,"")</f>
        <v/>
      </c>
      <c r="G8" s="33" t="s">
        <v>187</v>
      </c>
    </row>
    <row r="9" spans="1:7" ht="15" customHeight="1" x14ac:dyDescent="0.25">
      <c r="B9" s="29" t="str">
        <f>Scores!AC17</f>
        <v/>
      </c>
      <c r="C9" s="3">
        <f>Scores!AD17</f>
        <v>0</v>
      </c>
      <c r="D9" s="47">
        <f>Scores!AE17</f>
        <v>0</v>
      </c>
      <c r="E9" s="2">
        <f>Scores!AF17</f>
        <v>0</v>
      </c>
      <c r="F9" s="2" t="str">
        <f>IF(Scores!AG17&lt;&gt;"",Scores!AG17,"")</f>
        <v/>
      </c>
      <c r="G9" s="47" t="s">
        <v>188</v>
      </c>
    </row>
    <row r="10" spans="1:7" ht="15" customHeight="1" x14ac:dyDescent="0.25">
      <c r="B10" s="29" t="str">
        <f>Scores!AC18</f>
        <v/>
      </c>
      <c r="C10" s="3">
        <f>Scores!AD18</f>
        <v>0</v>
      </c>
      <c r="D10" s="47">
        <f>Scores!AE18</f>
        <v>0</v>
      </c>
      <c r="E10" s="2">
        <f>Scores!AF18</f>
        <v>0</v>
      </c>
      <c r="F10" s="2" t="str">
        <f>IF(Scores!AG18&lt;&gt;"",Scores!AG18,"")</f>
        <v/>
      </c>
      <c r="G10" s="2" t="str">
        <f>IF(Scores!AC2=2,"","3e")</f>
        <v>3e</v>
      </c>
    </row>
    <row r="11" spans="1:7" ht="15" customHeight="1" x14ac:dyDescent="0.25">
      <c r="B11" s="29" t="str">
        <f>Scores!AC19</f>
        <v/>
      </c>
      <c r="C11" s="3">
        <f>Scores!AD19</f>
        <v>0</v>
      </c>
      <c r="D11" s="47">
        <f>Scores!AE19</f>
        <v>0</v>
      </c>
      <c r="E11" s="2">
        <f>Scores!AF19</f>
        <v>0</v>
      </c>
      <c r="F11" s="2" t="str">
        <f>IF(Scores!AG19&lt;&gt;"",Scores!AG19,"")</f>
        <v/>
      </c>
      <c r="G11" s="2"/>
    </row>
    <row r="12" spans="1:7" ht="15" customHeight="1" x14ac:dyDescent="0.25">
      <c r="B12" s="29" t="str">
        <f>Scores!AC20</f>
        <v/>
      </c>
      <c r="C12" s="3">
        <f>Scores!AD20</f>
        <v>0</v>
      </c>
      <c r="D12" s="47">
        <f>Scores!AE20</f>
        <v>0</v>
      </c>
      <c r="E12" s="2">
        <f>Scores!AF20</f>
        <v>0</v>
      </c>
      <c r="F12" s="2" t="str">
        <f>IF(Scores!AG20&lt;&gt;"",Scores!AG20,"")</f>
        <v/>
      </c>
      <c r="G12" s="2"/>
    </row>
    <row r="13" spans="1:7" ht="15" customHeight="1" x14ac:dyDescent="0.25">
      <c r="B13" s="29" t="str">
        <f>Scores!AC21</f>
        <v/>
      </c>
      <c r="C13" s="3">
        <f>Scores!AD21</f>
        <v>0</v>
      </c>
      <c r="D13" s="47">
        <f>Scores!AE21</f>
        <v>0</v>
      </c>
      <c r="E13" s="2">
        <f>Scores!AF21</f>
        <v>0</v>
      </c>
      <c r="F13" s="2" t="str">
        <f>IF(Scores!AG21&lt;&gt;"",Scores!AG21,"")</f>
        <v/>
      </c>
      <c r="G13" s="2"/>
    </row>
    <row r="14" spans="1:7" ht="15" customHeight="1" x14ac:dyDescent="0.25">
      <c r="B14" s="29" t="str">
        <f>Scores!AC22</f>
        <v/>
      </c>
      <c r="C14" s="3">
        <f>Scores!AD22</f>
        <v>0</v>
      </c>
      <c r="D14" s="47">
        <f>Scores!AE22</f>
        <v>0</v>
      </c>
      <c r="E14" s="2">
        <f>Scores!AF22</f>
        <v>0</v>
      </c>
      <c r="F14" s="2" t="str">
        <f>IF(Scores!AG22&lt;&gt;"",Scores!AG22,"")</f>
        <v/>
      </c>
      <c r="G14" s="2"/>
    </row>
    <row r="15" spans="1:7" ht="15" customHeight="1" x14ac:dyDescent="0.25">
      <c r="B15" s="29" t="str">
        <f>Scores!AC23</f>
        <v/>
      </c>
      <c r="C15" s="3">
        <f>Scores!AD23</f>
        <v>0</v>
      </c>
      <c r="D15" s="47">
        <f>Scores!AE23</f>
        <v>0</v>
      </c>
      <c r="E15" s="2">
        <f>Scores!AF23</f>
        <v>0</v>
      </c>
      <c r="F15" s="2" t="str">
        <f>IF(Scores!AG23&lt;&gt;"",Scores!AG23,"")</f>
        <v/>
      </c>
      <c r="G15" s="2"/>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algorithmName="SHA-512" hashValue="yrYhoSXpaIDmlKQ1T1iIew2CsJC6p+MHxUrLRIOo9uPQzmLIpsDxK4tN6i1qJHOvQ0HT/4ACpzDuZSa03LtHkA==" saltValue="5vet5M3h8ZJnh36Lq6V8XA==" spinCount="100000" sheet="1" objects="1" scenarios="1" selectLockedCells="1"/>
  <mergeCells count="4">
    <mergeCell ref="B3:G3"/>
    <mergeCell ref="B2:G2"/>
    <mergeCell ref="B4:G4"/>
    <mergeCell ref="B5:G5"/>
  </mergeCells>
  <printOptions horizontalCentered="1"/>
  <pageMargins left="0.15763888888888899" right="0.15763888888888899" top="0.74791666666666701" bottom="0.74791666666666701" header="0.511811023622047" footer="0.511811023622047"/>
  <pageSetup paperSize="9" orientation="landscape"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T1000"/>
  <sheetViews>
    <sheetView zoomScaleNormal="100" workbookViewId="0">
      <selection activeCell="A2" sqref="A2:F2"/>
    </sheetView>
  </sheetViews>
  <sheetFormatPr defaultColWidth="14.42578125" defaultRowHeight="15" customHeight="1" x14ac:dyDescent="0.25"/>
  <cols>
    <col min="1" max="1" width="7.5703125" style="3" customWidth="1"/>
    <col min="2" max="2" width="1.7109375" style="3" customWidth="1"/>
    <col min="3" max="3" width="7.5703125" style="3" customWidth="1"/>
    <col min="4" max="4" width="36.5703125" style="3" customWidth="1"/>
    <col min="5" max="5" width="1.7109375" style="3" customWidth="1"/>
    <col min="6" max="6" width="36.5703125" style="3" customWidth="1"/>
    <col min="7" max="10" width="8.7109375" style="3" customWidth="1"/>
    <col min="11" max="11" width="14.42578125" style="3" hidden="1" customWidth="1"/>
    <col min="12" max="19" width="7.5703125" style="3" hidden="1" customWidth="1"/>
    <col min="20" max="20" width="9.140625" style="3" customWidth="1"/>
    <col min="21" max="21" width="14.42578125" style="3" customWidth="1"/>
    <col min="22" max="16384" width="14.42578125" style="3"/>
  </cols>
  <sheetData>
    <row r="1" spans="1:19" ht="19.5" customHeight="1" x14ac:dyDescent="0.3">
      <c r="A1" s="252" t="s">
        <v>189</v>
      </c>
      <c r="B1" s="253"/>
      <c r="C1" s="253"/>
      <c r="D1" s="253"/>
      <c r="E1" s="253"/>
      <c r="F1" s="254"/>
      <c r="K1" s="3" t="s">
        <v>190</v>
      </c>
      <c r="L1" s="71" t="str">
        <f>Deelnemers!D5</f>
        <v>7 of 8</v>
      </c>
    </row>
    <row r="2" spans="1:19" ht="15" customHeight="1" x14ac:dyDescent="0.25">
      <c r="A2" s="255" t="str">
        <f>Deelnemers!B2</f>
        <v>Recurve klasse D</v>
      </c>
      <c r="B2" s="230"/>
      <c r="C2" s="230"/>
      <c r="D2" s="230"/>
      <c r="E2" s="230"/>
      <c r="F2" s="256"/>
      <c r="K2" s="3" t="s">
        <v>191</v>
      </c>
      <c r="L2" s="226" t="s">
        <v>192</v>
      </c>
      <c r="M2" s="230"/>
      <c r="N2" s="226" t="s">
        <v>193</v>
      </c>
      <c r="O2" s="230"/>
      <c r="P2" s="226" t="s">
        <v>194</v>
      </c>
      <c r="Q2" s="230"/>
      <c r="R2" s="226" t="s">
        <v>195</v>
      </c>
      <c r="S2" s="230"/>
    </row>
    <row r="3" spans="1:19" ht="15" customHeight="1" x14ac:dyDescent="0.25">
      <c r="A3" s="249"/>
      <c r="B3" s="250"/>
      <c r="C3" s="250"/>
      <c r="D3" s="250"/>
      <c r="E3" s="250"/>
      <c r="F3" s="251"/>
      <c r="K3" s="3">
        <v>1</v>
      </c>
      <c r="L3" s="3" t="str">
        <f>Deelnemers!A8</f>
        <v>Baan 1</v>
      </c>
      <c r="M3" s="3" t="str">
        <f>Deelnemers!A13</f>
        <v>Baan 2</v>
      </c>
      <c r="N3" s="3" t="str">
        <f>IF(Deelnemers!D5="1 of 2","",Deelnemers!A18)</f>
        <v>Baan 3</v>
      </c>
      <c r="O3" s="3" t="str">
        <f>IF(Deelnemers!D5="1 of 2","",Deelnemers!A23)</f>
        <v>Baan 4</v>
      </c>
      <c r="P3" s="3" t="str">
        <f>IF(Deelnemers!D5="1 of 2","",IF(L1="3 of 4","",Deelnemers!A28))</f>
        <v>Baan 5</v>
      </c>
      <c r="Q3" s="3" t="str">
        <f>IF(Deelnemers!D5="1 of 2","",IF(L1="3 of 4","",Deelnemers!A33))</f>
        <v>Baan 6</v>
      </c>
      <c r="R3" s="3" t="str">
        <f>IF(L1="7 of 8",Deelnemers!A38,"")</f>
        <v>Baan 7</v>
      </c>
      <c r="S3" s="3" t="str">
        <f>IF(L1="7 of 8",Deelnemers!A43,"")</f>
        <v>Baan 8</v>
      </c>
    </row>
    <row r="4" spans="1:19" ht="17.25" customHeight="1" x14ac:dyDescent="0.3">
      <c r="A4" s="246" t="s">
        <v>161</v>
      </c>
      <c r="B4" s="247"/>
      <c r="C4" s="247"/>
      <c r="D4" s="247"/>
      <c r="E4" s="247"/>
      <c r="F4" s="248"/>
      <c r="K4" s="3">
        <v>2</v>
      </c>
      <c r="L4" s="3" t="str">
        <f>Deelnemers!A8</f>
        <v>Baan 1</v>
      </c>
      <c r="M4" s="3" t="str">
        <f>IF(Deelnemers!D5="1 of 2",Deelnemers!A13,Deelnemers!A18)</f>
        <v>Baan 3</v>
      </c>
      <c r="N4" s="3" t="str">
        <f>IF(Deelnemers!D5="1 of 2","",Deelnemers!A13)</f>
        <v>Baan 2</v>
      </c>
      <c r="O4" s="3" t="str">
        <f>IF(Deelnemers!D5="1 of 2","",IF(L1="3 of 4",Deelnemers!A23,Deelnemers!A28))</f>
        <v>Baan 5</v>
      </c>
      <c r="P4" s="3" t="str">
        <f>IF(Deelnemers!D5="1 of 2","",IF(L1="3 of 4","",Deelnemers!A23))</f>
        <v>Baan 4</v>
      </c>
      <c r="Q4" s="3" t="str">
        <f>IF(Deelnemers!D5="1 of 2","",IF(L1="3 of 4","",IF(L1="7 of 8",Deelnemers!A38,Deelnemers!A33)))</f>
        <v>Baan 7</v>
      </c>
      <c r="R4" s="3" t="str">
        <f>IF(L1="7 of 8",Deelnemers!A33,"")</f>
        <v>Baan 6</v>
      </c>
      <c r="S4" s="3" t="str">
        <f>IF(L1="7 of 8",Deelnemers!A43,"")</f>
        <v>Baan 8</v>
      </c>
    </row>
    <row r="5" spans="1:19" ht="15" customHeight="1" x14ac:dyDescent="0.25">
      <c r="A5" s="137" t="str">
        <f>L3</f>
        <v>Baan 1</v>
      </c>
      <c r="B5" s="138" t="s">
        <v>196</v>
      </c>
      <c r="C5" s="138" t="str">
        <f>M3</f>
        <v>Baan 2</v>
      </c>
      <c r="D5" s="139">
        <f>VLOOKUP(A5,Deelnemers!A:D,2,FALSE())</f>
        <v>0</v>
      </c>
      <c r="E5" s="3" t="s">
        <v>196</v>
      </c>
      <c r="F5" s="140">
        <f>VLOOKUP(C5,Deelnemers!A:D,2,FALSE())</f>
        <v>0</v>
      </c>
      <c r="K5" s="3">
        <v>3</v>
      </c>
      <c r="L5" s="3" t="str">
        <f>Deelnemers!A8</f>
        <v>Baan 1</v>
      </c>
      <c r="M5" s="3" t="str">
        <f>IF(Deelnemers!D5="1 of 2",Deelnemers!A13,Deelnemers!A23)</f>
        <v>Baan 4</v>
      </c>
      <c r="N5" s="3" t="str">
        <f>IF(Deelnemers!D5="1 of 2","",Deelnemers!A13)</f>
        <v>Baan 2</v>
      </c>
      <c r="O5" s="3" t="str">
        <f>IF(Deelnemers!D5="1 of 2","",IF(L1="3 of 4",Deelnemers!A18,Deelnemers!A33))</f>
        <v>Baan 6</v>
      </c>
      <c r="P5" s="3" t="str">
        <f>IF(Deelnemers!D5="1 of 2","",IF(L1="3 of 4","",Deelnemers!A18))</f>
        <v>Baan 3</v>
      </c>
      <c r="Q5" s="3" t="str">
        <f>IF(Deelnemers!D5="1 of 2","",IF(L1="3 of 4","",IF(L1="7 of 8",Deelnemers!A43,Deelnemers!A28)))</f>
        <v>Baan 8</v>
      </c>
      <c r="R5" s="3" t="str">
        <f>IF(L1="7 of 8",Deelnemers!A28,"")</f>
        <v>Baan 5</v>
      </c>
      <c r="S5" s="3" t="str">
        <f>IF(L1="7 of 8",Deelnemers!A38,"")</f>
        <v>Baan 7</v>
      </c>
    </row>
    <row r="6" spans="1:19" ht="15" customHeight="1" x14ac:dyDescent="0.25">
      <c r="A6" s="141" t="str">
        <f>N3</f>
        <v>Baan 3</v>
      </c>
      <c r="B6" s="142" t="s">
        <v>196</v>
      </c>
      <c r="C6" s="142" t="str">
        <f>O3</f>
        <v>Baan 4</v>
      </c>
      <c r="D6" s="139">
        <f>IF(A6="","",VLOOKUP(A6,Deelnemers!A:D,2,FALSE()))</f>
        <v>0</v>
      </c>
      <c r="E6" s="3" t="s">
        <v>196</v>
      </c>
      <c r="F6" s="140">
        <f>IF(A6="","",VLOOKUP(C6,Deelnemers!A:D,2,FALSE()))</f>
        <v>0</v>
      </c>
      <c r="K6" s="3">
        <v>4</v>
      </c>
      <c r="L6" s="3" t="str">
        <f>Deelnemers!A8</f>
        <v>Baan 1</v>
      </c>
      <c r="M6" s="3" t="str">
        <f>IF(Deelnemers!D5="1 of 2",Deelnemers!A13,IF(L1="3 of 4",Deelnemers!A13,Deelnemers!A28))</f>
        <v>Baan 5</v>
      </c>
      <c r="N6" s="3" t="str">
        <f>IF(Deelnemers!D5="1 of 2","",IF(L1="3 of 4",Deelnemers!A18,Deelnemers!A13))</f>
        <v>Baan 2</v>
      </c>
      <c r="O6" s="3" t="str">
        <f>IF(Deelnemers!D5="1 of 2","",IF(L1="7 of 8",Deelnemers!A43,Deelnemers!A23))</f>
        <v>Baan 8</v>
      </c>
      <c r="P6" s="3" t="str">
        <f>IF(Deelnemers!D5="1 of 2","",IF(L1="3 of 4","",Deelnemers!A18))</f>
        <v>Baan 3</v>
      </c>
      <c r="Q6" s="3" t="str">
        <f>IF(Deelnemers!D5="1 of 2","",IF(L1="3 of 4","",IF(L1="7 of 8",Deelnemers!A38,Deelnemers!A33)))</f>
        <v>Baan 7</v>
      </c>
      <c r="R6" s="3" t="str">
        <f>IF(L1="7 of 8",Deelnemers!A23,"")</f>
        <v>Baan 4</v>
      </c>
      <c r="S6" s="3" t="str">
        <f>IF(L1="7 of 8",Deelnemers!A33,"")</f>
        <v>Baan 6</v>
      </c>
    </row>
    <row r="7" spans="1:19" ht="15" customHeight="1" x14ac:dyDescent="0.25">
      <c r="A7" s="143" t="str">
        <f>P3</f>
        <v>Baan 5</v>
      </c>
      <c r="B7" s="144" t="s">
        <v>196</v>
      </c>
      <c r="C7" s="144" t="str">
        <f>Q3</f>
        <v>Baan 6</v>
      </c>
      <c r="D7" s="139">
        <f>IF(A7="","",VLOOKUP(A7,Deelnemers!A:D,2,FALSE()))</f>
        <v>0</v>
      </c>
      <c r="E7" s="3" t="s">
        <v>196</v>
      </c>
      <c r="F7" s="140">
        <f>IF(C7="","",VLOOKUP(C7,Deelnemers!A:D,2,FALSE()))</f>
        <v>0</v>
      </c>
      <c r="K7" s="3">
        <f>IF(L1="1 of 2","",5)</f>
        <v>5</v>
      </c>
      <c r="L7" s="3" t="str">
        <f>IF(Deelnemers!D5="1 of 2","",Deelnemers!A8)</f>
        <v>Baan 1</v>
      </c>
      <c r="M7" s="3" t="str">
        <f>IF(Deelnemers!D5="1 of 2","",IF(L1="3 of 4",Deelnemers!A18,Deelnemers!A33))</f>
        <v>Baan 6</v>
      </c>
      <c r="N7" s="3" t="str">
        <f>IF(Deelnemers!D5="1 of 2","",Deelnemers!A13)</f>
        <v>Baan 2</v>
      </c>
      <c r="O7" s="3" t="str">
        <f>IF(Deelnemers!D5="1 of 2","",IF(L1="3 of 4",Deelnemers!A23,IF(L1="7 of 8",Deelnemers!A38,Deelnemers!A18)))</f>
        <v>Baan 7</v>
      </c>
      <c r="P7" s="3" t="str">
        <f>IF(Deelnemers!D5="1 of 2","",IF(L1="3 of 4","",IF(L1="7 of 8",Deelnemers!A18,Deelnemers!A23)))</f>
        <v>Baan 3</v>
      </c>
      <c r="Q7" s="3" t="str">
        <f>IF(Deelnemers!D5="1 of 2","",IF(L1="3 of 4","",IF(L1="7 of 8",Deelnemers!A28,Deelnemers!A28)))</f>
        <v>Baan 5</v>
      </c>
      <c r="R7" s="3" t="str">
        <f>IF(L1="7 of 8",Deelnemers!A23,"")</f>
        <v>Baan 4</v>
      </c>
      <c r="S7" s="3" t="str">
        <f>IF(L1="7 of 8",Deelnemers!A43,"")</f>
        <v>Baan 8</v>
      </c>
    </row>
    <row r="8" spans="1:19" ht="15" customHeight="1" x14ac:dyDescent="0.25">
      <c r="A8" s="145" t="str">
        <f>R3</f>
        <v>Baan 7</v>
      </c>
      <c r="B8" s="146" t="s">
        <v>196</v>
      </c>
      <c r="C8" s="146" t="str">
        <f>S3</f>
        <v>Baan 8</v>
      </c>
      <c r="D8" s="139">
        <f>IF(A8="","",VLOOKUP(A8,Deelnemers!A:D,2,FALSE()))</f>
        <v>0</v>
      </c>
      <c r="E8" s="3" t="s">
        <v>196</v>
      </c>
      <c r="F8" s="140">
        <f>IF(C8="","",VLOOKUP(C8,Deelnemers!A:D,2,FALSE()))</f>
        <v>0</v>
      </c>
      <c r="K8" s="3">
        <f>IF(L1="1 of 2","",IF(L1="5 of 6","",6))</f>
        <v>6</v>
      </c>
      <c r="L8" s="3" t="str">
        <f>IF(K8=6,Deelnemers!A8,"")</f>
        <v>Baan 1</v>
      </c>
      <c r="M8" s="3" t="str">
        <f>IF(L1="3 of 4",Deelnemers!A23,IF(L1="7 of 8",Deelnemers!A38,""))</f>
        <v>Baan 7</v>
      </c>
      <c r="N8" s="3" t="str">
        <f>IF(Deelnemers!D5="1 of 2","",IF(L1="5 of 6","",Deelnemers!A13))</f>
        <v>Baan 2</v>
      </c>
      <c r="O8" s="3" t="str">
        <f>IF(Deelnemers!D5="1 of 2","",IF(L1="3 of 4",Deelnemers!A18,IF(L1="7 of 8",Deelnemers!A23,"")))</f>
        <v>Baan 4</v>
      </c>
      <c r="P8" s="3" t="str">
        <f>IF(L1="7 of 8",Deelnemers!A18,"")</f>
        <v>Baan 3</v>
      </c>
      <c r="Q8" s="3" t="str">
        <f>IF(L1="7 of 8",Deelnemers!A33,"")</f>
        <v>Baan 6</v>
      </c>
      <c r="R8" s="3" t="str">
        <f>IF(L1="7 of 8",Deelnemers!A28,"")</f>
        <v>Baan 5</v>
      </c>
      <c r="S8" s="3" t="str">
        <f>IF(L1="7 of 8",Deelnemers!A43,"")</f>
        <v>Baan 8</v>
      </c>
    </row>
    <row r="9" spans="1:19" ht="15" customHeight="1" x14ac:dyDescent="0.25">
      <c r="A9" s="147"/>
      <c r="F9" s="148"/>
      <c r="K9" s="3">
        <f>IF(L1="7 of 8",7,"")</f>
        <v>7</v>
      </c>
      <c r="L9" s="3" t="str">
        <f>IF(K9=7,Deelnemers!A8,"")</f>
        <v>Baan 1</v>
      </c>
      <c r="M9" s="3" t="str">
        <f>IF(L1="7 of 8",Deelnemers!A43,"")</f>
        <v>Baan 8</v>
      </c>
      <c r="N9" s="3" t="str">
        <f>IF(L1="7 of 8",Deelnemers!A13,"")</f>
        <v>Baan 2</v>
      </c>
      <c r="O9" s="3" t="str">
        <f>IF(L1="7 of 8",Deelnemers!A18,"")</f>
        <v>Baan 3</v>
      </c>
      <c r="P9" s="3" t="str">
        <f>IF(L1="7 of 8",Deelnemers!A23,"")</f>
        <v>Baan 4</v>
      </c>
      <c r="Q9" s="3" t="str">
        <f>IF(L1="7 of 8",Deelnemers!A28,"")</f>
        <v>Baan 5</v>
      </c>
      <c r="R9" s="3" t="str">
        <f>IF(L1="7 of 8",Deelnemers!A33,"")</f>
        <v>Baan 6</v>
      </c>
      <c r="S9" s="3" t="str">
        <f>IF(L1="7 of 8",Deelnemers!A38,"")</f>
        <v>Baan 7</v>
      </c>
    </row>
    <row r="10" spans="1:19" ht="17.25" customHeight="1" x14ac:dyDescent="0.3">
      <c r="A10" s="246" t="s">
        <v>172</v>
      </c>
      <c r="B10" s="247"/>
      <c r="C10" s="247"/>
      <c r="D10" s="247"/>
      <c r="E10" s="247"/>
      <c r="F10" s="248"/>
    </row>
    <row r="11" spans="1:19" ht="15" customHeight="1" x14ac:dyDescent="0.25">
      <c r="A11" s="137" t="str">
        <f>L4</f>
        <v>Baan 1</v>
      </c>
      <c r="B11" s="138" t="s">
        <v>196</v>
      </c>
      <c r="C11" s="138" t="str">
        <f>M4</f>
        <v>Baan 3</v>
      </c>
      <c r="D11" s="139">
        <f>VLOOKUP(A11,Deelnemers!A:D,2,FALSE())</f>
        <v>0</v>
      </c>
      <c r="E11" s="3" t="s">
        <v>196</v>
      </c>
      <c r="F11" s="140">
        <f>VLOOKUP(C11,Deelnemers!A:D,2,FALSE())</f>
        <v>0</v>
      </c>
    </row>
    <row r="12" spans="1:19" ht="15" customHeight="1" x14ac:dyDescent="0.25">
      <c r="A12" s="141" t="str">
        <f>N4</f>
        <v>Baan 2</v>
      </c>
      <c r="B12" s="142" t="s">
        <v>196</v>
      </c>
      <c r="C12" s="142" t="str">
        <f>O4</f>
        <v>Baan 5</v>
      </c>
      <c r="D12" s="139">
        <f>IF(A12="","",VLOOKUP(A12,Deelnemers!A:D,2,FALSE()))</f>
        <v>0</v>
      </c>
      <c r="E12" s="3" t="s">
        <v>196</v>
      </c>
      <c r="F12" s="140">
        <f>IF(C12="","",VLOOKUP(C12,Deelnemers!A:D,2,FALSE()))</f>
        <v>0</v>
      </c>
    </row>
    <row r="13" spans="1:19" ht="15" customHeight="1" x14ac:dyDescent="0.25">
      <c r="A13" s="143" t="str">
        <f>P4</f>
        <v>Baan 4</v>
      </c>
      <c r="B13" s="144" t="s">
        <v>196</v>
      </c>
      <c r="C13" s="144" t="str">
        <f>Q4</f>
        <v>Baan 7</v>
      </c>
      <c r="D13" s="139">
        <f>IF(A13="","",VLOOKUP(A13,Deelnemers!A:D,2,FALSE()))</f>
        <v>0</v>
      </c>
      <c r="E13" s="3" t="s">
        <v>196</v>
      </c>
      <c r="F13" s="140">
        <f>IF(C13="","",VLOOKUP(C13,Deelnemers!A:D,2,FALSE()))</f>
        <v>0</v>
      </c>
    </row>
    <row r="14" spans="1:19" ht="15" customHeight="1" x14ac:dyDescent="0.25">
      <c r="A14" s="145" t="str">
        <f>R4</f>
        <v>Baan 6</v>
      </c>
      <c r="B14" s="146" t="s">
        <v>196</v>
      </c>
      <c r="C14" s="146" t="str">
        <f>S4</f>
        <v>Baan 8</v>
      </c>
      <c r="D14" s="139">
        <f>IF(A14="","",VLOOKUP(A14,Deelnemers!A:D,2,FALSE()))</f>
        <v>0</v>
      </c>
      <c r="E14" s="3" t="s">
        <v>196</v>
      </c>
      <c r="F14" s="140">
        <f>IF(C14="","",VLOOKUP(C14,Deelnemers!A:D,2,FALSE()))</f>
        <v>0</v>
      </c>
    </row>
    <row r="15" spans="1:19" ht="15" customHeight="1" x14ac:dyDescent="0.25">
      <c r="A15" s="147"/>
      <c r="F15" s="148"/>
    </row>
    <row r="16" spans="1:19" ht="17.25" customHeight="1" x14ac:dyDescent="0.3">
      <c r="A16" s="246" t="s">
        <v>174</v>
      </c>
      <c r="B16" s="247"/>
      <c r="C16" s="247"/>
      <c r="D16" s="247"/>
      <c r="E16" s="247"/>
      <c r="F16" s="248"/>
    </row>
    <row r="17" spans="1:6" ht="15" customHeight="1" x14ac:dyDescent="0.25">
      <c r="A17" s="137" t="str">
        <f>L5</f>
        <v>Baan 1</v>
      </c>
      <c r="B17" s="138" t="s">
        <v>196</v>
      </c>
      <c r="C17" s="138" t="str">
        <f>M5</f>
        <v>Baan 4</v>
      </c>
      <c r="D17" s="139">
        <f>VLOOKUP(A17,Deelnemers!A:D,2,FALSE())</f>
        <v>0</v>
      </c>
      <c r="E17" s="3" t="s">
        <v>196</v>
      </c>
      <c r="F17" s="140">
        <f>VLOOKUP(C17,Deelnemers!A:D,2,FALSE())</f>
        <v>0</v>
      </c>
    </row>
    <row r="18" spans="1:6" ht="15" customHeight="1" x14ac:dyDescent="0.25">
      <c r="A18" s="141" t="str">
        <f>N5</f>
        <v>Baan 2</v>
      </c>
      <c r="B18" s="142" t="s">
        <v>196</v>
      </c>
      <c r="C18" s="142" t="str">
        <f>O5</f>
        <v>Baan 6</v>
      </c>
      <c r="D18" s="139">
        <f>IF(A18="","",VLOOKUP(A18,Deelnemers!A:D,2,FALSE()))</f>
        <v>0</v>
      </c>
      <c r="E18" s="3" t="s">
        <v>196</v>
      </c>
      <c r="F18" s="140">
        <f>IF(C18="","",VLOOKUP(C18,Deelnemers!A:D,2,FALSE()))</f>
        <v>0</v>
      </c>
    </row>
    <row r="19" spans="1:6" ht="15" customHeight="1" x14ac:dyDescent="0.25">
      <c r="A19" s="143" t="str">
        <f>P5</f>
        <v>Baan 3</v>
      </c>
      <c r="B19" s="144" t="s">
        <v>196</v>
      </c>
      <c r="C19" s="144" t="str">
        <f>Q5</f>
        <v>Baan 8</v>
      </c>
      <c r="D19" s="139">
        <f>IF(A19="","",VLOOKUP(A19,Deelnemers!A:D,2,FALSE()))</f>
        <v>0</v>
      </c>
      <c r="E19" s="3" t="s">
        <v>196</v>
      </c>
      <c r="F19" s="140">
        <f>IF(C19="","",VLOOKUP(C19,Deelnemers!A:D,2,FALSE()))</f>
        <v>0</v>
      </c>
    </row>
    <row r="20" spans="1:6" ht="15" customHeight="1" x14ac:dyDescent="0.25">
      <c r="A20" s="145" t="str">
        <f>R5</f>
        <v>Baan 5</v>
      </c>
      <c r="B20" s="146" t="s">
        <v>196</v>
      </c>
      <c r="C20" s="146" t="str">
        <f>S5</f>
        <v>Baan 7</v>
      </c>
      <c r="D20" s="139">
        <f>IF(A20="","",VLOOKUP(A20,Deelnemers!A:D,2,FALSE()))</f>
        <v>0</v>
      </c>
      <c r="E20" s="3" t="s">
        <v>196</v>
      </c>
      <c r="F20" s="140">
        <f>IF(C20="","",VLOOKUP(C20,Deelnemers!A:D,2,FALSE()))</f>
        <v>0</v>
      </c>
    </row>
    <row r="21" spans="1:6" ht="15.75" customHeight="1" x14ac:dyDescent="0.25">
      <c r="A21" s="147"/>
      <c r="F21" s="148"/>
    </row>
    <row r="22" spans="1:6" ht="15.75" customHeight="1" x14ac:dyDescent="0.3">
      <c r="A22" s="246" t="s">
        <v>179</v>
      </c>
      <c r="B22" s="247"/>
      <c r="C22" s="247"/>
      <c r="D22" s="247"/>
      <c r="E22" s="247"/>
      <c r="F22" s="248"/>
    </row>
    <row r="23" spans="1:6" ht="15.75" customHeight="1" x14ac:dyDescent="0.25">
      <c r="A23" s="137" t="str">
        <f>L6</f>
        <v>Baan 1</v>
      </c>
      <c r="B23" s="138" t="s">
        <v>196</v>
      </c>
      <c r="C23" s="138" t="str">
        <f>M6</f>
        <v>Baan 5</v>
      </c>
      <c r="D23" s="139">
        <f>VLOOKUP(A23,Deelnemers!A:D,2,FALSE())</f>
        <v>0</v>
      </c>
      <c r="E23" s="3" t="s">
        <v>196</v>
      </c>
      <c r="F23" s="140">
        <f>VLOOKUP(C23,Deelnemers!A:D,2,FALSE())</f>
        <v>0</v>
      </c>
    </row>
    <row r="24" spans="1:6" ht="15.75" customHeight="1" x14ac:dyDescent="0.25">
      <c r="A24" s="141" t="str">
        <f>N6</f>
        <v>Baan 2</v>
      </c>
      <c r="B24" s="142" t="s">
        <v>196</v>
      </c>
      <c r="C24" s="142" t="str">
        <f>O6</f>
        <v>Baan 8</v>
      </c>
      <c r="D24" s="139">
        <f>IF(A24="","",VLOOKUP(A24,Deelnemers!A:D,2,FALSE()))</f>
        <v>0</v>
      </c>
      <c r="E24" s="3" t="s">
        <v>196</v>
      </c>
      <c r="F24" s="140">
        <f>IF(C24="","",VLOOKUP(C24,Deelnemers!A:D,2,FALSE()))</f>
        <v>0</v>
      </c>
    </row>
    <row r="25" spans="1:6" ht="15.75" customHeight="1" x14ac:dyDescent="0.25">
      <c r="A25" s="143" t="str">
        <f>P6</f>
        <v>Baan 3</v>
      </c>
      <c r="B25" s="144" t="s">
        <v>196</v>
      </c>
      <c r="C25" s="144" t="str">
        <f>Q6</f>
        <v>Baan 7</v>
      </c>
      <c r="D25" s="139">
        <f>IF(A25="","",VLOOKUP(A25,Deelnemers!A:D,2,FALSE()))</f>
        <v>0</v>
      </c>
      <c r="E25" s="3" t="s">
        <v>196</v>
      </c>
      <c r="F25" s="140">
        <f>IF(C25="","",VLOOKUP(C25,Deelnemers!A:D,2,FALSE()))</f>
        <v>0</v>
      </c>
    </row>
    <row r="26" spans="1:6" ht="15.75" customHeight="1" x14ac:dyDescent="0.25">
      <c r="A26" s="145" t="str">
        <f>R6</f>
        <v>Baan 4</v>
      </c>
      <c r="B26" s="146" t="s">
        <v>196</v>
      </c>
      <c r="C26" s="146" t="str">
        <f>S6</f>
        <v>Baan 6</v>
      </c>
      <c r="D26" s="139">
        <f>IF(A26="","",VLOOKUP(A26,Deelnemers!A:D,2,FALSE()))</f>
        <v>0</v>
      </c>
      <c r="E26" s="3" t="s">
        <v>196</v>
      </c>
      <c r="F26" s="140">
        <f>IF(C26="","",VLOOKUP(C26,Deelnemers!A:D,2,FALSE()))</f>
        <v>0</v>
      </c>
    </row>
    <row r="27" spans="1:6" ht="15.75" customHeight="1" x14ac:dyDescent="0.25">
      <c r="A27" s="147"/>
      <c r="F27" s="148"/>
    </row>
    <row r="28" spans="1:6" ht="15.75" customHeight="1" x14ac:dyDescent="0.3">
      <c r="A28" s="246" t="str">
        <f>IF(K7=5,"Ronde 5","")</f>
        <v>Ronde 5</v>
      </c>
      <c r="B28" s="247"/>
      <c r="C28" s="247"/>
      <c r="D28" s="247"/>
      <c r="E28" s="247"/>
      <c r="F28" s="248"/>
    </row>
    <row r="29" spans="1:6" ht="15.75" customHeight="1" x14ac:dyDescent="0.25">
      <c r="A29" s="137" t="str">
        <f>L7</f>
        <v>Baan 1</v>
      </c>
      <c r="B29" s="138" t="s">
        <v>196</v>
      </c>
      <c r="C29" s="138" t="str">
        <f>M7</f>
        <v>Baan 6</v>
      </c>
      <c r="D29" s="139">
        <f>IF(A29="","",VLOOKUP(A29,Deelnemers!A:D,2,FALSE()))</f>
        <v>0</v>
      </c>
      <c r="E29" s="3" t="s">
        <v>196</v>
      </c>
      <c r="F29" s="140">
        <f>IF(C29="","",VLOOKUP(C29,Deelnemers!A:D,2,FALSE()))</f>
        <v>0</v>
      </c>
    </row>
    <row r="30" spans="1:6" ht="15.75" customHeight="1" x14ac:dyDescent="0.25">
      <c r="A30" s="141" t="str">
        <f>N7</f>
        <v>Baan 2</v>
      </c>
      <c r="B30" s="142" t="s">
        <v>196</v>
      </c>
      <c r="C30" s="142" t="str">
        <f>O7</f>
        <v>Baan 7</v>
      </c>
      <c r="D30" s="139">
        <f>IF(A30="","",VLOOKUP(A30,Deelnemers!A:D,2,FALSE()))</f>
        <v>0</v>
      </c>
      <c r="E30" s="3" t="s">
        <v>196</v>
      </c>
      <c r="F30" s="140">
        <f>IF(C30="","",VLOOKUP(C30,Deelnemers!A:D,2,FALSE()))</f>
        <v>0</v>
      </c>
    </row>
    <row r="31" spans="1:6" ht="15.75" customHeight="1" x14ac:dyDescent="0.25">
      <c r="A31" s="143" t="str">
        <f>P7</f>
        <v>Baan 3</v>
      </c>
      <c r="B31" s="144" t="s">
        <v>196</v>
      </c>
      <c r="C31" s="144" t="str">
        <f>Q7</f>
        <v>Baan 5</v>
      </c>
      <c r="D31" s="139">
        <f>IF(A31="","",VLOOKUP(A31,Deelnemers!A:D,2,FALSE()))</f>
        <v>0</v>
      </c>
      <c r="E31" s="3" t="s">
        <v>196</v>
      </c>
      <c r="F31" s="140">
        <f>IF(C31="","",VLOOKUP(C31,Deelnemers!A:D,2,FALSE()))</f>
        <v>0</v>
      </c>
    </row>
    <row r="32" spans="1:6" ht="15.75" customHeight="1" x14ac:dyDescent="0.25">
      <c r="A32" s="145" t="str">
        <f>R7</f>
        <v>Baan 4</v>
      </c>
      <c r="B32" s="146" t="s">
        <v>196</v>
      </c>
      <c r="C32" s="146" t="str">
        <f>S7</f>
        <v>Baan 8</v>
      </c>
      <c r="D32" s="139">
        <f>IF(A32="","",VLOOKUP(A32,Deelnemers!A:D,2,FALSE()))</f>
        <v>0</v>
      </c>
      <c r="E32" s="3" t="s">
        <v>196</v>
      </c>
      <c r="F32" s="140">
        <f>IF(C32="","",VLOOKUP(C32,Deelnemers!A:D,2,FALSE()))</f>
        <v>0</v>
      </c>
    </row>
    <row r="33" spans="1:6" ht="15.75" customHeight="1" x14ac:dyDescent="0.25">
      <c r="A33" s="147"/>
      <c r="F33" s="148"/>
    </row>
    <row r="34" spans="1:6" ht="15.75" customHeight="1" x14ac:dyDescent="0.3">
      <c r="A34" s="246" t="str">
        <f>IF(K8=6,"Ronde 6","")</f>
        <v>Ronde 6</v>
      </c>
      <c r="B34" s="247"/>
      <c r="C34" s="247"/>
      <c r="D34" s="247"/>
      <c r="E34" s="247"/>
      <c r="F34" s="248"/>
    </row>
    <row r="35" spans="1:6" ht="15.75" customHeight="1" x14ac:dyDescent="0.25">
      <c r="A35" s="137" t="str">
        <f>L8</f>
        <v>Baan 1</v>
      </c>
      <c r="B35" s="138" t="s">
        <v>196</v>
      </c>
      <c r="C35" s="138" t="str">
        <f>M8</f>
        <v>Baan 7</v>
      </c>
      <c r="D35" s="139">
        <f>IF(A35="","",VLOOKUP(A35,Deelnemers!A:D,2,FALSE()))</f>
        <v>0</v>
      </c>
      <c r="E35" s="3" t="s">
        <v>196</v>
      </c>
      <c r="F35" s="140">
        <f>IF(A35="","",VLOOKUP(C35,Deelnemers!A:D,2,FALSE()))</f>
        <v>0</v>
      </c>
    </row>
    <row r="36" spans="1:6" ht="15.75" customHeight="1" x14ac:dyDescent="0.25">
      <c r="A36" s="141" t="str">
        <f>N8</f>
        <v>Baan 2</v>
      </c>
      <c r="B36" s="142" t="s">
        <v>196</v>
      </c>
      <c r="C36" s="142" t="str">
        <f>O8</f>
        <v>Baan 4</v>
      </c>
      <c r="D36" s="139">
        <f>IF(A35="","",VLOOKUP(A36,Deelnemers!A:D,2,FALSE()))</f>
        <v>0</v>
      </c>
      <c r="E36" s="3" t="s">
        <v>196</v>
      </c>
      <c r="F36" s="140">
        <f>IF(A35="","",VLOOKUP(C36,Deelnemers!A:D,2,FALSE()))</f>
        <v>0</v>
      </c>
    </row>
    <row r="37" spans="1:6" ht="15.75" customHeight="1" x14ac:dyDescent="0.25">
      <c r="A37" s="143" t="str">
        <f>P8</f>
        <v>Baan 3</v>
      </c>
      <c r="B37" s="144" t="s">
        <v>196</v>
      </c>
      <c r="C37" s="144" t="str">
        <f>Q8</f>
        <v>Baan 6</v>
      </c>
      <c r="D37" s="139">
        <f>IF(A37="","",VLOOKUP(A37,Deelnemers!A:D,2,FALSE()))</f>
        <v>0</v>
      </c>
      <c r="E37" s="3" t="s">
        <v>196</v>
      </c>
      <c r="F37" s="140">
        <f>IF(C37="","",VLOOKUP(C37,Deelnemers!A:D,2,FALSE()))</f>
        <v>0</v>
      </c>
    </row>
    <row r="38" spans="1:6" ht="15.75" customHeight="1" x14ac:dyDescent="0.25">
      <c r="A38" s="145" t="str">
        <f>R8</f>
        <v>Baan 5</v>
      </c>
      <c r="B38" s="146" t="s">
        <v>196</v>
      </c>
      <c r="C38" s="146" t="str">
        <f>S8</f>
        <v>Baan 8</v>
      </c>
      <c r="D38" s="139">
        <f>IF(A38="","",VLOOKUP(A38,Deelnemers!A:D,2,FALSE()))</f>
        <v>0</v>
      </c>
      <c r="E38" s="3" t="s">
        <v>196</v>
      </c>
      <c r="F38" s="140">
        <f>IF(C38="","",VLOOKUP(C38,Deelnemers!A:D,2,FALSE()))</f>
        <v>0</v>
      </c>
    </row>
    <row r="39" spans="1:6" ht="15.75" customHeight="1" x14ac:dyDescent="0.25">
      <c r="A39" s="147"/>
      <c r="F39" s="148"/>
    </row>
    <row r="40" spans="1:6" ht="15.75" customHeight="1" x14ac:dyDescent="0.3">
      <c r="A40" s="246" t="str">
        <f>IF(K9=7,"Ronde 7","")</f>
        <v>Ronde 7</v>
      </c>
      <c r="B40" s="247"/>
      <c r="C40" s="247"/>
      <c r="D40" s="247"/>
      <c r="E40" s="247"/>
      <c r="F40" s="248"/>
    </row>
    <row r="41" spans="1:6" ht="15.75" customHeight="1" x14ac:dyDescent="0.25">
      <c r="A41" s="149" t="str">
        <f>L9</f>
        <v>Baan 1</v>
      </c>
      <c r="B41" s="150" t="s">
        <v>196</v>
      </c>
      <c r="C41" s="150" t="str">
        <f>M9</f>
        <v>Baan 8</v>
      </c>
      <c r="D41" s="139">
        <f>IF(A41="","",VLOOKUP(A41,Deelnemers!A:D,2,FALSE()))</f>
        <v>0</v>
      </c>
      <c r="E41" s="3" t="s">
        <v>196</v>
      </c>
      <c r="F41" s="140">
        <f>IF(C41="","",VLOOKUP(C41,Deelnemers!A:D,2,FALSE()))</f>
        <v>0</v>
      </c>
    </row>
    <row r="42" spans="1:6" ht="15.75" customHeight="1" x14ac:dyDescent="0.25">
      <c r="A42" s="141" t="str">
        <f>N9</f>
        <v>Baan 2</v>
      </c>
      <c r="B42" s="142" t="s">
        <v>196</v>
      </c>
      <c r="C42" s="142" t="str">
        <f>O9</f>
        <v>Baan 3</v>
      </c>
      <c r="D42" s="139">
        <f>IF(A42="","",VLOOKUP(A42,Deelnemers!A:D,2,FALSE()))</f>
        <v>0</v>
      </c>
      <c r="E42" s="3" t="s">
        <v>196</v>
      </c>
      <c r="F42" s="140">
        <f>IF(C42="","",VLOOKUP(C42,Deelnemers!A:D,2,FALSE()))</f>
        <v>0</v>
      </c>
    </row>
    <row r="43" spans="1:6" ht="15.75" customHeight="1" x14ac:dyDescent="0.25">
      <c r="A43" s="143" t="str">
        <f>P9</f>
        <v>Baan 4</v>
      </c>
      <c r="B43" s="144" t="s">
        <v>196</v>
      </c>
      <c r="C43" s="144" t="str">
        <f>Q9</f>
        <v>Baan 5</v>
      </c>
      <c r="D43" s="139">
        <f>IF(A43="","",VLOOKUP(A43,Deelnemers!A:D,2,FALSE()))</f>
        <v>0</v>
      </c>
      <c r="E43" s="3" t="s">
        <v>196</v>
      </c>
      <c r="F43" s="140">
        <f>IF(C43="","",VLOOKUP(C43,Deelnemers!A:D,2,FALSE()))</f>
        <v>0</v>
      </c>
    </row>
    <row r="44" spans="1:6" ht="15.75" customHeight="1" x14ac:dyDescent="0.25">
      <c r="A44" s="151" t="str">
        <f>R9</f>
        <v>Baan 6</v>
      </c>
      <c r="B44" s="152" t="s">
        <v>196</v>
      </c>
      <c r="C44" s="152" t="str">
        <f>S9</f>
        <v>Baan 7</v>
      </c>
      <c r="D44" s="153">
        <f>IF(A44="","",VLOOKUP(A44,Deelnemers!A:D,2,FALSE()))</f>
        <v>0</v>
      </c>
      <c r="E44" s="154" t="s">
        <v>196</v>
      </c>
      <c r="F44" s="155">
        <f>IF(C44="","",VLOOKUP(C44,Deelnemers!A:D,2,FALSE()))</f>
        <v>0</v>
      </c>
    </row>
    <row r="45" spans="1:6" ht="15.75" customHeight="1" x14ac:dyDescent="0.25"/>
    <row r="46" spans="1:6" ht="15.75" customHeight="1" x14ac:dyDescent="0.25"/>
    <row r="47" spans="1:6" ht="15.75" customHeight="1" x14ac:dyDescent="0.25"/>
    <row r="48" spans="1:6"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algorithmName="SHA-512" hashValue="NSgjnqR8pPK4Mw2lvcmmTcAAzgU22CUHUrwhJis373i7V8+ZmwK2Ok4MrowEBol1ELOZxRvW4hszCs8Z0vocRQ==" saltValue="+/taBnk5WuvkehORt/fytg==" spinCount="100000" sheet="1" objects="1" scenarios="1" selectLockedCells="1"/>
  <mergeCells count="14">
    <mergeCell ref="N2:O2"/>
    <mergeCell ref="R2:S2"/>
    <mergeCell ref="P2:Q2"/>
    <mergeCell ref="A22:F22"/>
    <mergeCell ref="L2:M2"/>
    <mergeCell ref="A2:F2"/>
    <mergeCell ref="A16:F16"/>
    <mergeCell ref="A10:F10"/>
    <mergeCell ref="A34:F34"/>
    <mergeCell ref="A40:F40"/>
    <mergeCell ref="A4:F4"/>
    <mergeCell ref="A3:F3"/>
    <mergeCell ref="A1:F1"/>
    <mergeCell ref="A28:F28"/>
  </mergeCells>
  <printOptions horizontalCentered="1" verticalCentered="1"/>
  <pageMargins left="0.15763888888888899" right="0.15763888888888899" top="0.196527777777778" bottom="0.196527777777778" header="0.511811023622047" footer="0.511811023622047"/>
  <pageSetup paperSize="9" scale="110"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AJ1000"/>
  <sheetViews>
    <sheetView zoomScale="110" zoomScaleNormal="110" workbookViewId="0">
      <selection activeCell="Y2" sqref="Y2"/>
    </sheetView>
  </sheetViews>
  <sheetFormatPr defaultColWidth="14.42578125" defaultRowHeight="15" customHeight="1" x14ac:dyDescent="0.25"/>
  <cols>
    <col min="1" max="1" width="3.140625" style="156" customWidth="1"/>
    <col min="2" max="6" width="6.42578125" style="156" customWidth="1"/>
    <col min="7" max="7" width="0.140625" style="156" customWidth="1"/>
    <col min="8" max="9" width="2.42578125" style="156" customWidth="1"/>
    <col min="10" max="13" width="3.7109375" style="156" customWidth="1"/>
    <col min="14" max="15" width="2.42578125" style="156" customWidth="1"/>
    <col min="16" max="16" width="3.140625" style="156" customWidth="1"/>
    <col min="17" max="21" width="6.42578125" style="156" customWidth="1"/>
    <col min="22" max="22" width="0.140625" style="156" customWidth="1"/>
    <col min="23" max="23" width="8.85546875" style="156" customWidth="1"/>
    <col min="24" max="24" width="13.7109375" style="156" customWidth="1"/>
    <col min="25" max="25" width="5" style="156" customWidth="1"/>
    <col min="26" max="27" width="7.7109375" style="156" hidden="1" customWidth="1"/>
    <col min="28" max="29" width="10.42578125" style="156" hidden="1" customWidth="1"/>
    <col min="30" max="30" width="8.7109375" style="156" hidden="1" customWidth="1"/>
    <col min="31" max="31" width="7" style="156" hidden="1" customWidth="1"/>
    <col min="32" max="32" width="7.42578125" style="156" hidden="1" customWidth="1"/>
    <col min="33" max="33" width="7" style="156" hidden="1" customWidth="1"/>
    <col min="34" max="34" width="7.42578125" style="156" hidden="1" customWidth="1"/>
    <col min="35" max="35" width="7" style="156" hidden="1" customWidth="1"/>
    <col min="36" max="36" width="9.140625" style="156" customWidth="1"/>
    <col min="37" max="37" width="14.42578125" style="156" customWidth="1"/>
    <col min="38" max="16384" width="14.42578125" style="156"/>
  </cols>
  <sheetData>
    <row r="1" spans="1:35" ht="14.25" customHeight="1" x14ac:dyDescent="0.25">
      <c r="A1" s="157"/>
      <c r="I1" s="158"/>
      <c r="J1" s="158"/>
      <c r="K1" s="158"/>
      <c r="L1" s="158"/>
      <c r="M1" s="158"/>
      <c r="N1" s="158"/>
      <c r="P1" s="157"/>
      <c r="AA1" s="159"/>
    </row>
    <row r="2" spans="1:35" ht="14.25" customHeight="1" x14ac:dyDescent="0.25">
      <c r="A2" s="279"/>
      <c r="B2" s="280"/>
      <c r="C2" s="264" t="str">
        <f>VLOOKUP(Z2,AA14:AI21,2,FALSE())</f>
        <v>Baan 1</v>
      </c>
      <c r="D2" s="247"/>
      <c r="E2" s="247"/>
      <c r="F2" s="247"/>
      <c r="G2" s="160"/>
      <c r="H2" s="161"/>
      <c r="I2" s="259" t="str">
        <f>Z2</f>
        <v>Ronde 1</v>
      </c>
      <c r="J2" s="260"/>
      <c r="K2" s="260"/>
      <c r="L2" s="260"/>
      <c r="M2" s="260"/>
      <c r="N2" s="260"/>
      <c r="O2" s="161"/>
      <c r="P2" s="279"/>
      <c r="Q2" s="280"/>
      <c r="R2" s="264" t="str">
        <f>VLOOKUP(Z2,AA14:AI21,3,FALSE())</f>
        <v>Baan 2</v>
      </c>
      <c r="S2" s="247"/>
      <c r="T2" s="247"/>
      <c r="U2" s="247"/>
      <c r="V2" s="160"/>
      <c r="X2" s="162" t="s">
        <v>197</v>
      </c>
      <c r="Y2" s="163">
        <v>1</v>
      </c>
      <c r="Z2" s="156" t="str">
        <f>CONCATENATE("Ronde"," ",Y2)</f>
        <v>Ronde 1</v>
      </c>
      <c r="AA2" s="156" t="s">
        <v>161</v>
      </c>
      <c r="AB2" s="164">
        <f>VLOOKUP(AB15,Deelnemers!A:D,2,FALSE())</f>
        <v>0</v>
      </c>
      <c r="AC2" s="164">
        <f>VLOOKUP(AC15,Deelnemers!A:D,2,FALSE())</f>
        <v>0</v>
      </c>
      <c r="AD2" s="165">
        <f>IF(AD15="","",VLOOKUP(AD15,Deelnemers!A:D,2,FALSE()))</f>
        <v>0</v>
      </c>
      <c r="AE2" s="165">
        <f>IF(AE15="","",VLOOKUP(AE15,Deelnemers!A:D,2,FALSE()))</f>
        <v>0</v>
      </c>
      <c r="AF2" s="166">
        <f>IF(AF15="","",VLOOKUP(AF15,Deelnemers!A:D,2,FALSE()))</f>
        <v>0</v>
      </c>
      <c r="AG2" s="166">
        <f>IF(AG15="","",VLOOKUP(AG15,Deelnemers!A:D,2,FALSE()))</f>
        <v>0</v>
      </c>
      <c r="AH2" s="167">
        <f>IF(AH15="","",VLOOKUP(AH15,Deelnemers!A:D,2,FALSE()))</f>
        <v>0</v>
      </c>
      <c r="AI2" s="167">
        <f>IF(AI15="","",VLOOKUP(AI15,Deelnemers!A:D,2,FALSE()))</f>
        <v>0</v>
      </c>
    </row>
    <row r="3" spans="1:35" ht="15.75" customHeight="1" x14ac:dyDescent="0.25">
      <c r="A3" s="281"/>
      <c r="B3" s="263"/>
      <c r="C3" s="168" t="s">
        <v>198</v>
      </c>
      <c r="D3" s="291" t="str">
        <f>Deelnemers!$B$4</f>
        <v>2026-04-11</v>
      </c>
      <c r="E3" s="260"/>
      <c r="F3" s="260"/>
      <c r="G3" s="160"/>
      <c r="H3" s="289" t="s">
        <v>199</v>
      </c>
      <c r="I3" s="262"/>
      <c r="J3" s="262"/>
      <c r="K3" s="262"/>
      <c r="L3" s="262"/>
      <c r="M3" s="262"/>
      <c r="N3" s="262"/>
      <c r="O3" s="263"/>
      <c r="P3" s="281"/>
      <c r="Q3" s="263"/>
      <c r="R3" s="168" t="s">
        <v>198</v>
      </c>
      <c r="S3" s="291" t="str">
        <f>Deelnemers!$B$4</f>
        <v>2026-04-11</v>
      </c>
      <c r="T3" s="260"/>
      <c r="U3" s="260"/>
      <c r="V3" s="160"/>
      <c r="AA3" s="156" t="s">
        <v>172</v>
      </c>
      <c r="AB3" s="164">
        <f>VLOOKUP(AB16,Deelnemers!A:D,2,FALSE())</f>
        <v>0</v>
      </c>
      <c r="AC3" s="164">
        <f>VLOOKUP(AC16,Deelnemers!A:D,2,FALSE())</f>
        <v>0</v>
      </c>
      <c r="AD3" s="165">
        <f>IF(AD16="","",VLOOKUP(AD16,Deelnemers!A:D,2,FALSE()))</f>
        <v>0</v>
      </c>
      <c r="AE3" s="165">
        <f>IF(AE16="","",VLOOKUP(AE16,Deelnemers!A:D,2,FALSE()))</f>
        <v>0</v>
      </c>
      <c r="AF3" s="166">
        <f>IF(AF16="","",VLOOKUP(AF16,Deelnemers!A:D,2,FALSE()))</f>
        <v>0</v>
      </c>
      <c r="AG3" s="166">
        <f>IF(AG16="","",VLOOKUP(AG16,Deelnemers!A:D,2,FALSE()))</f>
        <v>0</v>
      </c>
      <c r="AH3" s="167">
        <f>IF(AH16="","",VLOOKUP(AH16,Deelnemers!A:D,2,FALSE()))</f>
        <v>0</v>
      </c>
      <c r="AI3" s="167">
        <f>IF(AI16="","",VLOOKUP(AI16,Deelnemers!A:D,2,FALSE()))</f>
        <v>0</v>
      </c>
    </row>
    <row r="4" spans="1:35" ht="15.75" customHeight="1" x14ac:dyDescent="0.25">
      <c r="A4" s="282"/>
      <c r="B4" s="283"/>
      <c r="C4" s="294" t="str">
        <f>Deelnemers!$B$3</f>
        <v>Willem Tell 1921, Kerkrade</v>
      </c>
      <c r="D4" s="250"/>
      <c r="E4" s="250"/>
      <c r="F4" s="250"/>
      <c r="G4" s="169"/>
      <c r="H4" s="288" t="s">
        <v>200</v>
      </c>
      <c r="I4" s="262"/>
      <c r="J4" s="262"/>
      <c r="K4" s="262"/>
      <c r="L4" s="262"/>
      <c r="M4" s="262"/>
      <c r="N4" s="262"/>
      <c r="O4" s="263"/>
      <c r="P4" s="282"/>
      <c r="Q4" s="283"/>
      <c r="R4" s="294" t="str">
        <f>Deelnemers!$B$3</f>
        <v>Willem Tell 1921, Kerkrade</v>
      </c>
      <c r="S4" s="250"/>
      <c r="T4" s="250"/>
      <c r="U4" s="250"/>
      <c r="V4" s="169"/>
      <c r="AA4" s="156" t="s">
        <v>174</v>
      </c>
      <c r="AB4" s="164">
        <f>VLOOKUP(AB17,Deelnemers!A:D,2,FALSE())</f>
        <v>0</v>
      </c>
      <c r="AC4" s="164">
        <f>VLOOKUP(AC17,Deelnemers!A:D,2,FALSE())</f>
        <v>0</v>
      </c>
      <c r="AD4" s="165">
        <f>IF(AD17="","",VLOOKUP(AD17,Deelnemers!A:D,2,FALSE()))</f>
        <v>0</v>
      </c>
      <c r="AE4" s="165">
        <f>IF(AE17="","",VLOOKUP(AE17,Deelnemers!A:D,2,FALSE()))</f>
        <v>0</v>
      </c>
      <c r="AF4" s="166">
        <f>IF(AF17="","",VLOOKUP(AF17,Deelnemers!A:D,2,FALSE()))</f>
        <v>0</v>
      </c>
      <c r="AG4" s="166">
        <f>IF(AG17="","",VLOOKUP(AG17,Deelnemers!A:D,2,FALSE()))</f>
        <v>0</v>
      </c>
      <c r="AH4" s="167">
        <f>IF(AH17="","",VLOOKUP(AH17,Deelnemers!A:D,2,FALSE()))</f>
        <v>0</v>
      </c>
      <c r="AI4" s="167">
        <f>IF(AI17="","",VLOOKUP(AI17,Deelnemers!A:D,2,FALSE()))</f>
        <v>0</v>
      </c>
    </row>
    <row r="5" spans="1:35" ht="15.75" customHeight="1" x14ac:dyDescent="0.25">
      <c r="A5" s="170" t="s">
        <v>201</v>
      </c>
      <c r="B5" s="171"/>
      <c r="C5" s="265">
        <f>VLOOKUP(Z2,AA2:AI8,2,FALSE())</f>
        <v>0</v>
      </c>
      <c r="D5" s="247"/>
      <c r="E5" s="247"/>
      <c r="F5" s="247"/>
      <c r="G5" s="247"/>
      <c r="J5" s="272" t="s">
        <v>202</v>
      </c>
      <c r="K5" s="262"/>
      <c r="L5" s="262"/>
      <c r="M5" s="262"/>
      <c r="P5" s="170" t="s">
        <v>201</v>
      </c>
      <c r="Q5" s="171"/>
      <c r="R5" s="287">
        <f>VLOOKUP(Z2,AA2:AI8,3,FALSE())</f>
        <v>0</v>
      </c>
      <c r="S5" s="247"/>
      <c r="T5" s="247"/>
      <c r="U5" s="247"/>
      <c r="V5" s="242"/>
      <c r="AA5" s="156" t="s">
        <v>179</v>
      </c>
      <c r="AB5" s="164">
        <f>VLOOKUP(AB18,Deelnemers!A:D,2,FALSE())</f>
        <v>0</v>
      </c>
      <c r="AC5" s="164">
        <f>VLOOKUP(AC18,Deelnemers!A:D,2,FALSE())</f>
        <v>0</v>
      </c>
      <c r="AD5" s="165">
        <f>IF(AD18="","",VLOOKUP(AD18,Deelnemers!A:D,2,FALSE()))</f>
        <v>0</v>
      </c>
      <c r="AE5" s="165">
        <f>IF(AE18="","",VLOOKUP(AE18,Deelnemers!A:D,2,FALSE()))</f>
        <v>0</v>
      </c>
      <c r="AF5" s="166">
        <f>IF(AF18="","",VLOOKUP(AF18,Deelnemers!A:D,2,FALSE()))</f>
        <v>0</v>
      </c>
      <c r="AG5" s="166">
        <f>IF(AG18="","",VLOOKUP(AG18,Deelnemers!A:D,2,FALSE()))</f>
        <v>0</v>
      </c>
      <c r="AH5" s="167">
        <f>IF(AH18="","",VLOOKUP(AH18,Deelnemers!A:D,2,FALSE()))</f>
        <v>0</v>
      </c>
      <c r="AI5" s="167">
        <f>IF(AI18="","",VLOOKUP(AI18,Deelnemers!A:D,2,FALSE()))</f>
        <v>0</v>
      </c>
    </row>
    <row r="6" spans="1:35" ht="14.25" customHeight="1" x14ac:dyDescent="0.25">
      <c r="A6" s="170" t="s">
        <v>203</v>
      </c>
      <c r="B6" s="273" t="e">
        <f>IF(C5="","",VLOOKUP(C5,Deelnemers!B8:C46,2,FALSE()))</f>
        <v>#N/A</v>
      </c>
      <c r="C6" s="247"/>
      <c r="D6" s="247"/>
      <c r="E6" s="172" t="s">
        <v>204</v>
      </c>
      <c r="F6" s="172" t="s">
        <v>205</v>
      </c>
      <c r="G6" s="173"/>
      <c r="J6" s="258" t="s">
        <v>206</v>
      </c>
      <c r="K6" s="248"/>
      <c r="L6" s="269" t="s">
        <v>206</v>
      </c>
      <c r="M6" s="242"/>
      <c r="P6" s="170" t="s">
        <v>203</v>
      </c>
      <c r="Q6" s="273" t="e">
        <f>IF(R5="","",VLOOKUP(R5,Deelnemers!B8:C46,2,FALSE()))</f>
        <v>#N/A</v>
      </c>
      <c r="R6" s="247"/>
      <c r="S6" s="247"/>
      <c r="T6" s="174" t="s">
        <v>204</v>
      </c>
      <c r="U6" s="174" t="s">
        <v>205</v>
      </c>
      <c r="V6" s="173"/>
      <c r="AA6" s="156" t="s">
        <v>180</v>
      </c>
      <c r="AB6" s="164">
        <f>IF(AB19="","",VLOOKUP(AB19,Deelnemers!A:D,2,FALSE()))</f>
        <v>0</v>
      </c>
      <c r="AC6" s="164">
        <f>IF(AC19="","",VLOOKUP(AC19,Deelnemers!A:D,2,FALSE()))</f>
        <v>0</v>
      </c>
      <c r="AD6" s="165">
        <f>IF(AD19="","",VLOOKUP(AD19,Deelnemers!A:D,2,FALSE()))</f>
        <v>0</v>
      </c>
      <c r="AE6" s="165">
        <f>IF(AE19="","",VLOOKUP(AE19,Deelnemers!A:D,2,FALSE()))</f>
        <v>0</v>
      </c>
      <c r="AF6" s="166">
        <f>IF(AF19="","",VLOOKUP(AF19,Deelnemers!A:D,2,FALSE()))</f>
        <v>0</v>
      </c>
      <c r="AG6" s="166">
        <f>IF(AG19="","",VLOOKUP(AG19,Deelnemers!A:D,2,FALSE()))</f>
        <v>0</v>
      </c>
      <c r="AH6" s="167">
        <f>IF(AH19="","",VLOOKUP(AH19,Deelnemers!A:D,2,FALSE()))</f>
        <v>0</v>
      </c>
      <c r="AI6" s="167">
        <f>IF(AI19="","",VLOOKUP(AI19,Deelnemers!A:D,2,FALSE()))</f>
        <v>0</v>
      </c>
    </row>
    <row r="7" spans="1:35" ht="19.5" customHeight="1" x14ac:dyDescent="0.25">
      <c r="A7" s="175">
        <v>1</v>
      </c>
      <c r="B7" s="173"/>
      <c r="C7" s="173"/>
      <c r="D7" s="173"/>
      <c r="E7" s="176"/>
      <c r="F7" s="177"/>
      <c r="G7" s="178"/>
      <c r="J7" s="257"/>
      <c r="K7" s="248"/>
      <c r="L7" s="270"/>
      <c r="M7" s="242"/>
      <c r="P7" s="175">
        <v>1</v>
      </c>
      <c r="Q7" s="173"/>
      <c r="R7" s="173"/>
      <c r="S7" s="173"/>
      <c r="T7" s="176"/>
      <c r="U7" s="177"/>
      <c r="V7" s="173"/>
      <c r="AA7" s="156" t="s">
        <v>181</v>
      </c>
      <c r="AB7" s="164">
        <f>IF(AB20="","",VLOOKUP(AB20,Deelnemers!A:D,2,FALSE()))</f>
        <v>0</v>
      </c>
      <c r="AC7" s="164">
        <f>IF(AC20="","",VLOOKUP(AC20,Deelnemers!A:D,2,FALSE()))</f>
        <v>0</v>
      </c>
      <c r="AD7" s="165">
        <f>IF(AD20="","",VLOOKUP(AD20,Deelnemers!A:D,2,FALSE()))</f>
        <v>0</v>
      </c>
      <c r="AE7" s="165">
        <f>IF(AE20="","",VLOOKUP(AE20,Deelnemers!A:D,2,FALSE()))</f>
        <v>0</v>
      </c>
      <c r="AF7" s="166">
        <f>IF(AF20="","",VLOOKUP(AF20,Deelnemers!A:D,2,FALSE()))</f>
        <v>0</v>
      </c>
      <c r="AG7" s="166">
        <f>IF(AG20="","",VLOOKUP(AG20,Deelnemers!A:D,2,FALSE()))</f>
        <v>0</v>
      </c>
      <c r="AH7" s="167">
        <f>IF(AH20="","",VLOOKUP(AH20,Deelnemers!A:D,2,FALSE()))</f>
        <v>0</v>
      </c>
      <c r="AI7" s="167">
        <f>IF(AI20="","",VLOOKUP(AI20,Deelnemers!A:D,2,FALSE()))</f>
        <v>0</v>
      </c>
    </row>
    <row r="8" spans="1:35" ht="19.5" customHeight="1" x14ac:dyDescent="0.25">
      <c r="A8" s="175"/>
      <c r="B8" s="173"/>
      <c r="C8" s="173"/>
      <c r="D8" s="173"/>
      <c r="E8" s="179"/>
      <c r="F8" s="179"/>
      <c r="G8" s="178"/>
      <c r="J8" s="180"/>
      <c r="K8" s="181"/>
      <c r="L8" s="182"/>
      <c r="M8" s="178"/>
      <c r="P8" s="175"/>
      <c r="Q8" s="173"/>
      <c r="R8" s="173"/>
      <c r="S8" s="173"/>
      <c r="T8" s="179"/>
      <c r="U8" s="179"/>
      <c r="V8" s="173"/>
      <c r="AA8" s="156" t="s">
        <v>182</v>
      </c>
      <c r="AB8" s="164">
        <f>IF(AB21="","",VLOOKUP(AB21,Deelnemers!A:D,2,FALSE()))</f>
        <v>0</v>
      </c>
      <c r="AC8" s="164">
        <f>IF(AC21="","",VLOOKUP(AC21,Deelnemers!A:D,2,FALSE()))</f>
        <v>0</v>
      </c>
      <c r="AD8" s="165">
        <f>IF(AD21="","",VLOOKUP(AD21,Deelnemers!A:D,2,FALSE()))</f>
        <v>0</v>
      </c>
      <c r="AE8" s="165">
        <f>IF(AE21="","",VLOOKUP(AE21,Deelnemers!A:D,2,FALSE()))</f>
        <v>0</v>
      </c>
      <c r="AF8" s="166">
        <f>IF(AF21="","",VLOOKUP(AF21,Deelnemers!A:D,2,FALSE()))</f>
        <v>0</v>
      </c>
      <c r="AG8" s="166">
        <f>IF(AG21="","",VLOOKUP(AG21,Deelnemers!A:D,2,FALSE()))</f>
        <v>0</v>
      </c>
      <c r="AH8" s="167">
        <f>IF(AH21="","",VLOOKUP(AH21,Deelnemers!A:D,2,FALSE()))</f>
        <v>0</v>
      </c>
      <c r="AI8" s="167">
        <f>IF(AI21="","",VLOOKUP(AI21,Deelnemers!A:D,2,FALSE()))</f>
        <v>0</v>
      </c>
    </row>
    <row r="9" spans="1:35" ht="19.5" customHeight="1" x14ac:dyDescent="0.25">
      <c r="A9" s="175">
        <v>2</v>
      </c>
      <c r="B9" s="173"/>
      <c r="C9" s="173"/>
      <c r="D9" s="173"/>
      <c r="E9" s="183"/>
      <c r="F9" s="184"/>
      <c r="G9" s="178"/>
      <c r="J9" s="257"/>
      <c r="K9" s="248"/>
      <c r="L9" s="270"/>
      <c r="M9" s="242"/>
      <c r="P9" s="175">
        <v>2</v>
      </c>
      <c r="Q9" s="173"/>
      <c r="R9" s="173"/>
      <c r="S9" s="173"/>
      <c r="T9" s="183"/>
      <c r="U9" s="184"/>
      <c r="V9" s="173"/>
      <c r="AB9" s="164"/>
      <c r="AC9" s="164"/>
      <c r="AD9" s="165"/>
      <c r="AE9" s="165"/>
      <c r="AF9" s="166"/>
      <c r="AG9" s="166"/>
      <c r="AH9" s="167"/>
      <c r="AI9" s="167"/>
    </row>
    <row r="10" spans="1:35" ht="19.5" customHeight="1" x14ac:dyDescent="0.25">
      <c r="A10" s="175"/>
      <c r="B10" s="173"/>
      <c r="C10" s="173"/>
      <c r="D10" s="173"/>
      <c r="E10" s="183"/>
      <c r="F10" s="183"/>
      <c r="G10" s="178"/>
      <c r="J10" s="180"/>
      <c r="K10" s="181"/>
      <c r="L10" s="182"/>
      <c r="M10" s="178"/>
      <c r="P10" s="175"/>
      <c r="Q10" s="173"/>
      <c r="R10" s="173"/>
      <c r="S10" s="173"/>
      <c r="T10" s="183"/>
      <c r="U10" s="183"/>
      <c r="V10" s="173"/>
    </row>
    <row r="11" spans="1:35" ht="19.5" customHeight="1" x14ac:dyDescent="0.25">
      <c r="A11" s="175">
        <v>3</v>
      </c>
      <c r="B11" s="173"/>
      <c r="C11" s="173"/>
      <c r="D11" s="173"/>
      <c r="E11" s="183"/>
      <c r="F11" s="184"/>
      <c r="G11" s="178"/>
      <c r="J11" s="257"/>
      <c r="K11" s="248"/>
      <c r="L11" s="270"/>
      <c r="M11" s="242"/>
      <c r="P11" s="175">
        <v>3</v>
      </c>
      <c r="Q11" s="173"/>
      <c r="R11" s="173"/>
      <c r="S11" s="173"/>
      <c r="T11" s="183"/>
      <c r="U11" s="184"/>
      <c r="V11" s="173"/>
    </row>
    <row r="12" spans="1:35" ht="19.5" customHeight="1" x14ac:dyDescent="0.25">
      <c r="A12" s="175"/>
      <c r="B12" s="173"/>
      <c r="C12" s="173"/>
      <c r="D12" s="173"/>
      <c r="E12" s="183"/>
      <c r="F12" s="183"/>
      <c r="G12" s="178"/>
      <c r="J12" s="180"/>
      <c r="K12" s="181"/>
      <c r="L12" s="182"/>
      <c r="M12" s="178"/>
      <c r="P12" s="175"/>
      <c r="Q12" s="173"/>
      <c r="R12" s="173"/>
      <c r="S12" s="173"/>
      <c r="T12" s="183"/>
      <c r="U12" s="183"/>
      <c r="V12" s="173"/>
    </row>
    <row r="13" spans="1:35" ht="19.5" customHeight="1" x14ac:dyDescent="0.25">
      <c r="A13" s="175">
        <v>4</v>
      </c>
      <c r="B13" s="173"/>
      <c r="C13" s="173"/>
      <c r="D13" s="173"/>
      <c r="E13" s="183"/>
      <c r="F13" s="184"/>
      <c r="G13" s="178"/>
      <c r="J13" s="257"/>
      <c r="K13" s="248"/>
      <c r="L13" s="270"/>
      <c r="M13" s="242"/>
      <c r="P13" s="175">
        <v>4</v>
      </c>
      <c r="Q13" s="173"/>
      <c r="R13" s="173"/>
      <c r="S13" s="173"/>
      <c r="T13" s="183"/>
      <c r="U13" s="184"/>
      <c r="V13" s="173"/>
    </row>
    <row r="14" spans="1:35" ht="19.5" customHeight="1" x14ac:dyDescent="0.25">
      <c r="A14" s="175"/>
      <c r="B14" s="173"/>
      <c r="C14" s="173"/>
      <c r="D14" s="173"/>
      <c r="E14" s="185"/>
      <c r="F14" s="185"/>
      <c r="G14" s="178"/>
      <c r="J14" s="180"/>
      <c r="K14" s="181"/>
      <c r="L14" s="182"/>
      <c r="M14" s="178"/>
      <c r="P14" s="175"/>
      <c r="Q14" s="173"/>
      <c r="R14" s="173"/>
      <c r="S14" s="173"/>
      <c r="T14" s="185"/>
      <c r="U14" s="185"/>
      <c r="V14" s="173"/>
      <c r="AB14" s="164"/>
      <c r="AC14" s="164"/>
      <c r="AD14" s="165"/>
      <c r="AE14" s="165"/>
      <c r="AF14" s="166"/>
      <c r="AG14" s="166"/>
      <c r="AH14" s="167"/>
      <c r="AI14" s="167"/>
    </row>
    <row r="15" spans="1:35" ht="19.5" customHeight="1" x14ac:dyDescent="0.25">
      <c r="A15" s="175">
        <v>5</v>
      </c>
      <c r="B15" s="173"/>
      <c r="C15" s="173"/>
      <c r="D15" s="173"/>
      <c r="E15" s="183"/>
      <c r="F15" s="184"/>
      <c r="G15" s="178"/>
      <c r="J15" s="257"/>
      <c r="K15" s="248"/>
      <c r="L15" s="270"/>
      <c r="M15" s="242"/>
      <c r="P15" s="175">
        <v>5</v>
      </c>
      <c r="Q15" s="173"/>
      <c r="R15" s="173"/>
      <c r="S15" s="173"/>
      <c r="T15" s="183"/>
      <c r="U15" s="184"/>
      <c r="V15" s="173"/>
      <c r="AA15" s="156" t="s">
        <v>161</v>
      </c>
      <c r="AB15" s="164" t="str">
        <f>Wedstrijdschema!L3</f>
        <v>Baan 1</v>
      </c>
      <c r="AC15" s="164" t="str">
        <f>Wedstrijdschema!M3</f>
        <v>Baan 2</v>
      </c>
      <c r="AD15" s="165" t="str">
        <f>Wedstrijdschema!N3</f>
        <v>Baan 3</v>
      </c>
      <c r="AE15" s="165" t="str">
        <f>Wedstrijdschema!O3</f>
        <v>Baan 4</v>
      </c>
      <c r="AF15" s="166" t="str">
        <f>Wedstrijdschema!P3</f>
        <v>Baan 5</v>
      </c>
      <c r="AG15" s="166" t="str">
        <f>Wedstrijdschema!Q3</f>
        <v>Baan 6</v>
      </c>
      <c r="AH15" s="167" t="str">
        <f>Wedstrijdschema!R3</f>
        <v>Baan 7</v>
      </c>
      <c r="AI15" s="167" t="str">
        <f>Wedstrijdschema!S3</f>
        <v>Baan 8</v>
      </c>
    </row>
    <row r="16" spans="1:35" ht="19.5" customHeight="1" x14ac:dyDescent="0.25">
      <c r="A16" s="175"/>
      <c r="B16" s="173"/>
      <c r="C16" s="173"/>
      <c r="D16" s="173"/>
      <c r="E16" s="186"/>
      <c r="F16" s="185"/>
      <c r="G16" s="178"/>
      <c r="J16" s="180"/>
      <c r="K16" s="181"/>
      <c r="L16" s="182"/>
      <c r="M16" s="178"/>
      <c r="P16" s="175"/>
      <c r="Q16" s="173"/>
      <c r="R16" s="173"/>
      <c r="S16" s="173"/>
      <c r="T16" s="186"/>
      <c r="U16" s="185"/>
      <c r="V16" s="173"/>
      <c r="AA16" s="156" t="s">
        <v>172</v>
      </c>
      <c r="AB16" s="164" t="str">
        <f>Wedstrijdschema!L4</f>
        <v>Baan 1</v>
      </c>
      <c r="AC16" s="164" t="str">
        <f>Wedstrijdschema!M4</f>
        <v>Baan 3</v>
      </c>
      <c r="AD16" s="165" t="str">
        <f>Wedstrijdschema!N4</f>
        <v>Baan 2</v>
      </c>
      <c r="AE16" s="165" t="str">
        <f>Wedstrijdschema!O4</f>
        <v>Baan 5</v>
      </c>
      <c r="AF16" s="166" t="str">
        <f>Wedstrijdschema!P4</f>
        <v>Baan 4</v>
      </c>
      <c r="AG16" s="166" t="str">
        <f>Wedstrijdschema!Q4</f>
        <v>Baan 7</v>
      </c>
      <c r="AH16" s="167" t="str">
        <f>Wedstrijdschema!R4</f>
        <v>Baan 6</v>
      </c>
      <c r="AI16" s="167" t="str">
        <f>Wedstrijdschema!S4</f>
        <v>Baan 8</v>
      </c>
    </row>
    <row r="17" spans="1:35" ht="19.5" customHeight="1" x14ac:dyDescent="0.25">
      <c r="A17" s="187"/>
      <c r="B17" s="160"/>
      <c r="C17" s="160"/>
      <c r="D17" s="188" t="s">
        <v>205</v>
      </c>
      <c r="E17" s="189"/>
      <c r="F17" s="190"/>
      <c r="G17" s="160"/>
      <c r="J17" s="267"/>
      <c r="K17" s="268"/>
      <c r="L17" s="274"/>
      <c r="M17" s="275"/>
      <c r="P17" s="187"/>
      <c r="Q17" s="161"/>
      <c r="R17" s="160"/>
      <c r="S17" s="188" t="s">
        <v>205</v>
      </c>
      <c r="T17" s="189"/>
      <c r="U17" s="190"/>
      <c r="V17" s="191"/>
      <c r="AA17" s="156" t="s">
        <v>174</v>
      </c>
      <c r="AB17" s="164" t="str">
        <f>Wedstrijdschema!L5</f>
        <v>Baan 1</v>
      </c>
      <c r="AC17" s="164" t="str">
        <f>Wedstrijdschema!M5</f>
        <v>Baan 4</v>
      </c>
      <c r="AD17" s="165" t="str">
        <f>Wedstrijdschema!N5</f>
        <v>Baan 2</v>
      </c>
      <c r="AE17" s="165" t="str">
        <f>Wedstrijdschema!O5</f>
        <v>Baan 6</v>
      </c>
      <c r="AF17" s="166" t="str">
        <f>Wedstrijdschema!P5</f>
        <v>Baan 3</v>
      </c>
      <c r="AG17" s="166" t="str">
        <f>Wedstrijdschema!Q5</f>
        <v>Baan 8</v>
      </c>
      <c r="AH17" s="167" t="str">
        <f>Wedstrijdschema!R5</f>
        <v>Baan 5</v>
      </c>
      <c r="AI17" s="167" t="str">
        <f>Wedstrijdschema!S5</f>
        <v>Baan 7</v>
      </c>
    </row>
    <row r="18" spans="1:35" ht="19.5" customHeight="1" x14ac:dyDescent="0.25">
      <c r="A18" s="192" t="s">
        <v>207</v>
      </c>
      <c r="B18" s="161"/>
      <c r="C18" s="161"/>
      <c r="D18" s="161"/>
      <c r="E18" s="161"/>
      <c r="G18" s="160"/>
      <c r="J18" s="272"/>
      <c r="K18" s="262"/>
      <c r="L18" s="262"/>
      <c r="M18" s="262"/>
      <c r="P18" s="192" t="s">
        <v>207</v>
      </c>
      <c r="Q18" s="161"/>
      <c r="R18" s="161"/>
      <c r="S18" s="161"/>
      <c r="T18" s="161"/>
      <c r="U18" s="161"/>
      <c r="V18" s="160"/>
      <c r="AA18" s="156" t="s">
        <v>179</v>
      </c>
      <c r="AB18" s="164" t="str">
        <f>Wedstrijdschema!L6</f>
        <v>Baan 1</v>
      </c>
      <c r="AC18" s="164" t="str">
        <f>Wedstrijdschema!M6</f>
        <v>Baan 5</v>
      </c>
      <c r="AD18" s="165" t="str">
        <f>Wedstrijdschema!N6</f>
        <v>Baan 2</v>
      </c>
      <c r="AE18" s="165" t="str">
        <f>Wedstrijdschema!O6</f>
        <v>Baan 8</v>
      </c>
      <c r="AF18" s="166" t="str">
        <f>Wedstrijdschema!P6</f>
        <v>Baan 3</v>
      </c>
      <c r="AG18" s="166" t="str">
        <f>Wedstrijdschema!Q6</f>
        <v>Baan 7</v>
      </c>
      <c r="AH18" s="167" t="str">
        <f>Wedstrijdschema!R6</f>
        <v>Baan 4</v>
      </c>
      <c r="AI18" s="167" t="str">
        <f>Wedstrijdschema!S6</f>
        <v>Baan 6</v>
      </c>
    </row>
    <row r="19" spans="1:35" ht="14.25" customHeight="1" x14ac:dyDescent="0.25">
      <c r="A19" s="193" t="s">
        <v>208</v>
      </c>
      <c r="B19" s="194"/>
      <c r="C19" s="194"/>
      <c r="D19" s="194"/>
      <c r="E19" s="194"/>
      <c r="F19" s="194"/>
      <c r="G19" s="169"/>
      <c r="H19" s="261" t="s">
        <v>209</v>
      </c>
      <c r="I19" s="262"/>
      <c r="J19" s="262"/>
      <c r="K19" s="262"/>
      <c r="L19" s="262"/>
      <c r="M19" s="262"/>
      <c r="N19" s="262"/>
      <c r="O19" s="263"/>
      <c r="P19" s="193" t="s">
        <v>208</v>
      </c>
      <c r="Q19" s="194"/>
      <c r="R19" s="194"/>
      <c r="S19" s="194"/>
      <c r="T19" s="194"/>
      <c r="U19" s="194"/>
      <c r="V19" s="169"/>
      <c r="AA19" s="156" t="s">
        <v>180</v>
      </c>
      <c r="AB19" s="164" t="str">
        <f>Wedstrijdschema!L7</f>
        <v>Baan 1</v>
      </c>
      <c r="AC19" s="164" t="str">
        <f>Wedstrijdschema!M7</f>
        <v>Baan 6</v>
      </c>
      <c r="AD19" s="165" t="str">
        <f>Wedstrijdschema!N7</f>
        <v>Baan 2</v>
      </c>
      <c r="AE19" s="165" t="str">
        <f>Wedstrijdschema!O7</f>
        <v>Baan 7</v>
      </c>
      <c r="AF19" s="166" t="str">
        <f>Wedstrijdschema!P7</f>
        <v>Baan 3</v>
      </c>
      <c r="AG19" s="166" t="str">
        <f>Wedstrijdschema!Q7</f>
        <v>Baan 5</v>
      </c>
      <c r="AH19" s="167" t="str">
        <f>Wedstrijdschema!R7</f>
        <v>Baan 4</v>
      </c>
      <c r="AI19" s="167" t="str">
        <f>Wedstrijdschema!S7</f>
        <v>Baan 8</v>
      </c>
    </row>
    <row r="20" spans="1:35" ht="14.25" customHeight="1" x14ac:dyDescent="0.25">
      <c r="A20" s="195" t="s">
        <v>210</v>
      </c>
      <c r="G20" s="196"/>
      <c r="H20" s="266" t="s">
        <v>200</v>
      </c>
      <c r="I20" s="262"/>
      <c r="J20" s="262"/>
      <c r="K20" s="262"/>
      <c r="L20" s="262"/>
      <c r="M20" s="262"/>
      <c r="N20" s="262"/>
      <c r="O20" s="263"/>
      <c r="P20" s="195" t="s">
        <v>210</v>
      </c>
      <c r="V20" s="196"/>
      <c r="AA20" s="156" t="s">
        <v>181</v>
      </c>
      <c r="AB20" s="164" t="str">
        <f>Wedstrijdschema!L8</f>
        <v>Baan 1</v>
      </c>
      <c r="AC20" s="164" t="str">
        <f>Wedstrijdschema!M8</f>
        <v>Baan 7</v>
      </c>
      <c r="AD20" s="165" t="str">
        <f>Wedstrijdschema!N8</f>
        <v>Baan 2</v>
      </c>
      <c r="AE20" s="165" t="str">
        <f>Wedstrijdschema!O8</f>
        <v>Baan 4</v>
      </c>
      <c r="AF20" s="166" t="str">
        <f>Wedstrijdschema!P8</f>
        <v>Baan 3</v>
      </c>
      <c r="AG20" s="166" t="str">
        <f>Wedstrijdschema!Q8</f>
        <v>Baan 6</v>
      </c>
      <c r="AH20" s="167" t="str">
        <f>Wedstrijdschema!R8</f>
        <v>Baan 5</v>
      </c>
      <c r="AI20" s="167" t="str">
        <f>Wedstrijdschema!S8</f>
        <v>Baan 8</v>
      </c>
    </row>
    <row r="21" spans="1:35" ht="14.25" customHeight="1" x14ac:dyDescent="0.25">
      <c r="A21" s="193" t="s">
        <v>208</v>
      </c>
      <c r="B21" s="194"/>
      <c r="C21" s="194"/>
      <c r="D21" s="194"/>
      <c r="E21" s="194"/>
      <c r="F21" s="194"/>
      <c r="G21" s="169"/>
      <c r="I21" s="197"/>
      <c r="J21" s="284"/>
      <c r="K21" s="285"/>
      <c r="L21" s="286"/>
      <c r="M21" s="220"/>
      <c r="N21" s="197"/>
      <c r="P21" s="193" t="s">
        <v>208</v>
      </c>
      <c r="Q21" s="194"/>
      <c r="R21" s="194"/>
      <c r="S21" s="194"/>
      <c r="T21" s="194"/>
      <c r="U21" s="194"/>
      <c r="V21" s="169"/>
      <c r="AA21" s="156" t="s">
        <v>182</v>
      </c>
      <c r="AB21" s="164" t="str">
        <f>Wedstrijdschema!L9</f>
        <v>Baan 1</v>
      </c>
      <c r="AC21" s="164" t="str">
        <f>Wedstrijdschema!M9</f>
        <v>Baan 8</v>
      </c>
      <c r="AD21" s="165" t="str">
        <f>Wedstrijdschema!N9</f>
        <v>Baan 2</v>
      </c>
      <c r="AE21" s="165" t="str">
        <f>Wedstrijdschema!O9</f>
        <v>Baan 3</v>
      </c>
      <c r="AF21" s="166" t="str">
        <f>Wedstrijdschema!P9</f>
        <v>Baan 4</v>
      </c>
      <c r="AG21" s="166" t="str">
        <f>Wedstrijdschema!Q9</f>
        <v>Baan 5</v>
      </c>
      <c r="AH21" s="167" t="str">
        <f>Wedstrijdschema!R9</f>
        <v>Baan 6</v>
      </c>
      <c r="AI21" s="167" t="str">
        <f>Wedstrijdschema!S9</f>
        <v>Baan 7</v>
      </c>
    </row>
    <row r="22" spans="1:35" ht="19.5" customHeight="1" x14ac:dyDescent="0.25">
      <c r="A22" s="198"/>
      <c r="I22" s="158"/>
      <c r="J22" s="158"/>
      <c r="K22" s="158"/>
      <c r="L22" s="158"/>
      <c r="M22" s="158"/>
      <c r="N22" s="158"/>
      <c r="P22" s="157"/>
      <c r="V22" s="196"/>
    </row>
    <row r="23" spans="1:35" ht="14.25" customHeight="1" x14ac:dyDescent="0.25">
      <c r="A23" s="198"/>
      <c r="I23" s="158"/>
      <c r="J23" s="272" t="s">
        <v>211</v>
      </c>
      <c r="K23" s="262"/>
      <c r="L23" s="262"/>
      <c r="M23" s="262"/>
      <c r="N23" s="158"/>
      <c r="P23" s="157"/>
      <c r="V23" s="196"/>
    </row>
    <row r="24" spans="1:35" ht="14.25" customHeight="1" x14ac:dyDescent="0.25">
      <c r="A24" s="193"/>
      <c r="B24" s="194"/>
      <c r="C24" s="194"/>
      <c r="D24" s="194"/>
      <c r="E24" s="194"/>
      <c r="F24" s="194"/>
      <c r="G24" s="194"/>
      <c r="H24" s="194"/>
      <c r="I24" s="199"/>
      <c r="J24" s="271"/>
      <c r="K24" s="250"/>
      <c r="L24" s="250"/>
      <c r="M24" s="250"/>
      <c r="N24" s="199"/>
      <c r="O24" s="194"/>
      <c r="P24" s="200"/>
      <c r="Q24" s="194"/>
      <c r="R24" s="194"/>
      <c r="S24" s="194"/>
      <c r="T24" s="194"/>
      <c r="U24" s="194"/>
      <c r="V24" s="169"/>
    </row>
    <row r="25" spans="1:35" ht="14.25" customHeight="1" x14ac:dyDescent="0.25">
      <c r="A25" s="201"/>
      <c r="I25" s="158"/>
      <c r="J25" s="158"/>
      <c r="K25" s="202"/>
      <c r="L25" s="202"/>
      <c r="M25" s="202"/>
      <c r="N25" s="158"/>
      <c r="P25" s="157"/>
      <c r="V25" s="161"/>
    </row>
    <row r="26" spans="1:35" ht="14.25" customHeight="1" x14ac:dyDescent="0.25">
      <c r="A26" s="279"/>
      <c r="B26" s="280"/>
      <c r="C26" s="264" t="str">
        <f>VLOOKUP(Z2,AA14:AI21,4,FALSE())</f>
        <v>Baan 3</v>
      </c>
      <c r="D26" s="247"/>
      <c r="E26" s="247"/>
      <c r="F26" s="247"/>
      <c r="G26" s="160"/>
      <c r="H26" s="161"/>
      <c r="I26" s="259" t="str">
        <f>Z2</f>
        <v>Ronde 1</v>
      </c>
      <c r="J26" s="260"/>
      <c r="K26" s="260"/>
      <c r="L26" s="260"/>
      <c r="M26" s="260"/>
      <c r="N26" s="260"/>
      <c r="O26" s="161"/>
      <c r="P26" s="279"/>
      <c r="Q26" s="280"/>
      <c r="R26" s="264" t="str">
        <f>VLOOKUP(Z2,AA14:AI21,5,FALSE())</f>
        <v>Baan 4</v>
      </c>
      <c r="S26" s="247"/>
      <c r="T26" s="247"/>
      <c r="U26" s="247"/>
      <c r="V26" s="160"/>
    </row>
    <row r="27" spans="1:35" ht="15.75" customHeight="1" x14ac:dyDescent="0.25">
      <c r="A27" s="281"/>
      <c r="B27" s="263"/>
      <c r="C27" s="203" t="s">
        <v>198</v>
      </c>
      <c r="D27" s="292" t="str">
        <f>Deelnemers!$B$4</f>
        <v>2026-04-11</v>
      </c>
      <c r="E27" s="260"/>
      <c r="F27" s="260"/>
      <c r="G27" s="160"/>
      <c r="H27" s="289" t="s">
        <v>199</v>
      </c>
      <c r="I27" s="262"/>
      <c r="J27" s="262"/>
      <c r="K27" s="262"/>
      <c r="L27" s="262"/>
      <c r="M27" s="262"/>
      <c r="N27" s="262"/>
      <c r="O27" s="263"/>
      <c r="P27" s="281"/>
      <c r="Q27" s="263"/>
      <c r="R27" s="203" t="s">
        <v>198</v>
      </c>
      <c r="S27" s="292" t="str">
        <f>Deelnemers!$B$4</f>
        <v>2026-04-11</v>
      </c>
      <c r="T27" s="260"/>
      <c r="U27" s="260"/>
      <c r="V27" s="160"/>
    </row>
    <row r="28" spans="1:35" ht="15.75" customHeight="1" x14ac:dyDescent="0.25">
      <c r="A28" s="282"/>
      <c r="B28" s="283"/>
      <c r="C28" s="293" t="str">
        <f>Deelnemers!$B$3</f>
        <v>Willem Tell 1921, Kerkrade</v>
      </c>
      <c r="D28" s="250"/>
      <c r="E28" s="250"/>
      <c r="F28" s="250"/>
      <c r="G28" s="169"/>
      <c r="H28" s="288" t="s">
        <v>200</v>
      </c>
      <c r="I28" s="262"/>
      <c r="J28" s="262"/>
      <c r="K28" s="262"/>
      <c r="L28" s="262"/>
      <c r="M28" s="262"/>
      <c r="N28" s="262"/>
      <c r="O28" s="263"/>
      <c r="P28" s="282"/>
      <c r="Q28" s="283"/>
      <c r="R28" s="293" t="str">
        <f>Deelnemers!$B$3</f>
        <v>Willem Tell 1921, Kerkrade</v>
      </c>
      <c r="S28" s="250"/>
      <c r="T28" s="250"/>
      <c r="U28" s="250"/>
      <c r="V28" s="169"/>
    </row>
    <row r="29" spans="1:35" ht="15.75" customHeight="1" x14ac:dyDescent="0.25">
      <c r="A29" s="170" t="s">
        <v>201</v>
      </c>
      <c r="B29" s="171"/>
      <c r="C29" s="265">
        <f>VLOOKUP(Z2,AA2:AI8,4,FALSE())</f>
        <v>0</v>
      </c>
      <c r="D29" s="247"/>
      <c r="E29" s="247"/>
      <c r="F29" s="247"/>
      <c r="G29" s="247"/>
      <c r="J29" s="272" t="s">
        <v>202</v>
      </c>
      <c r="K29" s="262"/>
      <c r="L29" s="262"/>
      <c r="M29" s="262"/>
      <c r="P29" s="170" t="s">
        <v>201</v>
      </c>
      <c r="Q29" s="171"/>
      <c r="R29" s="287">
        <f>VLOOKUP(Z2,AA2:AI8,5,FALSE())</f>
        <v>0</v>
      </c>
      <c r="S29" s="247"/>
      <c r="T29" s="247"/>
      <c r="U29" s="247"/>
      <c r="V29" s="242"/>
    </row>
    <row r="30" spans="1:35" ht="14.25" customHeight="1" x14ac:dyDescent="0.25">
      <c r="A30" s="170" t="s">
        <v>203</v>
      </c>
      <c r="B30" s="273" t="e">
        <f>IF(C29="","",VLOOKUP(C29,Deelnemers!B8:C46,2,FALSE()))</f>
        <v>#N/A</v>
      </c>
      <c r="C30" s="247"/>
      <c r="D30" s="247"/>
      <c r="E30" s="174" t="s">
        <v>204</v>
      </c>
      <c r="F30" s="174" t="s">
        <v>205</v>
      </c>
      <c r="G30" s="173"/>
      <c r="J30" s="258" t="s">
        <v>206</v>
      </c>
      <c r="K30" s="248"/>
      <c r="L30" s="269" t="s">
        <v>206</v>
      </c>
      <c r="M30" s="242"/>
      <c r="P30" s="170" t="s">
        <v>203</v>
      </c>
      <c r="Q30" s="273" t="e">
        <f>IF(R29="","",VLOOKUP(R29,Deelnemers!B8:C46,2,FALSE()))</f>
        <v>#N/A</v>
      </c>
      <c r="R30" s="247"/>
      <c r="S30" s="247"/>
      <c r="T30" s="174" t="s">
        <v>204</v>
      </c>
      <c r="U30" s="174" t="s">
        <v>205</v>
      </c>
      <c r="V30" s="173"/>
    </row>
    <row r="31" spans="1:35" ht="19.5" customHeight="1" x14ac:dyDescent="0.25">
      <c r="A31" s="175">
        <v>1</v>
      </c>
      <c r="B31" s="173"/>
      <c r="C31" s="173"/>
      <c r="D31" s="173"/>
      <c r="E31" s="176"/>
      <c r="F31" s="177"/>
      <c r="G31" s="178"/>
      <c r="J31" s="257"/>
      <c r="K31" s="248"/>
      <c r="L31" s="270"/>
      <c r="M31" s="242"/>
      <c r="P31" s="175">
        <v>1</v>
      </c>
      <c r="Q31" s="173"/>
      <c r="R31" s="173"/>
      <c r="S31" s="173"/>
      <c r="T31" s="176"/>
      <c r="U31" s="177"/>
      <c r="V31" s="173"/>
    </row>
    <row r="32" spans="1:35" ht="19.5" customHeight="1" x14ac:dyDescent="0.25">
      <c r="A32" s="175"/>
      <c r="B32" s="173"/>
      <c r="C32" s="173"/>
      <c r="D32" s="173"/>
      <c r="E32" s="179"/>
      <c r="F32" s="179"/>
      <c r="G32" s="178"/>
      <c r="J32" s="180"/>
      <c r="K32" s="181"/>
      <c r="L32" s="182"/>
      <c r="M32" s="178"/>
      <c r="P32" s="175"/>
      <c r="Q32" s="173"/>
      <c r="R32" s="173"/>
      <c r="S32" s="173"/>
      <c r="T32" s="179"/>
      <c r="U32" s="179"/>
      <c r="V32" s="173"/>
    </row>
    <row r="33" spans="1:22" ht="19.5" customHeight="1" x14ac:dyDescent="0.25">
      <c r="A33" s="175">
        <v>2</v>
      </c>
      <c r="B33" s="173"/>
      <c r="C33" s="173"/>
      <c r="D33" s="173"/>
      <c r="E33" s="183"/>
      <c r="F33" s="184"/>
      <c r="G33" s="178"/>
      <c r="J33" s="257"/>
      <c r="K33" s="248"/>
      <c r="L33" s="270"/>
      <c r="M33" s="242"/>
      <c r="P33" s="175">
        <v>2</v>
      </c>
      <c r="Q33" s="173"/>
      <c r="R33" s="173"/>
      <c r="S33" s="173"/>
      <c r="T33" s="183"/>
      <c r="U33" s="184"/>
      <c r="V33" s="173"/>
    </row>
    <row r="34" spans="1:22" ht="19.5" customHeight="1" x14ac:dyDescent="0.25">
      <c r="A34" s="175"/>
      <c r="B34" s="173"/>
      <c r="C34" s="173"/>
      <c r="D34" s="173"/>
      <c r="E34" s="183"/>
      <c r="F34" s="183"/>
      <c r="G34" s="178"/>
      <c r="J34" s="180"/>
      <c r="K34" s="181"/>
      <c r="L34" s="182"/>
      <c r="M34" s="178"/>
      <c r="P34" s="175"/>
      <c r="Q34" s="173"/>
      <c r="R34" s="173"/>
      <c r="S34" s="173"/>
      <c r="T34" s="183"/>
      <c r="U34" s="183"/>
      <c r="V34" s="173"/>
    </row>
    <row r="35" spans="1:22" ht="19.5" customHeight="1" x14ac:dyDescent="0.25">
      <c r="A35" s="175">
        <v>3</v>
      </c>
      <c r="B35" s="173"/>
      <c r="C35" s="173"/>
      <c r="D35" s="173"/>
      <c r="E35" s="183"/>
      <c r="F35" s="184"/>
      <c r="G35" s="178"/>
      <c r="J35" s="257"/>
      <c r="K35" s="248"/>
      <c r="L35" s="270"/>
      <c r="M35" s="242"/>
      <c r="P35" s="175">
        <v>3</v>
      </c>
      <c r="Q35" s="173"/>
      <c r="R35" s="173"/>
      <c r="S35" s="173"/>
      <c r="T35" s="183"/>
      <c r="U35" s="184"/>
      <c r="V35" s="173"/>
    </row>
    <row r="36" spans="1:22" ht="19.5" customHeight="1" x14ac:dyDescent="0.25">
      <c r="A36" s="175"/>
      <c r="B36" s="173"/>
      <c r="C36" s="173"/>
      <c r="D36" s="173"/>
      <c r="E36" s="183"/>
      <c r="F36" s="183"/>
      <c r="G36" s="178"/>
      <c r="J36" s="180"/>
      <c r="K36" s="181"/>
      <c r="L36" s="182"/>
      <c r="M36" s="178"/>
      <c r="P36" s="175"/>
      <c r="Q36" s="173"/>
      <c r="R36" s="173"/>
      <c r="S36" s="173"/>
      <c r="T36" s="183"/>
      <c r="U36" s="183"/>
      <c r="V36" s="173"/>
    </row>
    <row r="37" spans="1:22" ht="19.5" customHeight="1" x14ac:dyDescent="0.25">
      <c r="A37" s="175">
        <v>4</v>
      </c>
      <c r="B37" s="173"/>
      <c r="C37" s="173"/>
      <c r="D37" s="173"/>
      <c r="E37" s="183"/>
      <c r="F37" s="184"/>
      <c r="G37" s="178"/>
      <c r="J37" s="257"/>
      <c r="K37" s="248"/>
      <c r="L37" s="270"/>
      <c r="M37" s="242"/>
      <c r="P37" s="175">
        <v>4</v>
      </c>
      <c r="Q37" s="173"/>
      <c r="R37" s="173"/>
      <c r="S37" s="173"/>
      <c r="T37" s="183"/>
      <c r="U37" s="184"/>
      <c r="V37" s="173"/>
    </row>
    <row r="38" spans="1:22" ht="19.5" customHeight="1" x14ac:dyDescent="0.25">
      <c r="A38" s="175"/>
      <c r="B38" s="173"/>
      <c r="C38" s="173"/>
      <c r="D38" s="173"/>
      <c r="E38" s="185"/>
      <c r="F38" s="185"/>
      <c r="G38" s="178"/>
      <c r="J38" s="180"/>
      <c r="K38" s="181"/>
      <c r="L38" s="182"/>
      <c r="M38" s="178"/>
      <c r="P38" s="175"/>
      <c r="Q38" s="173"/>
      <c r="R38" s="173"/>
      <c r="S38" s="173"/>
      <c r="T38" s="185"/>
      <c r="U38" s="185"/>
      <c r="V38" s="173"/>
    </row>
    <row r="39" spans="1:22" ht="19.5" customHeight="1" x14ac:dyDescent="0.25">
      <c r="A39" s="175">
        <v>5</v>
      </c>
      <c r="B39" s="173"/>
      <c r="C39" s="173"/>
      <c r="D39" s="173"/>
      <c r="E39" s="183"/>
      <c r="F39" s="184"/>
      <c r="G39" s="178"/>
      <c r="J39" s="257"/>
      <c r="K39" s="248"/>
      <c r="L39" s="270"/>
      <c r="M39" s="242"/>
      <c r="P39" s="175">
        <v>5</v>
      </c>
      <c r="Q39" s="173"/>
      <c r="R39" s="173"/>
      <c r="S39" s="173"/>
      <c r="T39" s="183"/>
      <c r="U39" s="184"/>
      <c r="V39" s="173"/>
    </row>
    <row r="40" spans="1:22" ht="19.5" customHeight="1" x14ac:dyDescent="0.25">
      <c r="A40" s="175"/>
      <c r="B40" s="173"/>
      <c r="C40" s="173"/>
      <c r="D40" s="173"/>
      <c r="E40" s="186"/>
      <c r="F40" s="185"/>
      <c r="G40" s="178"/>
      <c r="J40" s="180"/>
      <c r="K40" s="181"/>
      <c r="L40" s="182"/>
      <c r="M40" s="178"/>
      <c r="P40" s="175"/>
      <c r="Q40" s="173"/>
      <c r="R40" s="173"/>
      <c r="S40" s="173"/>
      <c r="T40" s="186"/>
      <c r="U40" s="185"/>
      <c r="V40" s="191"/>
    </row>
    <row r="41" spans="1:22" ht="19.5" customHeight="1" x14ac:dyDescent="0.25">
      <c r="A41" s="187"/>
      <c r="B41" s="161"/>
      <c r="C41" s="160"/>
      <c r="D41" s="188" t="s">
        <v>205</v>
      </c>
      <c r="E41" s="189"/>
      <c r="F41" s="190"/>
      <c r="G41" s="191"/>
      <c r="J41" s="267"/>
      <c r="K41" s="268"/>
      <c r="L41" s="274"/>
      <c r="M41" s="275"/>
      <c r="P41" s="187"/>
      <c r="Q41" s="161"/>
      <c r="R41" s="160"/>
      <c r="S41" s="188" t="s">
        <v>205</v>
      </c>
      <c r="T41" s="189"/>
      <c r="U41" s="190"/>
      <c r="V41" s="191"/>
    </row>
    <row r="42" spans="1:22" ht="19.5" customHeight="1" x14ac:dyDescent="0.25">
      <c r="A42" s="192" t="s">
        <v>207</v>
      </c>
      <c r="B42" s="161"/>
      <c r="C42" s="161"/>
      <c r="D42" s="161"/>
      <c r="E42" s="161"/>
      <c r="F42" s="161"/>
      <c r="G42" s="160"/>
      <c r="J42" s="272"/>
      <c r="K42" s="262"/>
      <c r="L42" s="262"/>
      <c r="M42" s="262"/>
      <c r="P42" s="192" t="s">
        <v>207</v>
      </c>
      <c r="Q42" s="161"/>
      <c r="R42" s="161"/>
      <c r="S42" s="161"/>
      <c r="T42" s="161"/>
      <c r="U42" s="161"/>
      <c r="V42" s="160"/>
    </row>
    <row r="43" spans="1:22" ht="14.25" customHeight="1" x14ac:dyDescent="0.25">
      <c r="A43" s="193" t="s">
        <v>208</v>
      </c>
      <c r="B43" s="194"/>
      <c r="C43" s="194"/>
      <c r="D43" s="194"/>
      <c r="E43" s="194"/>
      <c r="F43" s="194"/>
      <c r="G43" s="169"/>
      <c r="H43" s="261" t="s">
        <v>209</v>
      </c>
      <c r="I43" s="262"/>
      <c r="J43" s="262"/>
      <c r="K43" s="262"/>
      <c r="L43" s="262"/>
      <c r="M43" s="262"/>
      <c r="N43" s="262"/>
      <c r="O43" s="263"/>
      <c r="P43" s="193" t="s">
        <v>208</v>
      </c>
      <c r="Q43" s="194"/>
      <c r="R43" s="194"/>
      <c r="S43" s="194"/>
      <c r="T43" s="194"/>
      <c r="U43" s="194"/>
      <c r="V43" s="169"/>
    </row>
    <row r="44" spans="1:22" ht="14.25" customHeight="1" x14ac:dyDescent="0.25">
      <c r="A44" s="195" t="s">
        <v>210</v>
      </c>
      <c r="G44" s="196"/>
      <c r="H44" s="266" t="s">
        <v>200</v>
      </c>
      <c r="I44" s="262"/>
      <c r="J44" s="262"/>
      <c r="K44" s="262"/>
      <c r="L44" s="262"/>
      <c r="M44" s="262"/>
      <c r="N44" s="262"/>
      <c r="O44" s="263"/>
      <c r="P44" s="195" t="s">
        <v>210</v>
      </c>
      <c r="V44" s="196"/>
    </row>
    <row r="45" spans="1:22" ht="14.25" customHeight="1" x14ac:dyDescent="0.25">
      <c r="A45" s="193" t="s">
        <v>208</v>
      </c>
      <c r="B45" s="194"/>
      <c r="C45" s="194"/>
      <c r="D45" s="194"/>
      <c r="E45" s="194"/>
      <c r="F45" s="194"/>
      <c r="G45" s="169"/>
      <c r="I45" s="197"/>
      <c r="J45" s="284"/>
      <c r="K45" s="285"/>
      <c r="L45" s="286"/>
      <c r="M45" s="220"/>
      <c r="N45" s="197"/>
      <c r="P45" s="193" t="s">
        <v>208</v>
      </c>
      <c r="Q45" s="194"/>
      <c r="R45" s="194"/>
      <c r="S45" s="194"/>
      <c r="T45" s="194"/>
      <c r="U45" s="194"/>
      <c r="V45" s="169"/>
    </row>
    <row r="46" spans="1:22" ht="19.5" customHeight="1" x14ac:dyDescent="0.25">
      <c r="A46" s="204"/>
      <c r="I46" s="158"/>
      <c r="J46" s="158"/>
      <c r="K46" s="158"/>
      <c r="L46" s="158"/>
      <c r="M46" s="158"/>
      <c r="N46" s="158"/>
      <c r="P46" s="157"/>
      <c r="V46" s="196"/>
    </row>
    <row r="47" spans="1:22" ht="14.25" customHeight="1" x14ac:dyDescent="0.25">
      <c r="A47" s="198"/>
      <c r="I47" s="158"/>
      <c r="J47" s="272" t="s">
        <v>211</v>
      </c>
      <c r="K47" s="262"/>
      <c r="L47" s="262"/>
      <c r="M47" s="262"/>
      <c r="N47" s="158"/>
      <c r="P47" s="157"/>
      <c r="V47" s="196"/>
    </row>
    <row r="48" spans="1:22" ht="14.25" customHeight="1" x14ac:dyDescent="0.25">
      <c r="A48" s="193"/>
      <c r="B48" s="194"/>
      <c r="C48" s="194"/>
      <c r="D48" s="194"/>
      <c r="E48" s="194"/>
      <c r="F48" s="194"/>
      <c r="G48" s="194"/>
      <c r="H48" s="194"/>
      <c r="I48" s="199"/>
      <c r="J48" s="271"/>
      <c r="K48" s="250"/>
      <c r="L48" s="250"/>
      <c r="M48" s="250"/>
      <c r="N48" s="199"/>
      <c r="O48" s="194"/>
      <c r="P48" s="200"/>
      <c r="Q48" s="194"/>
      <c r="R48" s="194"/>
      <c r="S48" s="194"/>
      <c r="T48" s="194"/>
      <c r="U48" s="194"/>
      <c r="V48" s="169"/>
    </row>
    <row r="49" spans="1:22" ht="15" customHeight="1" x14ac:dyDescent="0.25">
      <c r="A49" s="157"/>
      <c r="I49" s="158"/>
      <c r="J49" s="158"/>
      <c r="K49" s="158"/>
      <c r="L49" s="158"/>
      <c r="M49" s="158"/>
      <c r="N49" s="158"/>
      <c r="P49" s="157"/>
    </row>
    <row r="50" spans="1:22" ht="14.25" customHeight="1" x14ac:dyDescent="0.25">
      <c r="A50" s="279"/>
      <c r="B50" s="280"/>
      <c r="C50" s="264" t="str">
        <f>VLOOKUP(Z2,AA14:AI21,6,FALSE())</f>
        <v>Baan 5</v>
      </c>
      <c r="D50" s="247"/>
      <c r="E50" s="247"/>
      <c r="F50" s="247"/>
      <c r="G50" s="160"/>
      <c r="H50" s="161"/>
      <c r="I50" s="259" t="str">
        <f>Z2</f>
        <v>Ronde 1</v>
      </c>
      <c r="J50" s="260"/>
      <c r="K50" s="260"/>
      <c r="L50" s="260"/>
      <c r="M50" s="260"/>
      <c r="N50" s="260"/>
      <c r="O50" s="161"/>
      <c r="P50" s="279"/>
      <c r="Q50" s="280"/>
      <c r="R50" s="264" t="str">
        <f>VLOOKUP(Z2,AA14:AI21,7,FALSE())</f>
        <v>Baan 6</v>
      </c>
      <c r="S50" s="247"/>
      <c r="T50" s="247"/>
      <c r="U50" s="247"/>
      <c r="V50" s="160"/>
    </row>
    <row r="51" spans="1:22" ht="15.75" customHeight="1" x14ac:dyDescent="0.25">
      <c r="A51" s="281"/>
      <c r="B51" s="263"/>
      <c r="C51" s="205" t="s">
        <v>198</v>
      </c>
      <c r="D51" s="276" t="str">
        <f>Deelnemers!$B$4</f>
        <v>2026-04-11</v>
      </c>
      <c r="E51" s="260"/>
      <c r="F51" s="260"/>
      <c r="G51" s="160"/>
      <c r="H51" s="289" t="s">
        <v>199</v>
      </c>
      <c r="I51" s="262"/>
      <c r="J51" s="262"/>
      <c r="K51" s="262"/>
      <c r="L51" s="262"/>
      <c r="M51" s="262"/>
      <c r="N51" s="262"/>
      <c r="O51" s="263"/>
      <c r="P51" s="281"/>
      <c r="Q51" s="263"/>
      <c r="R51" s="205" t="s">
        <v>198</v>
      </c>
      <c r="S51" s="276" t="str">
        <f>Deelnemers!$B$4</f>
        <v>2026-04-11</v>
      </c>
      <c r="T51" s="260"/>
      <c r="U51" s="260"/>
      <c r="V51" s="160"/>
    </row>
    <row r="52" spans="1:22" ht="15.75" customHeight="1" x14ac:dyDescent="0.25">
      <c r="A52" s="282"/>
      <c r="B52" s="283"/>
      <c r="C52" s="290" t="str">
        <f>Deelnemers!$B$3</f>
        <v>Willem Tell 1921, Kerkrade</v>
      </c>
      <c r="D52" s="250"/>
      <c r="E52" s="250"/>
      <c r="F52" s="250"/>
      <c r="G52" s="169"/>
      <c r="H52" s="288" t="s">
        <v>200</v>
      </c>
      <c r="I52" s="262"/>
      <c r="J52" s="262"/>
      <c r="K52" s="262"/>
      <c r="L52" s="262"/>
      <c r="M52" s="262"/>
      <c r="N52" s="262"/>
      <c r="O52" s="263"/>
      <c r="P52" s="282"/>
      <c r="Q52" s="283"/>
      <c r="R52" s="290" t="str">
        <f>Deelnemers!$B$3</f>
        <v>Willem Tell 1921, Kerkrade</v>
      </c>
      <c r="S52" s="250"/>
      <c r="T52" s="250"/>
      <c r="U52" s="250"/>
      <c r="V52" s="169"/>
    </row>
    <row r="53" spans="1:22" ht="15.75" customHeight="1" x14ac:dyDescent="0.25">
      <c r="A53" s="170" t="s">
        <v>201</v>
      </c>
      <c r="B53" s="171"/>
      <c r="C53" s="265">
        <f>VLOOKUP(Z2,AA2:AI8,6,FALSE())</f>
        <v>0</v>
      </c>
      <c r="D53" s="247"/>
      <c r="E53" s="247"/>
      <c r="F53" s="247"/>
      <c r="G53" s="247"/>
      <c r="J53" s="272" t="s">
        <v>202</v>
      </c>
      <c r="K53" s="262"/>
      <c r="L53" s="262"/>
      <c r="M53" s="262"/>
      <c r="P53" s="170" t="s">
        <v>201</v>
      </c>
      <c r="Q53" s="171"/>
      <c r="R53" s="287">
        <f>VLOOKUP(Z2,AA2:AI8,7,FALSE())</f>
        <v>0</v>
      </c>
      <c r="S53" s="247"/>
      <c r="T53" s="247"/>
      <c r="U53" s="247"/>
      <c r="V53" s="242"/>
    </row>
    <row r="54" spans="1:22" ht="14.25" customHeight="1" x14ac:dyDescent="0.25">
      <c r="A54" s="170" t="s">
        <v>203</v>
      </c>
      <c r="B54" s="273" t="e">
        <f>IF(C53="","",VLOOKUP(C53,Deelnemers!B8:C46,2,FALSE()))</f>
        <v>#N/A</v>
      </c>
      <c r="C54" s="247"/>
      <c r="D54" s="247"/>
      <c r="E54" s="174" t="s">
        <v>204</v>
      </c>
      <c r="F54" s="174" t="s">
        <v>205</v>
      </c>
      <c r="G54" s="173"/>
      <c r="J54" s="258" t="s">
        <v>206</v>
      </c>
      <c r="K54" s="248"/>
      <c r="L54" s="269" t="s">
        <v>206</v>
      </c>
      <c r="M54" s="242"/>
      <c r="P54" s="170" t="s">
        <v>203</v>
      </c>
      <c r="Q54" s="273" t="e">
        <f>IF(R53="","",VLOOKUP(R53,Deelnemers!B8:C46,2,FALSE()))</f>
        <v>#N/A</v>
      </c>
      <c r="R54" s="247"/>
      <c r="S54" s="247"/>
      <c r="T54" s="174" t="s">
        <v>204</v>
      </c>
      <c r="U54" s="174" t="s">
        <v>205</v>
      </c>
      <c r="V54" s="173"/>
    </row>
    <row r="55" spans="1:22" ht="19.5" customHeight="1" x14ac:dyDescent="0.25">
      <c r="A55" s="175">
        <v>1</v>
      </c>
      <c r="B55" s="173"/>
      <c r="C55" s="173"/>
      <c r="D55" s="173"/>
      <c r="E55" s="176"/>
      <c r="F55" s="177"/>
      <c r="G55" s="178"/>
      <c r="J55" s="257"/>
      <c r="K55" s="248"/>
      <c r="L55" s="270"/>
      <c r="M55" s="242"/>
      <c r="P55" s="175">
        <v>1</v>
      </c>
      <c r="Q55" s="173"/>
      <c r="R55" s="173"/>
      <c r="S55" s="173"/>
      <c r="T55" s="176"/>
      <c r="U55" s="177"/>
      <c r="V55" s="173"/>
    </row>
    <row r="56" spans="1:22" ht="19.5" customHeight="1" x14ac:dyDescent="0.25">
      <c r="A56" s="175"/>
      <c r="B56" s="173"/>
      <c r="C56" s="173"/>
      <c r="D56" s="173"/>
      <c r="E56" s="179"/>
      <c r="F56" s="179"/>
      <c r="G56" s="178"/>
      <c r="J56" s="180"/>
      <c r="K56" s="181"/>
      <c r="L56" s="182"/>
      <c r="M56" s="178"/>
      <c r="P56" s="175"/>
      <c r="Q56" s="173"/>
      <c r="R56" s="173"/>
      <c r="S56" s="173"/>
      <c r="T56" s="179"/>
      <c r="U56" s="179"/>
      <c r="V56" s="173"/>
    </row>
    <row r="57" spans="1:22" ht="19.5" customHeight="1" x14ac:dyDescent="0.25">
      <c r="A57" s="175">
        <v>2</v>
      </c>
      <c r="B57" s="173"/>
      <c r="C57" s="173"/>
      <c r="D57" s="173"/>
      <c r="E57" s="183"/>
      <c r="F57" s="184"/>
      <c r="G57" s="178"/>
      <c r="J57" s="257"/>
      <c r="K57" s="248"/>
      <c r="L57" s="270"/>
      <c r="M57" s="242"/>
      <c r="P57" s="175">
        <v>2</v>
      </c>
      <c r="Q57" s="173"/>
      <c r="R57" s="173"/>
      <c r="S57" s="173"/>
      <c r="T57" s="183"/>
      <c r="U57" s="184"/>
      <c r="V57" s="173"/>
    </row>
    <row r="58" spans="1:22" ht="19.5" customHeight="1" x14ac:dyDescent="0.25">
      <c r="A58" s="175"/>
      <c r="B58" s="173"/>
      <c r="C58" s="173"/>
      <c r="D58" s="173"/>
      <c r="E58" s="183"/>
      <c r="F58" s="183"/>
      <c r="G58" s="178"/>
      <c r="J58" s="180"/>
      <c r="K58" s="181"/>
      <c r="L58" s="182"/>
      <c r="M58" s="178"/>
      <c r="P58" s="175"/>
      <c r="Q58" s="173"/>
      <c r="R58" s="173"/>
      <c r="S58" s="173"/>
      <c r="T58" s="183"/>
      <c r="U58" s="183"/>
      <c r="V58" s="173"/>
    </row>
    <row r="59" spans="1:22" ht="19.5" customHeight="1" x14ac:dyDescent="0.25">
      <c r="A59" s="175">
        <v>3</v>
      </c>
      <c r="B59" s="173"/>
      <c r="C59" s="173"/>
      <c r="D59" s="173"/>
      <c r="E59" s="183"/>
      <c r="F59" s="184"/>
      <c r="G59" s="178"/>
      <c r="J59" s="257"/>
      <c r="K59" s="248"/>
      <c r="L59" s="270"/>
      <c r="M59" s="242"/>
      <c r="P59" s="175">
        <v>3</v>
      </c>
      <c r="Q59" s="173"/>
      <c r="R59" s="173"/>
      <c r="S59" s="173"/>
      <c r="T59" s="183"/>
      <c r="U59" s="184"/>
      <c r="V59" s="173"/>
    </row>
    <row r="60" spans="1:22" ht="19.5" customHeight="1" x14ac:dyDescent="0.25">
      <c r="A60" s="175"/>
      <c r="B60" s="173"/>
      <c r="C60" s="173"/>
      <c r="D60" s="173"/>
      <c r="E60" s="183"/>
      <c r="F60" s="183"/>
      <c r="G60" s="178"/>
      <c r="J60" s="180"/>
      <c r="K60" s="181"/>
      <c r="L60" s="182"/>
      <c r="M60" s="178"/>
      <c r="P60" s="175"/>
      <c r="Q60" s="173"/>
      <c r="R60" s="173"/>
      <c r="S60" s="173"/>
      <c r="T60" s="183"/>
      <c r="U60" s="183"/>
      <c r="V60" s="173"/>
    </row>
    <row r="61" spans="1:22" ht="19.5" customHeight="1" x14ac:dyDescent="0.25">
      <c r="A61" s="175">
        <v>4</v>
      </c>
      <c r="B61" s="173"/>
      <c r="C61" s="173"/>
      <c r="D61" s="173"/>
      <c r="E61" s="183"/>
      <c r="F61" s="184"/>
      <c r="G61" s="178"/>
      <c r="J61" s="257"/>
      <c r="K61" s="248"/>
      <c r="L61" s="270"/>
      <c r="M61" s="242"/>
      <c r="P61" s="175">
        <v>4</v>
      </c>
      <c r="Q61" s="173"/>
      <c r="R61" s="173"/>
      <c r="S61" s="173"/>
      <c r="T61" s="183"/>
      <c r="U61" s="184"/>
      <c r="V61" s="173"/>
    </row>
    <row r="62" spans="1:22" ht="19.5" customHeight="1" x14ac:dyDescent="0.25">
      <c r="A62" s="175"/>
      <c r="B62" s="173"/>
      <c r="C62" s="173"/>
      <c r="D62" s="173"/>
      <c r="E62" s="185"/>
      <c r="F62" s="185"/>
      <c r="G62" s="178"/>
      <c r="J62" s="180"/>
      <c r="K62" s="181"/>
      <c r="L62" s="182"/>
      <c r="M62" s="178"/>
      <c r="P62" s="175"/>
      <c r="Q62" s="173"/>
      <c r="R62" s="173"/>
      <c r="S62" s="173"/>
      <c r="T62" s="185"/>
      <c r="U62" s="185"/>
      <c r="V62" s="173"/>
    </row>
    <row r="63" spans="1:22" ht="19.5" customHeight="1" x14ac:dyDescent="0.25">
      <c r="A63" s="175">
        <v>5</v>
      </c>
      <c r="B63" s="173"/>
      <c r="C63" s="173"/>
      <c r="D63" s="173"/>
      <c r="E63" s="183"/>
      <c r="F63" s="184"/>
      <c r="G63" s="178"/>
      <c r="J63" s="257"/>
      <c r="K63" s="248"/>
      <c r="L63" s="270"/>
      <c r="M63" s="242"/>
      <c r="P63" s="175">
        <v>5</v>
      </c>
      <c r="Q63" s="173"/>
      <c r="R63" s="173"/>
      <c r="S63" s="173"/>
      <c r="T63" s="183"/>
      <c r="U63" s="184"/>
      <c r="V63" s="173"/>
    </row>
    <row r="64" spans="1:22" ht="19.5" customHeight="1" x14ac:dyDescent="0.25">
      <c r="A64" s="175"/>
      <c r="B64" s="173"/>
      <c r="C64" s="173"/>
      <c r="D64" s="173"/>
      <c r="E64" s="186"/>
      <c r="F64" s="185"/>
      <c r="G64" s="178"/>
      <c r="J64" s="180"/>
      <c r="K64" s="181"/>
      <c r="L64" s="182"/>
      <c r="M64" s="178"/>
      <c r="P64" s="175"/>
      <c r="Q64" s="173"/>
      <c r="R64" s="173"/>
      <c r="S64" s="173"/>
      <c r="T64" s="186"/>
      <c r="U64" s="185"/>
      <c r="V64" s="173"/>
    </row>
    <row r="65" spans="1:22" ht="19.5" customHeight="1" x14ac:dyDescent="0.25">
      <c r="A65" s="187"/>
      <c r="B65" s="161"/>
      <c r="C65" s="160"/>
      <c r="D65" s="188" t="s">
        <v>205</v>
      </c>
      <c r="E65" s="189"/>
      <c r="F65" s="190"/>
      <c r="G65" s="191"/>
      <c r="J65" s="267"/>
      <c r="K65" s="268"/>
      <c r="L65" s="274"/>
      <c r="M65" s="275"/>
      <c r="P65" s="187"/>
      <c r="Q65" s="161"/>
      <c r="R65" s="160"/>
      <c r="S65" s="188" t="s">
        <v>205</v>
      </c>
      <c r="T65" s="189"/>
      <c r="U65" s="190"/>
      <c r="V65" s="191"/>
    </row>
    <row r="66" spans="1:22" ht="19.5" customHeight="1" x14ac:dyDescent="0.25">
      <c r="A66" s="192" t="s">
        <v>207</v>
      </c>
      <c r="B66" s="161"/>
      <c r="C66" s="161"/>
      <c r="D66" s="161"/>
      <c r="E66" s="161"/>
      <c r="F66" s="161"/>
      <c r="G66" s="160"/>
      <c r="J66" s="272"/>
      <c r="K66" s="262"/>
      <c r="L66" s="262"/>
      <c r="M66" s="262"/>
      <c r="P66" s="192" t="s">
        <v>207</v>
      </c>
      <c r="Q66" s="161"/>
      <c r="R66" s="161"/>
      <c r="S66" s="161"/>
      <c r="T66" s="161"/>
      <c r="U66" s="161"/>
      <c r="V66" s="160"/>
    </row>
    <row r="67" spans="1:22" ht="14.25" customHeight="1" x14ac:dyDescent="0.25">
      <c r="A67" s="193" t="s">
        <v>208</v>
      </c>
      <c r="B67" s="194"/>
      <c r="C67" s="194"/>
      <c r="D67" s="194"/>
      <c r="E67" s="194"/>
      <c r="F67" s="194"/>
      <c r="G67" s="169"/>
      <c r="H67" s="261" t="s">
        <v>209</v>
      </c>
      <c r="I67" s="262"/>
      <c r="J67" s="262"/>
      <c r="K67" s="262"/>
      <c r="L67" s="262"/>
      <c r="M67" s="262"/>
      <c r="N67" s="262"/>
      <c r="O67" s="263"/>
      <c r="P67" s="193" t="s">
        <v>208</v>
      </c>
      <c r="Q67" s="194"/>
      <c r="R67" s="194"/>
      <c r="S67" s="194"/>
      <c r="T67" s="194"/>
      <c r="U67" s="194"/>
      <c r="V67" s="169"/>
    </row>
    <row r="68" spans="1:22" ht="14.25" customHeight="1" x14ac:dyDescent="0.25">
      <c r="A68" s="195" t="s">
        <v>210</v>
      </c>
      <c r="G68" s="196"/>
      <c r="H68" s="266" t="s">
        <v>200</v>
      </c>
      <c r="I68" s="262"/>
      <c r="J68" s="262"/>
      <c r="K68" s="262"/>
      <c r="L68" s="262"/>
      <c r="M68" s="262"/>
      <c r="N68" s="262"/>
      <c r="O68" s="263"/>
      <c r="P68" s="195" t="s">
        <v>210</v>
      </c>
      <c r="V68" s="196"/>
    </row>
    <row r="69" spans="1:22" ht="14.25" customHeight="1" x14ac:dyDescent="0.25">
      <c r="A69" s="193" t="s">
        <v>208</v>
      </c>
      <c r="B69" s="194"/>
      <c r="C69" s="194"/>
      <c r="D69" s="194"/>
      <c r="E69" s="194"/>
      <c r="F69" s="194"/>
      <c r="G69" s="169"/>
      <c r="I69" s="197"/>
      <c r="J69" s="284"/>
      <c r="K69" s="285"/>
      <c r="L69" s="286"/>
      <c r="M69" s="220"/>
      <c r="N69" s="197"/>
      <c r="P69" s="193" t="s">
        <v>208</v>
      </c>
      <c r="Q69" s="194"/>
      <c r="R69" s="194"/>
      <c r="S69" s="194"/>
      <c r="T69" s="194"/>
      <c r="U69" s="194"/>
      <c r="V69" s="169"/>
    </row>
    <row r="70" spans="1:22" ht="19.5" customHeight="1" x14ac:dyDescent="0.25">
      <c r="A70" s="198"/>
      <c r="I70" s="158"/>
      <c r="J70" s="158"/>
      <c r="K70" s="158"/>
      <c r="L70" s="158"/>
      <c r="M70" s="158"/>
      <c r="N70" s="158"/>
      <c r="P70" s="157"/>
      <c r="V70" s="196"/>
    </row>
    <row r="71" spans="1:22" ht="14.25" customHeight="1" x14ac:dyDescent="0.25">
      <c r="A71" s="198"/>
      <c r="I71" s="158"/>
      <c r="J71" s="272" t="s">
        <v>211</v>
      </c>
      <c r="K71" s="262"/>
      <c r="L71" s="262"/>
      <c r="M71" s="262"/>
      <c r="N71" s="158"/>
      <c r="P71" s="157"/>
      <c r="V71" s="196"/>
    </row>
    <row r="72" spans="1:22" ht="14.25" customHeight="1" x14ac:dyDescent="0.25">
      <c r="A72" s="193"/>
      <c r="B72" s="194"/>
      <c r="C72" s="194"/>
      <c r="D72" s="194"/>
      <c r="E72" s="194"/>
      <c r="F72" s="194"/>
      <c r="G72" s="194"/>
      <c r="H72" s="194"/>
      <c r="I72" s="199"/>
      <c r="J72" s="271"/>
      <c r="K72" s="250"/>
      <c r="L72" s="250"/>
      <c r="M72" s="250"/>
      <c r="N72" s="199"/>
      <c r="O72" s="194"/>
      <c r="P72" s="200"/>
      <c r="Q72" s="194"/>
      <c r="R72" s="194"/>
      <c r="S72" s="194"/>
      <c r="T72" s="194"/>
      <c r="U72" s="194"/>
      <c r="V72" s="169"/>
    </row>
    <row r="73" spans="1:22" ht="14.25" customHeight="1" x14ac:dyDescent="0.25">
      <c r="A73" s="201"/>
      <c r="I73" s="158"/>
      <c r="J73" s="158"/>
      <c r="K73" s="202"/>
      <c r="L73" s="202"/>
      <c r="M73" s="202"/>
      <c r="N73" s="158"/>
      <c r="P73" s="157"/>
      <c r="V73" s="161"/>
    </row>
    <row r="74" spans="1:22" ht="14.25" customHeight="1" x14ac:dyDescent="0.25">
      <c r="A74" s="279"/>
      <c r="B74" s="280"/>
      <c r="C74" s="264" t="str">
        <f>VLOOKUP(Z2,AA14:AI21,8,FALSE())</f>
        <v>Baan 7</v>
      </c>
      <c r="D74" s="247"/>
      <c r="E74" s="247"/>
      <c r="F74" s="247"/>
      <c r="G74" s="160"/>
      <c r="H74" s="161"/>
      <c r="I74" s="259" t="str">
        <f>Z2</f>
        <v>Ronde 1</v>
      </c>
      <c r="J74" s="260"/>
      <c r="K74" s="260"/>
      <c r="L74" s="260"/>
      <c r="M74" s="260"/>
      <c r="N74" s="260"/>
      <c r="O74" s="161"/>
      <c r="P74" s="279"/>
      <c r="Q74" s="280"/>
      <c r="R74" s="264" t="str">
        <f>VLOOKUP(Z2,AA14:AI21,9,FALSE())</f>
        <v>Baan 8</v>
      </c>
      <c r="S74" s="247"/>
      <c r="T74" s="247"/>
      <c r="U74" s="247"/>
      <c r="V74" s="160"/>
    </row>
    <row r="75" spans="1:22" ht="15.75" customHeight="1" x14ac:dyDescent="0.25">
      <c r="A75" s="281"/>
      <c r="B75" s="263"/>
      <c r="C75" s="206" t="s">
        <v>198</v>
      </c>
      <c r="D75" s="277" t="str">
        <f>Deelnemers!$B$4</f>
        <v>2026-04-11</v>
      </c>
      <c r="E75" s="260"/>
      <c r="F75" s="260"/>
      <c r="G75" s="160"/>
      <c r="H75" s="289" t="s">
        <v>199</v>
      </c>
      <c r="I75" s="262"/>
      <c r="J75" s="262"/>
      <c r="K75" s="262"/>
      <c r="L75" s="262"/>
      <c r="M75" s="262"/>
      <c r="N75" s="262"/>
      <c r="O75" s="263"/>
      <c r="P75" s="281"/>
      <c r="Q75" s="263"/>
      <c r="R75" s="206" t="s">
        <v>198</v>
      </c>
      <c r="S75" s="277" t="str">
        <f>Deelnemers!$B$4</f>
        <v>2026-04-11</v>
      </c>
      <c r="T75" s="260"/>
      <c r="U75" s="260"/>
      <c r="V75" s="160"/>
    </row>
    <row r="76" spans="1:22" ht="15.75" customHeight="1" x14ac:dyDescent="0.25">
      <c r="A76" s="282"/>
      <c r="B76" s="283"/>
      <c r="C76" s="278" t="str">
        <f>Deelnemers!$B$3</f>
        <v>Willem Tell 1921, Kerkrade</v>
      </c>
      <c r="D76" s="250"/>
      <c r="E76" s="250"/>
      <c r="F76" s="250"/>
      <c r="G76" s="169"/>
      <c r="H76" s="288" t="s">
        <v>200</v>
      </c>
      <c r="I76" s="262"/>
      <c r="J76" s="262"/>
      <c r="K76" s="262"/>
      <c r="L76" s="262"/>
      <c r="M76" s="262"/>
      <c r="N76" s="262"/>
      <c r="O76" s="263"/>
      <c r="P76" s="282"/>
      <c r="Q76" s="283"/>
      <c r="R76" s="278" t="str">
        <f>Deelnemers!$B$3</f>
        <v>Willem Tell 1921, Kerkrade</v>
      </c>
      <c r="S76" s="250"/>
      <c r="T76" s="250"/>
      <c r="U76" s="250"/>
      <c r="V76" s="169"/>
    </row>
    <row r="77" spans="1:22" ht="15.75" customHeight="1" x14ac:dyDescent="0.25">
      <c r="A77" s="170" t="s">
        <v>201</v>
      </c>
      <c r="B77" s="171"/>
      <c r="C77" s="265">
        <f>VLOOKUP(Z2,AA2:AI8,8,FALSE())</f>
        <v>0</v>
      </c>
      <c r="D77" s="247"/>
      <c r="E77" s="247"/>
      <c r="F77" s="247"/>
      <c r="G77" s="247"/>
      <c r="J77" s="272" t="s">
        <v>202</v>
      </c>
      <c r="K77" s="262"/>
      <c r="L77" s="262"/>
      <c r="M77" s="262"/>
      <c r="P77" s="170" t="s">
        <v>201</v>
      </c>
      <c r="Q77" s="171"/>
      <c r="R77" s="287">
        <f>VLOOKUP(Z2,AA2:AI8,9,FALSE())</f>
        <v>0</v>
      </c>
      <c r="S77" s="247"/>
      <c r="T77" s="247"/>
      <c r="U77" s="247"/>
      <c r="V77" s="242"/>
    </row>
    <row r="78" spans="1:22" ht="14.25" customHeight="1" x14ac:dyDescent="0.25">
      <c r="A78" s="170" t="s">
        <v>203</v>
      </c>
      <c r="B78" s="273" t="e">
        <f>IF(C77="","",VLOOKUP(C77,Deelnemers!B8:C46,2,FALSE()))</f>
        <v>#N/A</v>
      </c>
      <c r="C78" s="247"/>
      <c r="D78" s="247"/>
      <c r="E78" s="174" t="s">
        <v>204</v>
      </c>
      <c r="F78" s="174" t="s">
        <v>205</v>
      </c>
      <c r="G78" s="173"/>
      <c r="J78" s="258" t="s">
        <v>206</v>
      </c>
      <c r="K78" s="248"/>
      <c r="L78" s="269" t="s">
        <v>206</v>
      </c>
      <c r="M78" s="242"/>
      <c r="P78" s="170" t="s">
        <v>203</v>
      </c>
      <c r="Q78" s="273" t="e">
        <f>IF(R77="","",VLOOKUP(R77,Deelnemers!B8:C46,2,FALSE()))</f>
        <v>#N/A</v>
      </c>
      <c r="R78" s="247"/>
      <c r="S78" s="247"/>
      <c r="T78" s="174" t="s">
        <v>204</v>
      </c>
      <c r="U78" s="174" t="s">
        <v>205</v>
      </c>
      <c r="V78" s="173"/>
    </row>
    <row r="79" spans="1:22" ht="19.5" customHeight="1" x14ac:dyDescent="0.25">
      <c r="A79" s="175">
        <v>1</v>
      </c>
      <c r="B79" s="173"/>
      <c r="C79" s="173"/>
      <c r="D79" s="173"/>
      <c r="E79" s="176"/>
      <c r="F79" s="177"/>
      <c r="G79" s="178"/>
      <c r="J79" s="257"/>
      <c r="K79" s="248"/>
      <c r="L79" s="270"/>
      <c r="M79" s="242"/>
      <c r="P79" s="175">
        <v>1</v>
      </c>
      <c r="Q79" s="173"/>
      <c r="R79" s="173"/>
      <c r="S79" s="173"/>
      <c r="T79" s="176"/>
      <c r="U79" s="177"/>
      <c r="V79" s="173"/>
    </row>
    <row r="80" spans="1:22" ht="19.5" customHeight="1" x14ac:dyDescent="0.25">
      <c r="A80" s="175"/>
      <c r="B80" s="173"/>
      <c r="C80" s="173"/>
      <c r="D80" s="173"/>
      <c r="E80" s="179"/>
      <c r="F80" s="179"/>
      <c r="G80" s="178"/>
      <c r="J80" s="180"/>
      <c r="K80" s="181"/>
      <c r="L80" s="182"/>
      <c r="M80" s="178"/>
      <c r="P80" s="175"/>
      <c r="Q80" s="173"/>
      <c r="R80" s="173"/>
      <c r="S80" s="173"/>
      <c r="T80" s="179"/>
      <c r="U80" s="179"/>
      <c r="V80" s="173"/>
    </row>
    <row r="81" spans="1:22" ht="19.5" customHeight="1" x14ac:dyDescent="0.25">
      <c r="A81" s="175">
        <v>2</v>
      </c>
      <c r="B81" s="173"/>
      <c r="C81" s="173"/>
      <c r="D81" s="173"/>
      <c r="E81" s="183"/>
      <c r="F81" s="184"/>
      <c r="G81" s="178"/>
      <c r="J81" s="257"/>
      <c r="K81" s="248"/>
      <c r="L81" s="270"/>
      <c r="M81" s="242"/>
      <c r="P81" s="175">
        <v>2</v>
      </c>
      <c r="Q81" s="173"/>
      <c r="R81" s="173"/>
      <c r="S81" s="173"/>
      <c r="T81" s="183"/>
      <c r="U81" s="184"/>
      <c r="V81" s="173"/>
    </row>
    <row r="82" spans="1:22" ht="19.5" customHeight="1" x14ac:dyDescent="0.25">
      <c r="A82" s="175"/>
      <c r="B82" s="173"/>
      <c r="C82" s="173"/>
      <c r="D82" s="173"/>
      <c r="E82" s="183"/>
      <c r="F82" s="183"/>
      <c r="G82" s="178"/>
      <c r="J82" s="180"/>
      <c r="K82" s="181"/>
      <c r="L82" s="182"/>
      <c r="M82" s="178"/>
      <c r="P82" s="175"/>
      <c r="Q82" s="173"/>
      <c r="R82" s="173"/>
      <c r="S82" s="173"/>
      <c r="T82" s="183"/>
      <c r="U82" s="183"/>
      <c r="V82" s="173"/>
    </row>
    <row r="83" spans="1:22" ht="19.5" customHeight="1" x14ac:dyDescent="0.25">
      <c r="A83" s="175">
        <v>3</v>
      </c>
      <c r="B83" s="173"/>
      <c r="C83" s="173"/>
      <c r="D83" s="173"/>
      <c r="E83" s="183"/>
      <c r="F83" s="184"/>
      <c r="G83" s="178"/>
      <c r="J83" s="257"/>
      <c r="K83" s="248"/>
      <c r="L83" s="270"/>
      <c r="M83" s="242"/>
      <c r="P83" s="175">
        <v>3</v>
      </c>
      <c r="Q83" s="173"/>
      <c r="R83" s="173"/>
      <c r="S83" s="173"/>
      <c r="T83" s="183"/>
      <c r="U83" s="184"/>
      <c r="V83" s="173"/>
    </row>
    <row r="84" spans="1:22" ht="19.5" customHeight="1" x14ac:dyDescent="0.25">
      <c r="A84" s="175"/>
      <c r="B84" s="173"/>
      <c r="C84" s="173"/>
      <c r="D84" s="173"/>
      <c r="E84" s="183"/>
      <c r="F84" s="183"/>
      <c r="G84" s="178"/>
      <c r="J84" s="180"/>
      <c r="K84" s="181"/>
      <c r="L84" s="182"/>
      <c r="M84" s="178"/>
      <c r="P84" s="175"/>
      <c r="Q84" s="173"/>
      <c r="R84" s="173"/>
      <c r="S84" s="173"/>
      <c r="T84" s="183"/>
      <c r="U84" s="183"/>
      <c r="V84" s="173"/>
    </row>
    <row r="85" spans="1:22" ht="19.5" customHeight="1" x14ac:dyDescent="0.25">
      <c r="A85" s="175">
        <v>4</v>
      </c>
      <c r="B85" s="173"/>
      <c r="C85" s="173"/>
      <c r="D85" s="173"/>
      <c r="E85" s="183"/>
      <c r="F85" s="184"/>
      <c r="G85" s="178"/>
      <c r="J85" s="257"/>
      <c r="K85" s="248"/>
      <c r="L85" s="270"/>
      <c r="M85" s="242"/>
      <c r="P85" s="175">
        <v>4</v>
      </c>
      <c r="Q85" s="173"/>
      <c r="R85" s="173"/>
      <c r="S85" s="173"/>
      <c r="T85" s="183"/>
      <c r="U85" s="184"/>
      <c r="V85" s="173"/>
    </row>
    <row r="86" spans="1:22" ht="19.5" customHeight="1" x14ac:dyDescent="0.25">
      <c r="A86" s="175"/>
      <c r="B86" s="173"/>
      <c r="C86" s="173"/>
      <c r="D86" s="173"/>
      <c r="E86" s="185"/>
      <c r="F86" s="185"/>
      <c r="G86" s="178"/>
      <c r="J86" s="180"/>
      <c r="K86" s="181"/>
      <c r="L86" s="182"/>
      <c r="M86" s="178"/>
      <c r="P86" s="175"/>
      <c r="Q86" s="173"/>
      <c r="R86" s="173"/>
      <c r="S86" s="173"/>
      <c r="T86" s="185"/>
      <c r="U86" s="185"/>
      <c r="V86" s="173"/>
    </row>
    <row r="87" spans="1:22" ht="19.5" customHeight="1" x14ac:dyDescent="0.25">
      <c r="A87" s="175">
        <v>5</v>
      </c>
      <c r="B87" s="173"/>
      <c r="C87" s="173"/>
      <c r="D87" s="173"/>
      <c r="E87" s="183"/>
      <c r="F87" s="184"/>
      <c r="G87" s="178"/>
      <c r="J87" s="257"/>
      <c r="K87" s="248"/>
      <c r="L87" s="270"/>
      <c r="M87" s="242"/>
      <c r="P87" s="175">
        <v>5</v>
      </c>
      <c r="Q87" s="173"/>
      <c r="R87" s="173"/>
      <c r="S87" s="173"/>
      <c r="T87" s="183"/>
      <c r="U87" s="184"/>
      <c r="V87" s="173"/>
    </row>
    <row r="88" spans="1:22" ht="19.5" customHeight="1" x14ac:dyDescent="0.25">
      <c r="A88" s="175"/>
      <c r="B88" s="173"/>
      <c r="C88" s="173"/>
      <c r="D88" s="173"/>
      <c r="E88" s="186"/>
      <c r="F88" s="185"/>
      <c r="G88" s="178"/>
      <c r="J88" s="180"/>
      <c r="K88" s="181"/>
      <c r="L88" s="182"/>
      <c r="M88" s="178"/>
      <c r="P88" s="175"/>
      <c r="Q88" s="173"/>
      <c r="R88" s="173"/>
      <c r="S88" s="173"/>
      <c r="T88" s="186"/>
      <c r="U88" s="185"/>
      <c r="V88" s="173"/>
    </row>
    <row r="89" spans="1:22" ht="19.5" customHeight="1" x14ac:dyDescent="0.25">
      <c r="A89" s="187"/>
      <c r="B89" s="161"/>
      <c r="C89" s="160"/>
      <c r="D89" s="188" t="s">
        <v>205</v>
      </c>
      <c r="E89" s="189"/>
      <c r="F89" s="190"/>
      <c r="G89" s="191"/>
      <c r="J89" s="267"/>
      <c r="K89" s="268"/>
      <c r="L89" s="274"/>
      <c r="M89" s="275"/>
      <c r="P89" s="187"/>
      <c r="Q89" s="161"/>
      <c r="R89" s="160"/>
      <c r="S89" s="188" t="s">
        <v>205</v>
      </c>
      <c r="T89" s="189"/>
      <c r="U89" s="190"/>
      <c r="V89" s="191"/>
    </row>
    <row r="90" spans="1:22" ht="19.5" customHeight="1" x14ac:dyDescent="0.25">
      <c r="A90" s="192" t="s">
        <v>207</v>
      </c>
      <c r="B90" s="161"/>
      <c r="C90" s="161"/>
      <c r="D90" s="161"/>
      <c r="E90" s="161"/>
      <c r="F90" s="161"/>
      <c r="G90" s="160"/>
      <c r="J90" s="272"/>
      <c r="K90" s="262"/>
      <c r="L90" s="262"/>
      <c r="M90" s="262"/>
      <c r="P90" s="192" t="s">
        <v>207</v>
      </c>
      <c r="Q90" s="161"/>
      <c r="R90" s="161"/>
      <c r="S90" s="161"/>
      <c r="T90" s="161"/>
      <c r="U90" s="161"/>
      <c r="V90" s="160"/>
    </row>
    <row r="91" spans="1:22" ht="14.25" customHeight="1" x14ac:dyDescent="0.25">
      <c r="A91" s="193" t="s">
        <v>208</v>
      </c>
      <c r="B91" s="194"/>
      <c r="C91" s="194"/>
      <c r="D91" s="194"/>
      <c r="E91" s="194"/>
      <c r="F91" s="194"/>
      <c r="G91" s="169"/>
      <c r="H91" s="261" t="s">
        <v>209</v>
      </c>
      <c r="I91" s="262"/>
      <c r="J91" s="262"/>
      <c r="K91" s="262"/>
      <c r="L91" s="262"/>
      <c r="M91" s="262"/>
      <c r="N91" s="262"/>
      <c r="O91" s="263"/>
      <c r="P91" s="193" t="s">
        <v>208</v>
      </c>
      <c r="Q91" s="194"/>
      <c r="R91" s="194"/>
      <c r="S91" s="194"/>
      <c r="T91" s="194"/>
      <c r="U91" s="194"/>
      <c r="V91" s="169"/>
    </row>
    <row r="92" spans="1:22" ht="14.25" customHeight="1" x14ac:dyDescent="0.25">
      <c r="A92" s="195" t="s">
        <v>210</v>
      </c>
      <c r="G92" s="196"/>
      <c r="H92" s="266" t="s">
        <v>200</v>
      </c>
      <c r="I92" s="262"/>
      <c r="J92" s="262"/>
      <c r="K92" s="262"/>
      <c r="L92" s="262"/>
      <c r="M92" s="262"/>
      <c r="N92" s="262"/>
      <c r="O92" s="263"/>
      <c r="P92" s="195" t="s">
        <v>210</v>
      </c>
      <c r="V92" s="196"/>
    </row>
    <row r="93" spans="1:22" ht="14.25" customHeight="1" x14ac:dyDescent="0.25">
      <c r="A93" s="193" t="s">
        <v>208</v>
      </c>
      <c r="B93" s="194"/>
      <c r="C93" s="194"/>
      <c r="D93" s="194"/>
      <c r="E93" s="194"/>
      <c r="F93" s="194"/>
      <c r="G93" s="169"/>
      <c r="I93" s="197"/>
      <c r="J93" s="284"/>
      <c r="K93" s="285"/>
      <c r="L93" s="286"/>
      <c r="M93" s="220"/>
      <c r="N93" s="197"/>
      <c r="P93" s="193" t="s">
        <v>208</v>
      </c>
      <c r="Q93" s="194"/>
      <c r="R93" s="194"/>
      <c r="S93" s="194"/>
      <c r="T93" s="194"/>
      <c r="U93" s="194"/>
      <c r="V93" s="169"/>
    </row>
    <row r="94" spans="1:22" ht="19.5" customHeight="1" x14ac:dyDescent="0.25">
      <c r="A94" s="204"/>
      <c r="I94" s="158"/>
      <c r="J94" s="158"/>
      <c r="K94" s="158"/>
      <c r="L94" s="158"/>
      <c r="M94" s="158"/>
      <c r="N94" s="158"/>
      <c r="P94" s="157"/>
      <c r="V94" s="196"/>
    </row>
    <row r="95" spans="1:22" ht="14.25" customHeight="1" x14ac:dyDescent="0.25">
      <c r="A95" s="198"/>
      <c r="I95" s="158"/>
      <c r="J95" s="272" t="s">
        <v>211</v>
      </c>
      <c r="K95" s="262"/>
      <c r="L95" s="262"/>
      <c r="M95" s="262"/>
      <c r="N95" s="158"/>
      <c r="P95" s="157"/>
      <c r="V95" s="196"/>
    </row>
    <row r="96" spans="1:22" ht="14.25" customHeight="1" x14ac:dyDescent="0.25">
      <c r="A96" s="193"/>
      <c r="B96" s="194"/>
      <c r="C96" s="194"/>
      <c r="D96" s="194"/>
      <c r="E96" s="194"/>
      <c r="F96" s="194"/>
      <c r="G96" s="194"/>
      <c r="H96" s="194"/>
      <c r="I96" s="199"/>
      <c r="J96" s="271"/>
      <c r="K96" s="250"/>
      <c r="L96" s="250"/>
      <c r="M96" s="250"/>
      <c r="N96" s="199"/>
      <c r="O96" s="194"/>
      <c r="P96" s="200"/>
      <c r="Q96" s="194"/>
      <c r="R96" s="194"/>
      <c r="S96" s="194"/>
      <c r="T96" s="194"/>
      <c r="U96" s="194"/>
      <c r="V96" s="169"/>
    </row>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algorithmName="SHA-512" hashValue="UaA1U0/o+nkLvJAWLHLQz9tqqd3TvThh1bCaP04GP82mEqH6sdT/kEyaShY8HaE7SRQ2V69ifOgrpwgjNgCurQ==" saltValue="P/Yil9mPrJB8yI82NobBug==" spinCount="100000" sheet="1" objects="1" scenarios="1" selectLockedCells="1"/>
  <mergeCells count="148">
    <mergeCell ref="J96:M96"/>
    <mergeCell ref="C5:G5"/>
    <mergeCell ref="Q78:S78"/>
    <mergeCell ref="J59:K59"/>
    <mergeCell ref="H4:O4"/>
    <mergeCell ref="P50:Q52"/>
    <mergeCell ref="H44:O44"/>
    <mergeCell ref="L79:M79"/>
    <mergeCell ref="J21:K21"/>
    <mergeCell ref="L21:M21"/>
    <mergeCell ref="L81:M81"/>
    <mergeCell ref="S27:U27"/>
    <mergeCell ref="J95:M95"/>
    <mergeCell ref="I26:N26"/>
    <mergeCell ref="J90:M90"/>
    <mergeCell ref="J93:K93"/>
    <mergeCell ref="L93:M93"/>
    <mergeCell ref="J83:K83"/>
    <mergeCell ref="L83:M83"/>
    <mergeCell ref="J85:K85"/>
    <mergeCell ref="L85:M85"/>
    <mergeCell ref="R29:V29"/>
    <mergeCell ref="B78:D78"/>
    <mergeCell ref="J48:M48"/>
    <mergeCell ref="R2:U2"/>
    <mergeCell ref="D75:F75"/>
    <mergeCell ref="J18:M18"/>
    <mergeCell ref="J9:K9"/>
    <mergeCell ref="Q6:S6"/>
    <mergeCell ref="J42:M42"/>
    <mergeCell ref="C29:G29"/>
    <mergeCell ref="R52:U52"/>
    <mergeCell ref="H51:O51"/>
    <mergeCell ref="B30:D30"/>
    <mergeCell ref="J45:K45"/>
    <mergeCell ref="L39:M39"/>
    <mergeCell ref="L45:M45"/>
    <mergeCell ref="J5:M5"/>
    <mergeCell ref="B6:D6"/>
    <mergeCell ref="R28:U28"/>
    <mergeCell ref="C26:F26"/>
    <mergeCell ref="J31:K31"/>
    <mergeCell ref="J53:M53"/>
    <mergeCell ref="L31:M31"/>
    <mergeCell ref="C50:F50"/>
    <mergeCell ref="B54:D54"/>
    <mergeCell ref="H27:O27"/>
    <mergeCell ref="A2:B4"/>
    <mergeCell ref="S3:U3"/>
    <mergeCell ref="L65:M65"/>
    <mergeCell ref="C2:F2"/>
    <mergeCell ref="C77:G77"/>
    <mergeCell ref="L7:M7"/>
    <mergeCell ref="D27:F27"/>
    <mergeCell ref="H67:O67"/>
    <mergeCell ref="J47:M47"/>
    <mergeCell ref="J57:K57"/>
    <mergeCell ref="L57:M57"/>
    <mergeCell ref="P26:Q28"/>
    <mergeCell ref="C28:F28"/>
    <mergeCell ref="J71:M71"/>
    <mergeCell ref="J23:M23"/>
    <mergeCell ref="D3:F3"/>
    <mergeCell ref="H52:O52"/>
    <mergeCell ref="L30:M30"/>
    <mergeCell ref="J11:K11"/>
    <mergeCell ref="C4:F4"/>
    <mergeCell ref="J77:M77"/>
    <mergeCell ref="R5:V5"/>
    <mergeCell ref="P2:Q4"/>
    <mergeCell ref="R4:U4"/>
    <mergeCell ref="H3:O3"/>
    <mergeCell ref="A26:B28"/>
    <mergeCell ref="L69:M69"/>
    <mergeCell ref="R53:V53"/>
    <mergeCell ref="L59:M59"/>
    <mergeCell ref="L6:M6"/>
    <mergeCell ref="R77:V77"/>
    <mergeCell ref="H76:O76"/>
    <mergeCell ref="J61:K61"/>
    <mergeCell ref="L61:M61"/>
    <mergeCell ref="C76:F76"/>
    <mergeCell ref="J24:M24"/>
    <mergeCell ref="H28:O28"/>
    <mergeCell ref="L9:M9"/>
    <mergeCell ref="L11:M11"/>
    <mergeCell ref="J13:K13"/>
    <mergeCell ref="L13:M13"/>
    <mergeCell ref="A50:B52"/>
    <mergeCell ref="A74:B76"/>
    <mergeCell ref="C74:F74"/>
    <mergeCell ref="S51:U51"/>
    <mergeCell ref="H75:O75"/>
    <mergeCell ref="L17:M17"/>
    <mergeCell ref="C52:F52"/>
    <mergeCell ref="H20:O20"/>
    <mergeCell ref="S75:U75"/>
    <mergeCell ref="R74:U74"/>
    <mergeCell ref="Q54:S54"/>
    <mergeCell ref="R76:U76"/>
    <mergeCell ref="P74:Q76"/>
    <mergeCell ref="J39:K39"/>
    <mergeCell ref="J66:M66"/>
    <mergeCell ref="H43:O43"/>
    <mergeCell ref="J37:K37"/>
    <mergeCell ref="L37:M37"/>
    <mergeCell ref="J69:K69"/>
    <mergeCell ref="L54:M54"/>
    <mergeCell ref="J41:K41"/>
    <mergeCell ref="J63:K63"/>
    <mergeCell ref="L63:M63"/>
    <mergeCell ref="L41:M41"/>
    <mergeCell ref="R26:U26"/>
    <mergeCell ref="J33:K33"/>
    <mergeCell ref="C53:G53"/>
    <mergeCell ref="H92:O92"/>
    <mergeCell ref="R50:U50"/>
    <mergeCell ref="J17:K17"/>
    <mergeCell ref="J78:K78"/>
    <mergeCell ref="L78:M78"/>
    <mergeCell ref="J87:K87"/>
    <mergeCell ref="J30:K30"/>
    <mergeCell ref="L87:M87"/>
    <mergeCell ref="H68:O68"/>
    <mergeCell ref="J72:M72"/>
    <mergeCell ref="J29:M29"/>
    <mergeCell ref="J55:K55"/>
    <mergeCell ref="L55:M55"/>
    <mergeCell ref="J89:K89"/>
    <mergeCell ref="L33:M33"/>
    <mergeCell ref="Q30:S30"/>
    <mergeCell ref="L89:M89"/>
    <mergeCell ref="J65:K65"/>
    <mergeCell ref="D51:F51"/>
    <mergeCell ref="J35:K35"/>
    <mergeCell ref="L35:M35"/>
    <mergeCell ref="J79:K79"/>
    <mergeCell ref="J54:K54"/>
    <mergeCell ref="I50:N50"/>
    <mergeCell ref="J7:K7"/>
    <mergeCell ref="I74:N74"/>
    <mergeCell ref="H19:O19"/>
    <mergeCell ref="H91:O91"/>
    <mergeCell ref="J81:K81"/>
    <mergeCell ref="I2:N2"/>
    <mergeCell ref="J6:K6"/>
    <mergeCell ref="J15:K15"/>
    <mergeCell ref="L15:M15"/>
  </mergeCells>
  <dataValidations count="1">
    <dataValidation type="list" allowBlank="1" showInputMessage="1" showErrorMessage="1" sqref="Y2" xr:uid="{00000000-0002-0000-0600-000000000000}">
      <formula1>"1,2,3,4,5,6,7"</formula1>
      <formula2>0</formula2>
    </dataValidation>
  </dataValidations>
  <printOptions horizontalCentered="1" verticalCentered="1"/>
  <pageMargins left="0.23611111111111099" right="0.35416666666666702" top="0.15763888888888899" bottom="0.15763888888888899" header="0.511811023622047" footer="0.511811023622047"/>
  <pageSetup paperSize="9" orientation="portrait" horizontalDpi="300" verticalDpi="300"/>
  <rowBreaks count="1" manualBreakCount="1">
    <brk id="48" max="16383" man="1"/>
  </rowBreak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heetPr>
  <dimension ref="A1:AI1000"/>
  <sheetViews>
    <sheetView zoomScale="110" zoomScaleNormal="110" workbookViewId="0">
      <selection activeCell="Y2" sqref="Y2"/>
    </sheetView>
  </sheetViews>
  <sheetFormatPr defaultColWidth="14.42578125" defaultRowHeight="15" customHeight="1" x14ac:dyDescent="0.25"/>
  <cols>
    <col min="1" max="1" width="4.28515625" style="156" customWidth="1"/>
    <col min="2" max="6" width="6.28515625" style="156" customWidth="1"/>
    <col min="7" max="7" width="0.140625" style="156" customWidth="1"/>
    <col min="8" max="9" width="2.42578125" style="156" customWidth="1"/>
    <col min="10" max="13" width="3.7109375" style="156" customWidth="1"/>
    <col min="14" max="15" width="2.42578125" style="156" customWidth="1"/>
    <col min="16" max="16" width="4.28515625" style="156" customWidth="1"/>
    <col min="17" max="21" width="6.28515625" style="156" customWidth="1"/>
    <col min="22" max="22" width="0.140625" style="156" customWidth="1"/>
    <col min="23" max="23" width="8.85546875" style="156" customWidth="1"/>
    <col min="24" max="24" width="13.7109375" style="156" customWidth="1"/>
    <col min="25" max="25" width="4.5703125" style="156" customWidth="1"/>
    <col min="26" max="27" width="7.7109375" style="156" hidden="1" customWidth="1"/>
    <col min="28" max="29" width="10.42578125" style="156" hidden="1" customWidth="1"/>
    <col min="30" max="30" width="8.7109375" style="156" hidden="1" customWidth="1"/>
    <col min="31" max="31" width="7" style="156" hidden="1" customWidth="1"/>
    <col min="32" max="32" width="7.42578125" style="156" hidden="1" customWidth="1"/>
    <col min="33" max="33" width="7" style="156" hidden="1" customWidth="1"/>
    <col min="34" max="34" width="7.42578125" style="156" hidden="1" customWidth="1"/>
    <col min="35" max="35" width="7" style="156" hidden="1" customWidth="1"/>
    <col min="36" max="36" width="14.42578125" style="156" customWidth="1"/>
    <col min="37" max="16384" width="14.42578125" style="156"/>
  </cols>
  <sheetData>
    <row r="1" spans="1:35" ht="14.25" customHeight="1" x14ac:dyDescent="0.25">
      <c r="V1" s="194"/>
    </row>
    <row r="2" spans="1:35" ht="15.75" customHeight="1" x14ac:dyDescent="0.25">
      <c r="A2" s="295"/>
      <c r="B2" s="280"/>
      <c r="C2" s="264" t="str">
        <f>VLOOKUP(Z2,AA11:AI18,2,FALSE())</f>
        <v>Baan 1</v>
      </c>
      <c r="D2" s="247"/>
      <c r="E2" s="247"/>
      <c r="F2" s="247"/>
      <c r="G2" s="160"/>
      <c r="H2" s="161"/>
      <c r="I2" s="259" t="str">
        <f>Z2</f>
        <v>Ronde 1</v>
      </c>
      <c r="J2" s="260"/>
      <c r="K2" s="260"/>
      <c r="L2" s="260"/>
      <c r="M2" s="260"/>
      <c r="N2" s="260"/>
      <c r="O2" s="161"/>
      <c r="P2" s="295"/>
      <c r="Q2" s="280"/>
      <c r="R2" s="264" t="str">
        <f>VLOOKUP(Z2,AA11:AI18,3,FALSE())</f>
        <v>Baan 2</v>
      </c>
      <c r="S2" s="247"/>
      <c r="T2" s="247"/>
      <c r="U2" s="247"/>
      <c r="V2" s="160"/>
      <c r="X2" s="162" t="s">
        <v>197</v>
      </c>
      <c r="Y2" s="163">
        <v>1</v>
      </c>
      <c r="Z2" s="156" t="str">
        <f>CONCATENATE("Ronde"," ",Y2)</f>
        <v>Ronde 1</v>
      </c>
      <c r="AA2" s="156" t="s">
        <v>161</v>
      </c>
      <c r="AB2" s="164">
        <f>VLOOKUP(AB11,Deelnemers!A:D,2,FALSE())</f>
        <v>0</v>
      </c>
      <c r="AC2" s="164">
        <f>VLOOKUP(AC11,Deelnemers!A:D,2,FALSE())</f>
        <v>0</v>
      </c>
      <c r="AD2" s="165">
        <f>IF(AD11="","",VLOOKUP(AD11,Deelnemers!A:D,2,FALSE()))</f>
        <v>0</v>
      </c>
      <c r="AE2" s="165">
        <f>IF(AE11="","",VLOOKUP(AE11,Deelnemers!A:D,2,FALSE()))</f>
        <v>0</v>
      </c>
      <c r="AF2" s="166">
        <f>IF(AF11="","",VLOOKUP(AF11,Deelnemers!A:D,2,FALSE()))</f>
        <v>0</v>
      </c>
      <c r="AG2" s="166">
        <f>IF(AG11="","",VLOOKUP(AG11,Deelnemers!A:D,2,FALSE()))</f>
        <v>0</v>
      </c>
      <c r="AH2" s="167">
        <f>IF(AH11="","",VLOOKUP(AH11,Deelnemers!A:D,2,FALSE()))</f>
        <v>0</v>
      </c>
      <c r="AI2" s="167">
        <f>IF(AI11="","",VLOOKUP(AI11,Deelnemers!A:D,2,FALSE()))</f>
        <v>0</v>
      </c>
    </row>
    <row r="3" spans="1:35" ht="15.75" customHeight="1" x14ac:dyDescent="0.25">
      <c r="A3" s="281"/>
      <c r="B3" s="263"/>
      <c r="C3" s="168" t="s">
        <v>198</v>
      </c>
      <c r="D3" s="300" t="str">
        <f>Deelnemers!$B$4</f>
        <v>2026-04-11</v>
      </c>
      <c r="E3" s="260"/>
      <c r="F3" s="260"/>
      <c r="G3" s="160"/>
      <c r="H3" s="289" t="s">
        <v>199</v>
      </c>
      <c r="I3" s="262"/>
      <c r="J3" s="262"/>
      <c r="K3" s="262"/>
      <c r="L3" s="262"/>
      <c r="M3" s="262"/>
      <c r="N3" s="262"/>
      <c r="O3" s="263"/>
      <c r="P3" s="281"/>
      <c r="Q3" s="263"/>
      <c r="R3" s="168" t="s">
        <v>198</v>
      </c>
      <c r="S3" s="300" t="str">
        <f>Deelnemers!$B$4</f>
        <v>2026-04-11</v>
      </c>
      <c r="T3" s="260"/>
      <c r="U3" s="260"/>
      <c r="V3" s="160"/>
      <c r="AA3" s="156" t="s">
        <v>172</v>
      </c>
      <c r="AB3" s="164">
        <f>VLOOKUP(AB12,Deelnemers!A:D,2,FALSE())</f>
        <v>0</v>
      </c>
      <c r="AC3" s="164">
        <f>VLOOKUP(AC12,Deelnemers!A:D,2,FALSE())</f>
        <v>0</v>
      </c>
      <c r="AD3" s="165">
        <f>IF(AD12="","",VLOOKUP(AD12,Deelnemers!A:D,2,FALSE()))</f>
        <v>0</v>
      </c>
      <c r="AE3" s="165">
        <f>IF(AE12="","",VLOOKUP(AE12,Deelnemers!A:D,2,FALSE()))</f>
        <v>0</v>
      </c>
      <c r="AF3" s="166">
        <f>IF(AF12="","",VLOOKUP(AF12,Deelnemers!A:D,2,FALSE()))</f>
        <v>0</v>
      </c>
      <c r="AG3" s="166">
        <f>IF(AG12="","",VLOOKUP(AG12,Deelnemers!A:D,2,FALSE()))</f>
        <v>0</v>
      </c>
      <c r="AH3" s="167">
        <f>IF(AH12="","",VLOOKUP(AH12,Deelnemers!A:D,2,FALSE()))</f>
        <v>0</v>
      </c>
      <c r="AI3" s="167">
        <f>IF(AI12="","",VLOOKUP(AI12,Deelnemers!A:D,2,FALSE()))</f>
        <v>0</v>
      </c>
    </row>
    <row r="4" spans="1:35" ht="15.75" customHeight="1" x14ac:dyDescent="0.25">
      <c r="A4" s="282"/>
      <c r="B4" s="283"/>
      <c r="C4" s="294" t="s">
        <v>212</v>
      </c>
      <c r="D4" s="250"/>
      <c r="E4" s="250"/>
      <c r="F4" s="250"/>
      <c r="G4" s="169"/>
      <c r="H4" s="288" t="s">
        <v>200</v>
      </c>
      <c r="I4" s="262"/>
      <c r="J4" s="262"/>
      <c r="K4" s="262"/>
      <c r="L4" s="262"/>
      <c r="M4" s="262"/>
      <c r="N4" s="262"/>
      <c r="O4" s="263"/>
      <c r="P4" s="282"/>
      <c r="Q4" s="283"/>
      <c r="R4" s="294" t="s">
        <v>212</v>
      </c>
      <c r="S4" s="250"/>
      <c r="T4" s="250"/>
      <c r="U4" s="250"/>
      <c r="V4" s="169"/>
      <c r="AA4" s="156" t="s">
        <v>174</v>
      </c>
      <c r="AB4" s="164">
        <f>VLOOKUP(AB13,Deelnemers!A:D,2,FALSE())</f>
        <v>0</v>
      </c>
      <c r="AC4" s="164">
        <f>VLOOKUP(AC13,Deelnemers!A:D,2,FALSE())</f>
        <v>0</v>
      </c>
      <c r="AD4" s="165">
        <f>IF(AD13="","",VLOOKUP(AD13,Deelnemers!A:D,2,FALSE()))</f>
        <v>0</v>
      </c>
      <c r="AE4" s="165">
        <f>IF(AE13="","",VLOOKUP(AE13,Deelnemers!A:D,2,FALSE()))</f>
        <v>0</v>
      </c>
      <c r="AF4" s="166">
        <f>IF(AF13="","",VLOOKUP(AF13,Deelnemers!A:D,2,FALSE()))</f>
        <v>0</v>
      </c>
      <c r="AG4" s="166">
        <f>IF(AG13="","",VLOOKUP(AG13,Deelnemers!A:D,2,FALSE()))</f>
        <v>0</v>
      </c>
      <c r="AH4" s="167">
        <f>IF(AH13="","",VLOOKUP(AH13,Deelnemers!A:D,2,FALSE()))</f>
        <v>0</v>
      </c>
      <c r="AI4" s="167">
        <f>IF(AI13="","",VLOOKUP(AI13,Deelnemers!A:D,2,FALSE()))</f>
        <v>0</v>
      </c>
    </row>
    <row r="5" spans="1:35" ht="14.25" customHeight="1" x14ac:dyDescent="0.25">
      <c r="A5" s="170" t="s">
        <v>201</v>
      </c>
      <c r="B5" s="265">
        <f>VLOOKUP(Z2,AA2:AI8,2,FALSE())</f>
        <v>0</v>
      </c>
      <c r="C5" s="247"/>
      <c r="D5" s="247"/>
      <c r="E5" s="247"/>
      <c r="F5" s="247"/>
      <c r="G5" s="247"/>
      <c r="J5" s="272" t="s">
        <v>202</v>
      </c>
      <c r="K5" s="262"/>
      <c r="L5" s="262"/>
      <c r="M5" s="262"/>
      <c r="P5" s="170" t="s">
        <v>201</v>
      </c>
      <c r="Q5" s="287">
        <f>VLOOKUP(Z2,AA2:AI8,3,FALSE())</f>
        <v>0</v>
      </c>
      <c r="R5" s="247"/>
      <c r="S5" s="247"/>
      <c r="T5" s="247"/>
      <c r="U5" s="247"/>
      <c r="V5" s="242"/>
      <c r="AA5" s="156" t="s">
        <v>179</v>
      </c>
      <c r="AB5" s="164">
        <f>VLOOKUP(AB14,Deelnemers!A:D,2,FALSE())</f>
        <v>0</v>
      </c>
      <c r="AC5" s="164">
        <f>VLOOKUP(AC14,Deelnemers!A:D,2,FALSE())</f>
        <v>0</v>
      </c>
      <c r="AD5" s="165">
        <f>IF(AD14="","",VLOOKUP(AD14,Deelnemers!A:D,2,FALSE()))</f>
        <v>0</v>
      </c>
      <c r="AE5" s="165">
        <f>IF(AE14="","",VLOOKUP(AE14,Deelnemers!A:D,2,FALSE()))</f>
        <v>0</v>
      </c>
      <c r="AF5" s="166">
        <f>IF(AF14="","",VLOOKUP(AF14,Deelnemers!A:D,2,FALSE()))</f>
        <v>0</v>
      </c>
      <c r="AG5" s="166">
        <f>IF(AG14="","",VLOOKUP(AG14,Deelnemers!A:D,2,FALSE()))</f>
        <v>0</v>
      </c>
      <c r="AH5" s="167">
        <f>IF(AH14="","",VLOOKUP(AH14,Deelnemers!A:D,2,FALSE()))</f>
        <v>0</v>
      </c>
      <c r="AI5" s="167">
        <f>IF(AI14="","",VLOOKUP(AI14,Deelnemers!A:D,2,FALSE()))</f>
        <v>0</v>
      </c>
    </row>
    <row r="6" spans="1:35" ht="14.25" customHeight="1" x14ac:dyDescent="0.25">
      <c r="A6" s="170" t="s">
        <v>203</v>
      </c>
      <c r="B6" s="298" t="e">
        <f>IF(B5="","",VLOOKUP(B5,Deelnemers!B8:C46,2,FALSE()))</f>
        <v>#N/A</v>
      </c>
      <c r="C6" s="247"/>
      <c r="D6" s="242"/>
      <c r="E6" s="172" t="s">
        <v>204</v>
      </c>
      <c r="F6" s="172" t="s">
        <v>205</v>
      </c>
      <c r="G6" s="173"/>
      <c r="J6" s="258" t="s">
        <v>206</v>
      </c>
      <c r="K6" s="248"/>
      <c r="L6" s="269" t="s">
        <v>206</v>
      </c>
      <c r="M6" s="242"/>
      <c r="P6" s="170" t="s">
        <v>203</v>
      </c>
      <c r="Q6" s="298" t="e">
        <f>IF(Q5="","",VLOOKUP(Q5,Deelnemers!B8:C46,2,FALSE()))</f>
        <v>#N/A</v>
      </c>
      <c r="R6" s="247"/>
      <c r="S6" s="242"/>
      <c r="T6" s="174" t="s">
        <v>204</v>
      </c>
      <c r="U6" s="174" t="s">
        <v>205</v>
      </c>
      <c r="V6" s="173"/>
      <c r="AA6" s="156" t="s">
        <v>180</v>
      </c>
      <c r="AB6" s="164">
        <f>IF(AB15="","",VLOOKUP(AB15,Deelnemers!A:D,2,FALSE()))</f>
        <v>0</v>
      </c>
      <c r="AC6" s="164">
        <f>IF(AC15="","",VLOOKUP(AC15,Deelnemers!A:D,2,FALSE()))</f>
        <v>0</v>
      </c>
      <c r="AD6" s="165">
        <f>IF(AD15="","",VLOOKUP(AD15,Deelnemers!A:D,2,FALSE()))</f>
        <v>0</v>
      </c>
      <c r="AE6" s="165">
        <f>IF(AE15="","",VLOOKUP(AE15,Deelnemers!A:D,2,FALSE()))</f>
        <v>0</v>
      </c>
      <c r="AF6" s="166">
        <f>IF(AF15="","",VLOOKUP(AF15,Deelnemers!A:D,2,FALSE()))</f>
        <v>0</v>
      </c>
      <c r="AG6" s="166">
        <f>IF(AG15="","",VLOOKUP(AG15,Deelnemers!A:D,2,FALSE()))</f>
        <v>0</v>
      </c>
      <c r="AH6" s="167">
        <f>IF(AH15="","",VLOOKUP(AH15,Deelnemers!A:D,2,FALSE()))</f>
        <v>0</v>
      </c>
      <c r="AI6" s="167">
        <f>IF(AI15="","",VLOOKUP(AI15,Deelnemers!A:D,2,FALSE()))</f>
        <v>0</v>
      </c>
    </row>
    <row r="7" spans="1:35" ht="19.5" customHeight="1" x14ac:dyDescent="0.25">
      <c r="A7" s="175">
        <v>1</v>
      </c>
      <c r="B7" s="173"/>
      <c r="C7" s="173"/>
      <c r="D7" s="207"/>
      <c r="E7" s="176"/>
      <c r="F7" s="176"/>
      <c r="G7" s="178"/>
      <c r="J7" s="257"/>
      <c r="K7" s="248"/>
      <c r="L7" s="270"/>
      <c r="M7" s="242"/>
      <c r="P7" s="175">
        <v>1</v>
      </c>
      <c r="Q7" s="173"/>
      <c r="R7" s="173"/>
      <c r="S7" s="173"/>
      <c r="T7" s="176"/>
      <c r="U7" s="176"/>
      <c r="V7" s="173"/>
      <c r="AA7" s="156" t="s">
        <v>181</v>
      </c>
      <c r="AB7" s="164">
        <f>IF(AB16="","",VLOOKUP(AB16,Deelnemers!A:D,2,FALSE()))</f>
        <v>0</v>
      </c>
      <c r="AC7" s="164">
        <f>IF(AC16="","",VLOOKUP(AC16,Deelnemers!A:D,2,FALSE()))</f>
        <v>0</v>
      </c>
      <c r="AD7" s="165">
        <f>IF(AD16="","",VLOOKUP(AD16,Deelnemers!A:D,2,FALSE()))</f>
        <v>0</v>
      </c>
      <c r="AE7" s="165">
        <f>IF(AE16="","",VLOOKUP(AE16,Deelnemers!A:D,2,FALSE()))</f>
        <v>0</v>
      </c>
      <c r="AF7" s="166">
        <f>IF(AF16="","",VLOOKUP(AF16,Deelnemers!A:D,2,FALSE()))</f>
        <v>0</v>
      </c>
      <c r="AG7" s="166">
        <f>IF(AG16="","",VLOOKUP(AG16,Deelnemers!A:D,2,FALSE()))</f>
        <v>0</v>
      </c>
      <c r="AH7" s="167">
        <f>IF(AH16="","",VLOOKUP(AH16,Deelnemers!A:D,2,FALSE()))</f>
        <v>0</v>
      </c>
      <c r="AI7" s="167">
        <f>IF(AI16="","",VLOOKUP(AI16,Deelnemers!A:D,2,FALSE()))</f>
        <v>0</v>
      </c>
    </row>
    <row r="8" spans="1:35" ht="19.5" customHeight="1" x14ac:dyDescent="0.25">
      <c r="A8" s="175">
        <v>2</v>
      </c>
      <c r="B8" s="173"/>
      <c r="C8" s="173"/>
      <c r="D8" s="207"/>
      <c r="E8" s="183"/>
      <c r="F8" s="183"/>
      <c r="G8" s="178"/>
      <c r="J8" s="257"/>
      <c r="K8" s="248"/>
      <c r="L8" s="270"/>
      <c r="M8" s="242"/>
      <c r="P8" s="175">
        <v>2</v>
      </c>
      <c r="Q8" s="173"/>
      <c r="R8" s="173"/>
      <c r="S8" s="173"/>
      <c r="T8" s="183"/>
      <c r="U8" s="183"/>
      <c r="V8" s="173"/>
      <c r="AA8" s="156" t="s">
        <v>182</v>
      </c>
      <c r="AB8" s="164">
        <f>IF(AB17="","",VLOOKUP(AB17,Deelnemers!A:D,2,FALSE()))</f>
        <v>0</v>
      </c>
      <c r="AC8" s="164">
        <f>IF(AC17="","",VLOOKUP(AC17,Deelnemers!A:D,2,FALSE()))</f>
        <v>0</v>
      </c>
      <c r="AD8" s="165">
        <f>IF(AD17="","",VLOOKUP(AD17,Deelnemers!A:D,2,FALSE()))</f>
        <v>0</v>
      </c>
      <c r="AE8" s="165">
        <f>IF(AE17="","",VLOOKUP(AE17,Deelnemers!A:D,2,FALSE()))</f>
        <v>0</v>
      </c>
      <c r="AF8" s="166">
        <f>IF(AF17="","",VLOOKUP(AF17,Deelnemers!A:D,2,FALSE()))</f>
        <v>0</v>
      </c>
      <c r="AG8" s="166">
        <f>IF(AG17="","",VLOOKUP(AG17,Deelnemers!A:D,2,FALSE()))</f>
        <v>0</v>
      </c>
      <c r="AH8" s="167">
        <f>IF(AH17="","",VLOOKUP(AH17,Deelnemers!A:D,2,FALSE()))</f>
        <v>0</v>
      </c>
      <c r="AI8" s="167">
        <f>IF(AI17="","",VLOOKUP(AI17,Deelnemers!A:D,2,FALSE()))</f>
        <v>0</v>
      </c>
    </row>
    <row r="9" spans="1:35" ht="19.5" customHeight="1" x14ac:dyDescent="0.25">
      <c r="A9" s="175">
        <v>3</v>
      </c>
      <c r="B9" s="173"/>
      <c r="C9" s="173"/>
      <c r="D9" s="207"/>
      <c r="E9" s="183"/>
      <c r="F9" s="183"/>
      <c r="G9" s="178"/>
      <c r="J9" s="257"/>
      <c r="K9" s="248"/>
      <c r="L9" s="270"/>
      <c r="M9" s="242"/>
      <c r="P9" s="175">
        <v>3</v>
      </c>
      <c r="Q9" s="173"/>
      <c r="R9" s="173"/>
      <c r="S9" s="173"/>
      <c r="T9" s="183"/>
      <c r="U9" s="183"/>
      <c r="V9" s="173"/>
    </row>
    <row r="10" spans="1:35" ht="19.5" customHeight="1" x14ac:dyDescent="0.25">
      <c r="A10" s="175">
        <v>4</v>
      </c>
      <c r="B10" s="173"/>
      <c r="C10" s="173"/>
      <c r="D10" s="207"/>
      <c r="E10" s="183"/>
      <c r="F10" s="183"/>
      <c r="G10" s="178"/>
      <c r="J10" s="257"/>
      <c r="K10" s="248"/>
      <c r="L10" s="270"/>
      <c r="M10" s="242"/>
      <c r="P10" s="175">
        <v>4</v>
      </c>
      <c r="Q10" s="173"/>
      <c r="R10" s="173"/>
      <c r="S10" s="173"/>
      <c r="T10" s="183"/>
      <c r="U10" s="183"/>
      <c r="V10" s="173"/>
    </row>
    <row r="11" spans="1:35" ht="19.5" customHeight="1" x14ac:dyDescent="0.25">
      <c r="A11" s="175">
        <v>5</v>
      </c>
      <c r="B11" s="173"/>
      <c r="C11" s="173"/>
      <c r="D11" s="207"/>
      <c r="E11" s="186"/>
      <c r="F11" s="186"/>
      <c r="G11" s="178"/>
      <c r="J11" s="257"/>
      <c r="K11" s="248"/>
      <c r="L11" s="270"/>
      <c r="M11" s="242"/>
      <c r="P11" s="175">
        <v>5</v>
      </c>
      <c r="Q11" s="173"/>
      <c r="R11" s="173"/>
      <c r="S11" s="173"/>
      <c r="T11" s="186"/>
      <c r="U11" s="186"/>
      <c r="V11" s="173"/>
      <c r="AA11" s="156" t="s">
        <v>161</v>
      </c>
      <c r="AB11" s="164" t="str">
        <f>Wedstrijdschema!L3</f>
        <v>Baan 1</v>
      </c>
      <c r="AC11" s="164" t="str">
        <f>Wedstrijdschema!M3</f>
        <v>Baan 2</v>
      </c>
      <c r="AD11" s="165" t="str">
        <f>Wedstrijdschema!N3</f>
        <v>Baan 3</v>
      </c>
      <c r="AE11" s="165" t="str">
        <f>Wedstrijdschema!O3</f>
        <v>Baan 4</v>
      </c>
      <c r="AF11" s="166" t="str">
        <f>Wedstrijdschema!P3</f>
        <v>Baan 5</v>
      </c>
      <c r="AG11" s="166" t="str">
        <f>Wedstrijdschema!Q3</f>
        <v>Baan 6</v>
      </c>
      <c r="AH11" s="167" t="str">
        <f>Wedstrijdschema!R3</f>
        <v>Baan 7</v>
      </c>
      <c r="AI11" s="167" t="str">
        <f>Wedstrijdschema!S3</f>
        <v>Baan 8</v>
      </c>
    </row>
    <row r="12" spans="1:35" ht="19.5" customHeight="1" x14ac:dyDescent="0.25">
      <c r="A12" s="187"/>
      <c r="B12" s="160"/>
      <c r="C12" s="160"/>
      <c r="D12" s="188" t="s">
        <v>205</v>
      </c>
      <c r="E12" s="189"/>
      <c r="F12" s="190"/>
      <c r="G12" s="160"/>
      <c r="J12" s="267"/>
      <c r="K12" s="268"/>
      <c r="L12" s="274"/>
      <c r="M12" s="275"/>
      <c r="P12" s="187"/>
      <c r="Q12" s="160"/>
      <c r="R12" s="160"/>
      <c r="S12" s="188" t="s">
        <v>205</v>
      </c>
      <c r="T12" s="189"/>
      <c r="U12" s="190"/>
      <c r="V12" s="191"/>
      <c r="AA12" s="156" t="s">
        <v>172</v>
      </c>
      <c r="AB12" s="164" t="str">
        <f>Wedstrijdschema!L4</f>
        <v>Baan 1</v>
      </c>
      <c r="AC12" s="164" t="str">
        <f>Wedstrijdschema!M4</f>
        <v>Baan 3</v>
      </c>
      <c r="AD12" s="165" t="str">
        <f>Wedstrijdschema!N4</f>
        <v>Baan 2</v>
      </c>
      <c r="AE12" s="165" t="str">
        <f>Wedstrijdschema!O4</f>
        <v>Baan 5</v>
      </c>
      <c r="AF12" s="166" t="str">
        <f>Wedstrijdschema!P4</f>
        <v>Baan 4</v>
      </c>
      <c r="AG12" s="166" t="str">
        <f>Wedstrijdschema!Q4</f>
        <v>Baan 7</v>
      </c>
      <c r="AH12" s="167" t="str">
        <f>Wedstrijdschema!R4</f>
        <v>Baan 6</v>
      </c>
      <c r="AI12" s="167" t="str">
        <f>Wedstrijdschema!S4</f>
        <v>Baan 8</v>
      </c>
    </row>
    <row r="13" spans="1:35" ht="14.25" customHeight="1" x14ac:dyDescent="0.25">
      <c r="A13" s="192" t="s">
        <v>207</v>
      </c>
      <c r="B13" s="161"/>
      <c r="C13" s="161"/>
      <c r="D13" s="161"/>
      <c r="E13" s="161"/>
      <c r="G13" s="160"/>
      <c r="J13" s="272"/>
      <c r="K13" s="262"/>
      <c r="L13" s="262"/>
      <c r="M13" s="262"/>
      <c r="P13" s="192" t="s">
        <v>207</v>
      </c>
      <c r="Q13" s="161"/>
      <c r="R13" s="161"/>
      <c r="S13" s="161"/>
      <c r="T13" s="161"/>
      <c r="U13" s="161"/>
      <c r="V13" s="160"/>
      <c r="AA13" s="156" t="s">
        <v>174</v>
      </c>
      <c r="AB13" s="164" t="str">
        <f>Wedstrijdschema!L5</f>
        <v>Baan 1</v>
      </c>
      <c r="AC13" s="164" t="str">
        <f>Wedstrijdschema!M5</f>
        <v>Baan 4</v>
      </c>
      <c r="AD13" s="165" t="str">
        <f>Wedstrijdschema!N5</f>
        <v>Baan 2</v>
      </c>
      <c r="AE13" s="165" t="str">
        <f>Wedstrijdschema!O5</f>
        <v>Baan 6</v>
      </c>
      <c r="AF13" s="166" t="str">
        <f>Wedstrijdschema!P5</f>
        <v>Baan 3</v>
      </c>
      <c r="AG13" s="166" t="str">
        <f>Wedstrijdschema!Q5</f>
        <v>Baan 8</v>
      </c>
      <c r="AH13" s="167" t="str">
        <f>Wedstrijdschema!R5</f>
        <v>Baan 5</v>
      </c>
      <c r="AI13" s="167" t="str">
        <f>Wedstrijdschema!S5</f>
        <v>Baan 7</v>
      </c>
    </row>
    <row r="14" spans="1:35" ht="14.25" customHeight="1" x14ac:dyDescent="0.25">
      <c r="A14" s="193" t="s">
        <v>208</v>
      </c>
      <c r="B14" s="194"/>
      <c r="C14" s="194"/>
      <c r="D14" s="194"/>
      <c r="E14" s="194"/>
      <c r="F14" s="194"/>
      <c r="G14" s="169"/>
      <c r="H14" s="261" t="s">
        <v>209</v>
      </c>
      <c r="I14" s="262"/>
      <c r="J14" s="262"/>
      <c r="K14" s="262"/>
      <c r="L14" s="262"/>
      <c r="M14" s="262"/>
      <c r="N14" s="262"/>
      <c r="O14" s="263"/>
      <c r="P14" s="193" t="s">
        <v>208</v>
      </c>
      <c r="Q14" s="194"/>
      <c r="R14" s="194"/>
      <c r="S14" s="194"/>
      <c r="T14" s="194"/>
      <c r="U14" s="194"/>
      <c r="V14" s="169"/>
      <c r="AA14" s="156" t="s">
        <v>179</v>
      </c>
      <c r="AB14" s="164" t="str">
        <f>Wedstrijdschema!L6</f>
        <v>Baan 1</v>
      </c>
      <c r="AC14" s="164" t="str">
        <f>Wedstrijdschema!M6</f>
        <v>Baan 5</v>
      </c>
      <c r="AD14" s="165" t="str">
        <f>Wedstrijdschema!N6</f>
        <v>Baan 2</v>
      </c>
      <c r="AE14" s="165" t="str">
        <f>Wedstrijdschema!O6</f>
        <v>Baan 8</v>
      </c>
      <c r="AF14" s="166" t="str">
        <f>Wedstrijdschema!P6</f>
        <v>Baan 3</v>
      </c>
      <c r="AG14" s="166" t="str">
        <f>Wedstrijdschema!Q6</f>
        <v>Baan 7</v>
      </c>
      <c r="AH14" s="167" t="str">
        <f>Wedstrijdschema!R6</f>
        <v>Baan 4</v>
      </c>
      <c r="AI14" s="167" t="str">
        <f>Wedstrijdschema!S6</f>
        <v>Baan 6</v>
      </c>
    </row>
    <row r="15" spans="1:35" ht="14.25" customHeight="1" x14ac:dyDescent="0.25">
      <c r="A15" s="195" t="s">
        <v>210</v>
      </c>
      <c r="G15" s="196"/>
      <c r="H15" s="266" t="s">
        <v>200</v>
      </c>
      <c r="I15" s="262"/>
      <c r="J15" s="262"/>
      <c r="K15" s="262"/>
      <c r="L15" s="262"/>
      <c r="M15" s="262"/>
      <c r="N15" s="262"/>
      <c r="O15" s="263"/>
      <c r="P15" s="195" t="s">
        <v>210</v>
      </c>
      <c r="V15" s="196"/>
      <c r="AA15" s="156" t="s">
        <v>180</v>
      </c>
      <c r="AB15" s="164" t="str">
        <f>Wedstrijdschema!L7</f>
        <v>Baan 1</v>
      </c>
      <c r="AC15" s="164" t="str">
        <f>Wedstrijdschema!M7</f>
        <v>Baan 6</v>
      </c>
      <c r="AD15" s="165" t="str">
        <f>Wedstrijdschema!N7</f>
        <v>Baan 2</v>
      </c>
      <c r="AE15" s="165" t="str">
        <f>Wedstrijdschema!O7</f>
        <v>Baan 7</v>
      </c>
      <c r="AF15" s="166" t="str">
        <f>Wedstrijdschema!P7</f>
        <v>Baan 3</v>
      </c>
      <c r="AG15" s="166" t="str">
        <f>Wedstrijdschema!Q7</f>
        <v>Baan 5</v>
      </c>
      <c r="AH15" s="167" t="str">
        <f>Wedstrijdschema!R7</f>
        <v>Baan 4</v>
      </c>
      <c r="AI15" s="167" t="str">
        <f>Wedstrijdschema!S7</f>
        <v>Baan 8</v>
      </c>
    </row>
    <row r="16" spans="1:35" ht="19.5" customHeight="1" x14ac:dyDescent="0.25">
      <c r="A16" s="193" t="s">
        <v>208</v>
      </c>
      <c r="B16" s="194"/>
      <c r="C16" s="194"/>
      <c r="D16" s="194"/>
      <c r="E16" s="194"/>
      <c r="F16" s="194"/>
      <c r="G16" s="169"/>
      <c r="I16" s="197"/>
      <c r="J16" s="284"/>
      <c r="K16" s="285"/>
      <c r="L16" s="286"/>
      <c r="M16" s="220"/>
      <c r="N16" s="197"/>
      <c r="P16" s="193" t="s">
        <v>208</v>
      </c>
      <c r="Q16" s="194"/>
      <c r="R16" s="194"/>
      <c r="S16" s="194"/>
      <c r="T16" s="194"/>
      <c r="U16" s="194"/>
      <c r="V16" s="169"/>
      <c r="AA16" s="156" t="s">
        <v>181</v>
      </c>
      <c r="AB16" s="164" t="str">
        <f>Wedstrijdschema!L8</f>
        <v>Baan 1</v>
      </c>
      <c r="AC16" s="164" t="str">
        <f>Wedstrijdschema!M8</f>
        <v>Baan 7</v>
      </c>
      <c r="AD16" s="165" t="str">
        <f>Wedstrijdschema!N8</f>
        <v>Baan 2</v>
      </c>
      <c r="AE16" s="165" t="str">
        <f>Wedstrijdschema!O8</f>
        <v>Baan 4</v>
      </c>
      <c r="AF16" s="166" t="str">
        <f>Wedstrijdschema!P8</f>
        <v>Baan 3</v>
      </c>
      <c r="AG16" s="166" t="str">
        <f>Wedstrijdschema!Q8</f>
        <v>Baan 6</v>
      </c>
      <c r="AH16" s="167" t="str">
        <f>Wedstrijdschema!R8</f>
        <v>Baan 5</v>
      </c>
      <c r="AI16" s="167" t="str">
        <f>Wedstrijdschema!S8</f>
        <v>Baan 8</v>
      </c>
    </row>
    <row r="17" spans="1:35" ht="14.25" customHeight="1" x14ac:dyDescent="0.25">
      <c r="A17" s="198"/>
      <c r="I17" s="158"/>
      <c r="J17" s="158"/>
      <c r="K17" s="158"/>
      <c r="L17" s="158"/>
      <c r="M17" s="158"/>
      <c r="N17" s="158"/>
      <c r="P17" s="157"/>
      <c r="V17" s="196"/>
      <c r="AA17" s="156" t="s">
        <v>182</v>
      </c>
      <c r="AB17" s="164" t="str">
        <f>Wedstrijdschema!L9</f>
        <v>Baan 1</v>
      </c>
      <c r="AC17" s="164" t="str">
        <f>Wedstrijdschema!M9</f>
        <v>Baan 8</v>
      </c>
      <c r="AD17" s="165" t="str">
        <f>Wedstrijdschema!N9</f>
        <v>Baan 2</v>
      </c>
      <c r="AE17" s="165" t="str">
        <f>Wedstrijdschema!O9</f>
        <v>Baan 3</v>
      </c>
      <c r="AF17" s="166" t="str">
        <f>Wedstrijdschema!P9</f>
        <v>Baan 4</v>
      </c>
      <c r="AG17" s="166" t="str">
        <f>Wedstrijdschema!Q9</f>
        <v>Baan 5</v>
      </c>
      <c r="AH17" s="167" t="str">
        <f>Wedstrijdschema!R9</f>
        <v>Baan 6</v>
      </c>
      <c r="AI17" s="167" t="str">
        <f>Wedstrijdschema!S9</f>
        <v>Baan 7</v>
      </c>
    </row>
    <row r="18" spans="1:35" ht="14.25" customHeight="1" x14ac:dyDescent="0.25">
      <c r="A18" s="198"/>
      <c r="I18" s="158"/>
      <c r="J18" s="272" t="s">
        <v>211</v>
      </c>
      <c r="K18" s="262"/>
      <c r="L18" s="262"/>
      <c r="M18" s="262"/>
      <c r="N18" s="158"/>
      <c r="P18" s="157"/>
      <c r="V18" s="196"/>
    </row>
    <row r="19" spans="1:35" ht="14.25" customHeight="1" x14ac:dyDescent="0.25">
      <c r="A19" s="193"/>
      <c r="B19" s="194"/>
      <c r="C19" s="194"/>
      <c r="D19" s="194"/>
      <c r="E19" s="194"/>
      <c r="F19" s="194"/>
      <c r="G19" s="194"/>
      <c r="H19" s="194"/>
      <c r="I19" s="199"/>
      <c r="J19" s="271"/>
      <c r="K19" s="250"/>
      <c r="L19" s="250"/>
      <c r="M19" s="250"/>
      <c r="N19" s="199"/>
      <c r="O19" s="194"/>
      <c r="P19" s="200"/>
      <c r="Q19" s="194"/>
      <c r="R19" s="194"/>
      <c r="S19" s="194"/>
      <c r="T19" s="194"/>
      <c r="U19" s="194"/>
      <c r="V19" s="169"/>
    </row>
    <row r="20" spans="1:35" ht="14.25" customHeight="1" x14ac:dyDescent="0.25">
      <c r="A20" s="201"/>
      <c r="I20" s="158"/>
      <c r="J20" s="158"/>
      <c r="K20" s="202"/>
      <c r="L20" s="202"/>
      <c r="M20" s="202"/>
      <c r="N20" s="158"/>
      <c r="P20" s="157"/>
      <c r="V20" s="161"/>
    </row>
    <row r="21" spans="1:35" ht="14.25" customHeight="1" x14ac:dyDescent="0.25">
      <c r="A21" s="157"/>
      <c r="I21" s="158"/>
      <c r="J21" s="158"/>
      <c r="K21" s="202"/>
      <c r="L21" s="202"/>
      <c r="M21" s="202"/>
      <c r="N21" s="158"/>
      <c r="P21" s="157"/>
    </row>
    <row r="22" spans="1:35" ht="14.25" customHeight="1" x14ac:dyDescent="0.25">
      <c r="A22" s="157"/>
      <c r="I22" s="158"/>
      <c r="J22" s="158"/>
      <c r="K22" s="202"/>
      <c r="L22" s="202"/>
      <c r="M22" s="202"/>
      <c r="N22" s="158"/>
      <c r="P22" s="157"/>
    </row>
    <row r="23" spans="1:35" ht="14.25" customHeight="1" x14ac:dyDescent="0.25">
      <c r="A23" s="157"/>
      <c r="I23" s="158"/>
      <c r="J23" s="158"/>
      <c r="K23" s="202"/>
      <c r="L23" s="202"/>
      <c r="M23" s="202"/>
      <c r="N23" s="158"/>
      <c r="P23" s="157"/>
    </row>
    <row r="24" spans="1:35" ht="14.25" customHeight="1" x14ac:dyDescent="0.25">
      <c r="A24" s="157"/>
      <c r="I24" s="158"/>
      <c r="J24" s="158"/>
      <c r="K24" s="202"/>
      <c r="L24" s="202"/>
      <c r="M24" s="202"/>
      <c r="N24" s="158"/>
      <c r="P24" s="157"/>
    </row>
    <row r="25" spans="1:35" ht="14.25" customHeight="1" x14ac:dyDescent="0.25">
      <c r="A25" s="194"/>
      <c r="V25" s="194"/>
    </row>
    <row r="26" spans="1:35" ht="15.75" customHeight="1" x14ac:dyDescent="0.25">
      <c r="A26" s="295"/>
      <c r="B26" s="280"/>
      <c r="C26" s="264" t="str">
        <f>VLOOKUP(Z2,AA11:AI18,4,FALSE())</f>
        <v>Baan 3</v>
      </c>
      <c r="D26" s="247"/>
      <c r="E26" s="247"/>
      <c r="F26" s="247"/>
      <c r="G26" s="160"/>
      <c r="H26" s="161"/>
      <c r="I26" s="259" t="str">
        <f>Z2</f>
        <v>Ronde 1</v>
      </c>
      <c r="J26" s="260"/>
      <c r="K26" s="260"/>
      <c r="L26" s="260"/>
      <c r="M26" s="260"/>
      <c r="N26" s="260"/>
      <c r="O26" s="161"/>
      <c r="P26" s="295"/>
      <c r="Q26" s="280"/>
      <c r="R26" s="264" t="str">
        <f>VLOOKUP(Z2,AA11:AI18,5,FALSE())</f>
        <v>Baan 4</v>
      </c>
      <c r="S26" s="247"/>
      <c r="T26" s="247"/>
      <c r="U26" s="247"/>
      <c r="V26" s="160"/>
    </row>
    <row r="27" spans="1:35" ht="15.75" customHeight="1" x14ac:dyDescent="0.25">
      <c r="A27" s="281"/>
      <c r="B27" s="263"/>
      <c r="C27" s="203" t="s">
        <v>198</v>
      </c>
      <c r="D27" s="299" t="str">
        <f>Deelnemers!$B$4</f>
        <v>2026-04-11</v>
      </c>
      <c r="E27" s="260"/>
      <c r="F27" s="260"/>
      <c r="G27" s="160"/>
      <c r="H27" s="289" t="s">
        <v>199</v>
      </c>
      <c r="I27" s="262"/>
      <c r="J27" s="262"/>
      <c r="K27" s="262"/>
      <c r="L27" s="262"/>
      <c r="M27" s="262"/>
      <c r="N27" s="262"/>
      <c r="O27" s="263"/>
      <c r="P27" s="281"/>
      <c r="Q27" s="263"/>
      <c r="R27" s="203" t="s">
        <v>198</v>
      </c>
      <c r="S27" s="299" t="str">
        <f>Deelnemers!$B$4</f>
        <v>2026-04-11</v>
      </c>
      <c r="T27" s="260"/>
      <c r="U27" s="260"/>
      <c r="V27" s="160"/>
    </row>
    <row r="28" spans="1:35" ht="15.75" customHeight="1" x14ac:dyDescent="0.25">
      <c r="A28" s="282"/>
      <c r="B28" s="283"/>
      <c r="C28" s="293" t="str">
        <f>Deelnemers!$B$3</f>
        <v>Willem Tell 1921, Kerkrade</v>
      </c>
      <c r="D28" s="250"/>
      <c r="E28" s="250"/>
      <c r="F28" s="250"/>
      <c r="G28" s="169"/>
      <c r="H28" s="288" t="s">
        <v>200</v>
      </c>
      <c r="I28" s="262"/>
      <c r="J28" s="262"/>
      <c r="K28" s="262"/>
      <c r="L28" s="262"/>
      <c r="M28" s="262"/>
      <c r="N28" s="262"/>
      <c r="O28" s="263"/>
      <c r="P28" s="282"/>
      <c r="Q28" s="283"/>
      <c r="R28" s="293" t="str">
        <f>Deelnemers!$B$3</f>
        <v>Willem Tell 1921, Kerkrade</v>
      </c>
      <c r="S28" s="250"/>
      <c r="T28" s="250"/>
      <c r="U28" s="250"/>
      <c r="V28" s="169"/>
    </row>
    <row r="29" spans="1:35" ht="14.25" customHeight="1" x14ac:dyDescent="0.25">
      <c r="A29" s="170" t="s">
        <v>201</v>
      </c>
      <c r="B29" s="265">
        <f>VLOOKUP(Z2,AA2:AI8,4,FALSE())</f>
        <v>0</v>
      </c>
      <c r="C29" s="247"/>
      <c r="D29" s="247"/>
      <c r="E29" s="247"/>
      <c r="F29" s="247"/>
      <c r="G29" s="247"/>
      <c r="J29" s="272" t="s">
        <v>202</v>
      </c>
      <c r="K29" s="262"/>
      <c r="L29" s="262"/>
      <c r="M29" s="262"/>
      <c r="P29" s="170" t="s">
        <v>201</v>
      </c>
      <c r="Q29" s="287">
        <f>VLOOKUP(Z2,AA2:AI8,5,FALSE())</f>
        <v>0</v>
      </c>
      <c r="R29" s="247"/>
      <c r="S29" s="247"/>
      <c r="T29" s="247"/>
      <c r="U29" s="247"/>
      <c r="V29" s="242"/>
    </row>
    <row r="30" spans="1:35" ht="14.25" customHeight="1" x14ac:dyDescent="0.25">
      <c r="A30" s="170" t="s">
        <v>203</v>
      </c>
      <c r="B30" s="298" t="e">
        <f>IF(B29="","",VLOOKUP(B29,Deelnemers!B8:C46,2,FALSE()))</f>
        <v>#N/A</v>
      </c>
      <c r="C30" s="247"/>
      <c r="D30" s="242"/>
      <c r="E30" s="174" t="s">
        <v>204</v>
      </c>
      <c r="F30" s="174" t="s">
        <v>205</v>
      </c>
      <c r="G30" s="173"/>
      <c r="J30" s="258" t="s">
        <v>206</v>
      </c>
      <c r="K30" s="248"/>
      <c r="L30" s="269" t="s">
        <v>206</v>
      </c>
      <c r="M30" s="242"/>
      <c r="P30" s="170" t="s">
        <v>203</v>
      </c>
      <c r="Q30" s="298" t="e">
        <f>IF(Q29="","",VLOOKUP(Q29,Deelnemers!B8:C46,2,FALSE()))</f>
        <v>#N/A</v>
      </c>
      <c r="R30" s="247"/>
      <c r="S30" s="242"/>
      <c r="T30" s="174" t="s">
        <v>204</v>
      </c>
      <c r="U30" s="174" t="s">
        <v>205</v>
      </c>
      <c r="V30" s="173"/>
    </row>
    <row r="31" spans="1:35" ht="19.5" customHeight="1" x14ac:dyDescent="0.25">
      <c r="A31" s="175">
        <v>1</v>
      </c>
      <c r="B31" s="173"/>
      <c r="C31" s="173"/>
      <c r="D31" s="173"/>
      <c r="E31" s="176"/>
      <c r="F31" s="176"/>
      <c r="G31" s="173"/>
      <c r="J31" s="257"/>
      <c r="K31" s="248"/>
      <c r="L31" s="270"/>
      <c r="M31" s="242"/>
      <c r="P31" s="175">
        <v>1</v>
      </c>
      <c r="Q31" s="173"/>
      <c r="R31" s="173"/>
      <c r="S31" s="173"/>
      <c r="T31" s="176"/>
      <c r="U31" s="176"/>
      <c r="V31" s="173"/>
    </row>
    <row r="32" spans="1:35" ht="19.5" customHeight="1" x14ac:dyDescent="0.25">
      <c r="A32" s="175">
        <v>2</v>
      </c>
      <c r="B32" s="173"/>
      <c r="C32" s="173"/>
      <c r="D32" s="173"/>
      <c r="E32" s="183"/>
      <c r="F32" s="183"/>
      <c r="G32" s="173"/>
      <c r="J32" s="257"/>
      <c r="K32" s="248"/>
      <c r="L32" s="270"/>
      <c r="M32" s="242"/>
      <c r="P32" s="175">
        <v>2</v>
      </c>
      <c r="Q32" s="173"/>
      <c r="R32" s="173"/>
      <c r="S32" s="173"/>
      <c r="T32" s="183"/>
      <c r="U32" s="183"/>
      <c r="V32" s="173"/>
    </row>
    <row r="33" spans="1:22" ht="19.5" customHeight="1" x14ac:dyDescent="0.25">
      <c r="A33" s="175">
        <v>3</v>
      </c>
      <c r="B33" s="173"/>
      <c r="C33" s="173"/>
      <c r="D33" s="173"/>
      <c r="E33" s="183"/>
      <c r="F33" s="183"/>
      <c r="G33" s="173"/>
      <c r="J33" s="257"/>
      <c r="K33" s="248"/>
      <c r="L33" s="270"/>
      <c r="M33" s="242"/>
      <c r="P33" s="175">
        <v>3</v>
      </c>
      <c r="Q33" s="173"/>
      <c r="R33" s="173"/>
      <c r="S33" s="173"/>
      <c r="T33" s="183"/>
      <c r="U33" s="183"/>
      <c r="V33" s="173"/>
    </row>
    <row r="34" spans="1:22" ht="19.5" customHeight="1" x14ac:dyDescent="0.25">
      <c r="A34" s="175">
        <v>4</v>
      </c>
      <c r="B34" s="173"/>
      <c r="C34" s="173"/>
      <c r="D34" s="173"/>
      <c r="E34" s="183"/>
      <c r="F34" s="183"/>
      <c r="G34" s="173"/>
      <c r="J34" s="257"/>
      <c r="K34" s="248"/>
      <c r="L34" s="270"/>
      <c r="M34" s="242"/>
      <c r="P34" s="175">
        <v>4</v>
      </c>
      <c r="Q34" s="173"/>
      <c r="R34" s="173"/>
      <c r="S34" s="173"/>
      <c r="T34" s="183"/>
      <c r="U34" s="183"/>
      <c r="V34" s="173"/>
    </row>
    <row r="35" spans="1:22" ht="19.5" customHeight="1" x14ac:dyDescent="0.25">
      <c r="A35" s="175">
        <v>5</v>
      </c>
      <c r="B35" s="173"/>
      <c r="C35" s="173"/>
      <c r="D35" s="173"/>
      <c r="E35" s="186"/>
      <c r="F35" s="186"/>
      <c r="G35" s="173"/>
      <c r="J35" s="257"/>
      <c r="K35" s="248"/>
      <c r="L35" s="270"/>
      <c r="M35" s="242"/>
      <c r="P35" s="175">
        <v>5</v>
      </c>
      <c r="Q35" s="173"/>
      <c r="R35" s="173"/>
      <c r="S35" s="173"/>
      <c r="T35" s="186"/>
      <c r="U35" s="186"/>
      <c r="V35" s="173"/>
    </row>
    <row r="36" spans="1:22" ht="19.5" customHeight="1" x14ac:dyDescent="0.25">
      <c r="A36" s="187"/>
      <c r="B36" s="160"/>
      <c r="C36" s="160"/>
      <c r="D36" s="188" t="s">
        <v>205</v>
      </c>
      <c r="E36" s="189"/>
      <c r="F36" s="190"/>
      <c r="G36" s="191"/>
      <c r="J36" s="267"/>
      <c r="K36" s="268"/>
      <c r="L36" s="274"/>
      <c r="M36" s="275"/>
      <c r="P36" s="187"/>
      <c r="Q36" s="160"/>
      <c r="R36" s="160"/>
      <c r="S36" s="188" t="s">
        <v>205</v>
      </c>
      <c r="T36" s="189"/>
      <c r="U36" s="190"/>
      <c r="V36" s="191"/>
    </row>
    <row r="37" spans="1:22" ht="14.25" customHeight="1" x14ac:dyDescent="0.25">
      <c r="A37" s="192" t="s">
        <v>207</v>
      </c>
      <c r="B37" s="161"/>
      <c r="C37" s="161"/>
      <c r="D37" s="161"/>
      <c r="E37" s="161"/>
      <c r="F37" s="161"/>
      <c r="G37" s="160"/>
      <c r="J37" s="272"/>
      <c r="K37" s="262"/>
      <c r="L37" s="262"/>
      <c r="M37" s="262"/>
      <c r="P37" s="192" t="s">
        <v>207</v>
      </c>
      <c r="Q37" s="161"/>
      <c r="R37" s="161"/>
      <c r="S37" s="161"/>
      <c r="T37" s="161"/>
      <c r="U37" s="161"/>
      <c r="V37" s="160"/>
    </row>
    <row r="38" spans="1:22" ht="14.25" customHeight="1" x14ac:dyDescent="0.25">
      <c r="A38" s="193" t="s">
        <v>208</v>
      </c>
      <c r="B38" s="194"/>
      <c r="C38" s="194"/>
      <c r="D38" s="194"/>
      <c r="E38" s="194"/>
      <c r="F38" s="194"/>
      <c r="G38" s="169"/>
      <c r="H38" s="261" t="s">
        <v>209</v>
      </c>
      <c r="I38" s="262"/>
      <c r="J38" s="262"/>
      <c r="K38" s="262"/>
      <c r="L38" s="262"/>
      <c r="M38" s="262"/>
      <c r="N38" s="262"/>
      <c r="O38" s="263"/>
      <c r="P38" s="193" t="s">
        <v>208</v>
      </c>
      <c r="Q38" s="194"/>
      <c r="R38" s="194"/>
      <c r="S38" s="194"/>
      <c r="T38" s="194"/>
      <c r="U38" s="194"/>
      <c r="V38" s="169"/>
    </row>
    <row r="39" spans="1:22" ht="14.25" customHeight="1" x14ac:dyDescent="0.25">
      <c r="A39" s="195" t="s">
        <v>210</v>
      </c>
      <c r="G39" s="196"/>
      <c r="H39" s="266" t="s">
        <v>200</v>
      </c>
      <c r="I39" s="262"/>
      <c r="J39" s="262"/>
      <c r="K39" s="262"/>
      <c r="L39" s="262"/>
      <c r="M39" s="262"/>
      <c r="N39" s="262"/>
      <c r="O39" s="263"/>
      <c r="P39" s="195" t="s">
        <v>210</v>
      </c>
      <c r="V39" s="196"/>
    </row>
    <row r="40" spans="1:22" ht="19.5" customHeight="1" x14ac:dyDescent="0.25">
      <c r="A40" s="193" t="s">
        <v>208</v>
      </c>
      <c r="B40" s="194"/>
      <c r="C40" s="194"/>
      <c r="D40" s="194"/>
      <c r="E40" s="194"/>
      <c r="F40" s="194"/>
      <c r="G40" s="169"/>
      <c r="I40" s="197"/>
      <c r="J40" s="284"/>
      <c r="K40" s="285"/>
      <c r="L40" s="286"/>
      <c r="M40" s="220"/>
      <c r="N40" s="197"/>
      <c r="P40" s="193" t="s">
        <v>208</v>
      </c>
      <c r="Q40" s="194"/>
      <c r="R40" s="194"/>
      <c r="S40" s="194"/>
      <c r="T40" s="194"/>
      <c r="U40" s="194"/>
      <c r="V40" s="169"/>
    </row>
    <row r="41" spans="1:22" ht="14.25" customHeight="1" x14ac:dyDescent="0.25">
      <c r="A41" s="204"/>
      <c r="I41" s="158"/>
      <c r="J41" s="158"/>
      <c r="K41" s="158"/>
      <c r="L41" s="158"/>
      <c r="M41" s="158"/>
      <c r="N41" s="158"/>
      <c r="P41" s="157"/>
      <c r="V41" s="196"/>
    </row>
    <row r="42" spans="1:22" ht="14.25" customHeight="1" x14ac:dyDescent="0.25">
      <c r="A42" s="198"/>
      <c r="I42" s="158"/>
      <c r="J42" s="272" t="s">
        <v>211</v>
      </c>
      <c r="K42" s="262"/>
      <c r="L42" s="262"/>
      <c r="M42" s="262"/>
      <c r="N42" s="158"/>
      <c r="P42" s="157"/>
      <c r="V42" s="196"/>
    </row>
    <row r="43" spans="1:22" ht="14.25" customHeight="1" x14ac:dyDescent="0.25">
      <c r="A43" s="193"/>
      <c r="B43" s="194"/>
      <c r="C43" s="194"/>
      <c r="D43" s="194"/>
      <c r="E43" s="194"/>
      <c r="F43" s="194"/>
      <c r="G43" s="194"/>
      <c r="H43" s="194"/>
      <c r="I43" s="199"/>
      <c r="J43" s="271"/>
      <c r="K43" s="250"/>
      <c r="L43" s="250"/>
      <c r="M43" s="250"/>
      <c r="N43" s="199"/>
      <c r="O43" s="194"/>
      <c r="P43" s="200"/>
      <c r="Q43" s="194"/>
      <c r="R43" s="194"/>
      <c r="S43" s="194"/>
      <c r="T43" s="194"/>
      <c r="U43" s="194"/>
      <c r="V43" s="169"/>
    </row>
    <row r="44" spans="1:22" ht="14.25" customHeight="1" x14ac:dyDescent="0.25">
      <c r="A44" s="157"/>
      <c r="I44" s="158"/>
      <c r="J44" s="158"/>
      <c r="K44" s="158"/>
      <c r="L44" s="158"/>
      <c r="M44" s="158"/>
      <c r="N44" s="158"/>
      <c r="P44" s="157"/>
    </row>
    <row r="45" spans="1:22" ht="15.75" customHeight="1" x14ac:dyDescent="0.25">
      <c r="A45" s="295"/>
      <c r="B45" s="280"/>
      <c r="C45" s="264" t="str">
        <f>VLOOKUP(Z2,AA11:AI18,6,FALSE())</f>
        <v>Baan 5</v>
      </c>
      <c r="D45" s="247"/>
      <c r="E45" s="247"/>
      <c r="F45" s="247"/>
      <c r="G45" s="160"/>
      <c r="H45" s="161"/>
      <c r="I45" s="259" t="str">
        <f>Z2</f>
        <v>Ronde 1</v>
      </c>
      <c r="J45" s="260"/>
      <c r="K45" s="260"/>
      <c r="L45" s="260"/>
      <c r="M45" s="260"/>
      <c r="N45" s="260"/>
      <c r="O45" s="161"/>
      <c r="P45" s="295"/>
      <c r="Q45" s="280"/>
      <c r="R45" s="264" t="str">
        <f>VLOOKUP(Z2,AA11:AI18,7,FALSE())</f>
        <v>Baan 6</v>
      </c>
      <c r="S45" s="247"/>
      <c r="T45" s="247"/>
      <c r="U45" s="247"/>
      <c r="V45" s="160"/>
    </row>
    <row r="46" spans="1:22" ht="15.75" customHeight="1" x14ac:dyDescent="0.25">
      <c r="A46" s="281"/>
      <c r="B46" s="263"/>
      <c r="C46" s="205" t="s">
        <v>198</v>
      </c>
      <c r="D46" s="296" t="str">
        <f>Deelnemers!$B$4</f>
        <v>2026-04-11</v>
      </c>
      <c r="E46" s="260"/>
      <c r="F46" s="260"/>
      <c r="G46" s="160"/>
      <c r="H46" s="289" t="s">
        <v>199</v>
      </c>
      <c r="I46" s="262"/>
      <c r="J46" s="262"/>
      <c r="K46" s="262"/>
      <c r="L46" s="262"/>
      <c r="M46" s="262"/>
      <c r="N46" s="262"/>
      <c r="O46" s="263"/>
      <c r="P46" s="281"/>
      <c r="Q46" s="263"/>
      <c r="R46" s="205" t="s">
        <v>198</v>
      </c>
      <c r="S46" s="296" t="str">
        <f>Deelnemers!$B$4</f>
        <v>2026-04-11</v>
      </c>
      <c r="T46" s="260"/>
      <c r="U46" s="260"/>
      <c r="V46" s="160"/>
    </row>
    <row r="47" spans="1:22" ht="15.75" customHeight="1" x14ac:dyDescent="0.25">
      <c r="A47" s="282"/>
      <c r="B47" s="283"/>
      <c r="C47" s="290" t="str">
        <f>Deelnemers!$B$3</f>
        <v>Willem Tell 1921, Kerkrade</v>
      </c>
      <c r="D47" s="250"/>
      <c r="E47" s="250"/>
      <c r="F47" s="250"/>
      <c r="G47" s="169"/>
      <c r="H47" s="288" t="s">
        <v>200</v>
      </c>
      <c r="I47" s="262"/>
      <c r="J47" s="262"/>
      <c r="K47" s="262"/>
      <c r="L47" s="262"/>
      <c r="M47" s="262"/>
      <c r="N47" s="262"/>
      <c r="O47" s="263"/>
      <c r="P47" s="282"/>
      <c r="Q47" s="283"/>
      <c r="R47" s="290" t="str">
        <f>Deelnemers!$B$3</f>
        <v>Willem Tell 1921, Kerkrade</v>
      </c>
      <c r="S47" s="250"/>
      <c r="T47" s="250"/>
      <c r="U47" s="250"/>
      <c r="V47" s="169"/>
    </row>
    <row r="48" spans="1:22" ht="14.25" customHeight="1" x14ac:dyDescent="0.25">
      <c r="A48" s="170" t="s">
        <v>201</v>
      </c>
      <c r="B48" s="265">
        <f>VLOOKUP(Z2,AA2:AI8,6,FALSE())</f>
        <v>0</v>
      </c>
      <c r="C48" s="247"/>
      <c r="D48" s="247"/>
      <c r="E48" s="247"/>
      <c r="F48" s="247"/>
      <c r="G48" s="247"/>
      <c r="J48" s="272" t="s">
        <v>202</v>
      </c>
      <c r="K48" s="262"/>
      <c r="L48" s="262"/>
      <c r="M48" s="262"/>
      <c r="P48" s="170" t="s">
        <v>201</v>
      </c>
      <c r="Q48" s="287">
        <f>VLOOKUP(Z2,AA2:AI8,7,FALSE())</f>
        <v>0</v>
      </c>
      <c r="R48" s="247"/>
      <c r="S48" s="247"/>
      <c r="T48" s="247"/>
      <c r="U48" s="247"/>
      <c r="V48" s="242"/>
    </row>
    <row r="49" spans="1:22" ht="14.25" customHeight="1" x14ac:dyDescent="0.25">
      <c r="A49" s="170" t="s">
        <v>203</v>
      </c>
      <c r="B49" s="298" t="e">
        <f>IF(B48="","",VLOOKUP(B48,Deelnemers!B8:C46,2,FALSE()))</f>
        <v>#N/A</v>
      </c>
      <c r="C49" s="247"/>
      <c r="D49" s="242"/>
      <c r="E49" s="174" t="s">
        <v>204</v>
      </c>
      <c r="F49" s="174" t="s">
        <v>205</v>
      </c>
      <c r="G49" s="173"/>
      <c r="J49" s="258" t="s">
        <v>206</v>
      </c>
      <c r="K49" s="248"/>
      <c r="L49" s="269" t="s">
        <v>206</v>
      </c>
      <c r="M49" s="242"/>
      <c r="P49" s="170" t="s">
        <v>203</v>
      </c>
      <c r="Q49" s="298" t="e">
        <f>IF(Q48="","",VLOOKUP(Q48,Deelnemers!B8:C46,2,FALSE()))</f>
        <v>#N/A</v>
      </c>
      <c r="R49" s="247"/>
      <c r="S49" s="242"/>
      <c r="T49" s="174" t="s">
        <v>204</v>
      </c>
      <c r="U49" s="174" t="s">
        <v>205</v>
      </c>
      <c r="V49" s="173"/>
    </row>
    <row r="50" spans="1:22" ht="19.5" customHeight="1" x14ac:dyDescent="0.25">
      <c r="A50" s="175">
        <v>1</v>
      </c>
      <c r="B50" s="173"/>
      <c r="C50" s="173"/>
      <c r="D50" s="173"/>
      <c r="E50" s="176"/>
      <c r="F50" s="176"/>
      <c r="G50" s="173"/>
      <c r="J50" s="257"/>
      <c r="K50" s="248"/>
      <c r="L50" s="270"/>
      <c r="M50" s="242"/>
      <c r="P50" s="175">
        <v>1</v>
      </c>
      <c r="Q50" s="173"/>
      <c r="R50" s="173"/>
      <c r="S50" s="173"/>
      <c r="T50" s="176"/>
      <c r="U50" s="176"/>
      <c r="V50" s="173"/>
    </row>
    <row r="51" spans="1:22" ht="19.5" customHeight="1" x14ac:dyDescent="0.25">
      <c r="A51" s="175">
        <v>2</v>
      </c>
      <c r="B51" s="173"/>
      <c r="C51" s="173"/>
      <c r="D51" s="173"/>
      <c r="E51" s="183"/>
      <c r="F51" s="183"/>
      <c r="G51" s="173"/>
      <c r="J51" s="257"/>
      <c r="K51" s="248"/>
      <c r="L51" s="270"/>
      <c r="M51" s="242"/>
      <c r="P51" s="175">
        <v>2</v>
      </c>
      <c r="Q51" s="173"/>
      <c r="R51" s="173"/>
      <c r="S51" s="173"/>
      <c r="T51" s="183"/>
      <c r="U51" s="183"/>
      <c r="V51" s="173"/>
    </row>
    <row r="52" spans="1:22" ht="19.5" customHeight="1" x14ac:dyDescent="0.25">
      <c r="A52" s="175">
        <v>3</v>
      </c>
      <c r="B52" s="173"/>
      <c r="C52" s="173"/>
      <c r="D52" s="173"/>
      <c r="E52" s="183"/>
      <c r="F52" s="183"/>
      <c r="G52" s="173"/>
      <c r="J52" s="257"/>
      <c r="K52" s="248"/>
      <c r="L52" s="270"/>
      <c r="M52" s="242"/>
      <c r="P52" s="175">
        <v>3</v>
      </c>
      <c r="Q52" s="173"/>
      <c r="R52" s="173"/>
      <c r="S52" s="173"/>
      <c r="T52" s="183"/>
      <c r="U52" s="183"/>
      <c r="V52" s="173"/>
    </row>
    <row r="53" spans="1:22" ht="19.5" customHeight="1" x14ac:dyDescent="0.25">
      <c r="A53" s="175">
        <v>4</v>
      </c>
      <c r="B53" s="173"/>
      <c r="C53" s="173"/>
      <c r="D53" s="173"/>
      <c r="E53" s="183"/>
      <c r="F53" s="183"/>
      <c r="G53" s="173"/>
      <c r="J53" s="257"/>
      <c r="K53" s="248"/>
      <c r="L53" s="270"/>
      <c r="M53" s="242"/>
      <c r="P53" s="175">
        <v>4</v>
      </c>
      <c r="Q53" s="173"/>
      <c r="R53" s="173"/>
      <c r="S53" s="173"/>
      <c r="T53" s="183"/>
      <c r="U53" s="183"/>
      <c r="V53" s="173"/>
    </row>
    <row r="54" spans="1:22" ht="19.5" customHeight="1" x14ac:dyDescent="0.25">
      <c r="A54" s="175">
        <v>5</v>
      </c>
      <c r="B54" s="173"/>
      <c r="C54" s="173"/>
      <c r="D54" s="173"/>
      <c r="E54" s="186"/>
      <c r="F54" s="186"/>
      <c r="G54" s="173"/>
      <c r="J54" s="257"/>
      <c r="K54" s="248"/>
      <c r="L54" s="270"/>
      <c r="M54" s="242"/>
      <c r="P54" s="175">
        <v>5</v>
      </c>
      <c r="Q54" s="173"/>
      <c r="R54" s="173"/>
      <c r="S54" s="173"/>
      <c r="T54" s="186"/>
      <c r="U54" s="186"/>
      <c r="V54" s="173"/>
    </row>
    <row r="55" spans="1:22" ht="19.5" customHeight="1" x14ac:dyDescent="0.25">
      <c r="A55" s="187"/>
      <c r="B55" s="160"/>
      <c r="C55" s="160"/>
      <c r="D55" s="188" t="s">
        <v>205</v>
      </c>
      <c r="E55" s="189"/>
      <c r="F55" s="190"/>
      <c r="G55" s="191"/>
      <c r="J55" s="267"/>
      <c r="K55" s="268"/>
      <c r="L55" s="274"/>
      <c r="M55" s="275"/>
      <c r="P55" s="187"/>
      <c r="Q55" s="160"/>
      <c r="R55" s="160"/>
      <c r="S55" s="188" t="s">
        <v>205</v>
      </c>
      <c r="T55" s="189"/>
      <c r="U55" s="190"/>
      <c r="V55" s="191"/>
    </row>
    <row r="56" spans="1:22" ht="14.25" customHeight="1" x14ac:dyDescent="0.25">
      <c r="A56" s="192" t="s">
        <v>207</v>
      </c>
      <c r="B56" s="161"/>
      <c r="C56" s="161"/>
      <c r="D56" s="161"/>
      <c r="E56" s="161"/>
      <c r="F56" s="161"/>
      <c r="G56" s="160"/>
      <c r="J56" s="272"/>
      <c r="K56" s="262"/>
      <c r="L56" s="262"/>
      <c r="M56" s="262"/>
      <c r="P56" s="192" t="s">
        <v>207</v>
      </c>
      <c r="Q56" s="161"/>
      <c r="R56" s="161"/>
      <c r="S56" s="161"/>
      <c r="T56" s="161"/>
      <c r="U56" s="161"/>
      <c r="V56" s="160"/>
    </row>
    <row r="57" spans="1:22" ht="14.25" customHeight="1" x14ac:dyDescent="0.25">
      <c r="A57" s="193" t="s">
        <v>208</v>
      </c>
      <c r="B57" s="194"/>
      <c r="C57" s="194"/>
      <c r="D57" s="194"/>
      <c r="E57" s="194"/>
      <c r="F57" s="194"/>
      <c r="G57" s="169"/>
      <c r="H57" s="261" t="s">
        <v>209</v>
      </c>
      <c r="I57" s="262"/>
      <c r="J57" s="262"/>
      <c r="K57" s="262"/>
      <c r="L57" s="262"/>
      <c r="M57" s="262"/>
      <c r="N57" s="262"/>
      <c r="O57" s="263"/>
      <c r="P57" s="193" t="s">
        <v>208</v>
      </c>
      <c r="Q57" s="194"/>
      <c r="R57" s="194"/>
      <c r="S57" s="194"/>
      <c r="T57" s="194"/>
      <c r="U57" s="194"/>
      <c r="V57" s="169"/>
    </row>
    <row r="58" spans="1:22" ht="14.25" customHeight="1" x14ac:dyDescent="0.25">
      <c r="A58" s="195" t="s">
        <v>210</v>
      </c>
      <c r="G58" s="196"/>
      <c r="H58" s="266" t="s">
        <v>200</v>
      </c>
      <c r="I58" s="262"/>
      <c r="J58" s="262"/>
      <c r="K58" s="262"/>
      <c r="L58" s="262"/>
      <c r="M58" s="262"/>
      <c r="N58" s="262"/>
      <c r="O58" s="263"/>
      <c r="P58" s="195" t="s">
        <v>210</v>
      </c>
      <c r="V58" s="196"/>
    </row>
    <row r="59" spans="1:22" ht="19.5" customHeight="1" x14ac:dyDescent="0.25">
      <c r="A59" s="193" t="s">
        <v>208</v>
      </c>
      <c r="B59" s="194"/>
      <c r="C59" s="194"/>
      <c r="D59" s="194"/>
      <c r="E59" s="194"/>
      <c r="F59" s="194"/>
      <c r="G59" s="169"/>
      <c r="I59" s="197"/>
      <c r="J59" s="284"/>
      <c r="K59" s="285"/>
      <c r="L59" s="286"/>
      <c r="M59" s="220"/>
      <c r="N59" s="197"/>
      <c r="P59" s="193" t="s">
        <v>208</v>
      </c>
      <c r="Q59" s="194"/>
      <c r="R59" s="194"/>
      <c r="S59" s="194"/>
      <c r="T59" s="194"/>
      <c r="U59" s="194"/>
      <c r="V59" s="169"/>
    </row>
    <row r="60" spans="1:22" ht="14.25" customHeight="1" x14ac:dyDescent="0.25">
      <c r="A60" s="198"/>
      <c r="I60" s="158"/>
      <c r="J60" s="158"/>
      <c r="K60" s="158"/>
      <c r="L60" s="158"/>
      <c r="M60" s="158"/>
      <c r="N60" s="158"/>
      <c r="P60" s="157"/>
      <c r="V60" s="196"/>
    </row>
    <row r="61" spans="1:22" ht="14.25" customHeight="1" x14ac:dyDescent="0.25">
      <c r="A61" s="198"/>
      <c r="I61" s="158"/>
      <c r="J61" s="272" t="s">
        <v>211</v>
      </c>
      <c r="K61" s="262"/>
      <c r="L61" s="262"/>
      <c r="M61" s="262"/>
      <c r="N61" s="158"/>
      <c r="P61" s="157"/>
      <c r="V61" s="196"/>
    </row>
    <row r="62" spans="1:22" ht="14.25" customHeight="1" x14ac:dyDescent="0.25">
      <c r="A62" s="193"/>
      <c r="B62" s="194"/>
      <c r="C62" s="194"/>
      <c r="D62" s="194"/>
      <c r="E62" s="194"/>
      <c r="F62" s="194"/>
      <c r="G62" s="194"/>
      <c r="H62" s="194"/>
      <c r="I62" s="199"/>
      <c r="J62" s="271"/>
      <c r="K62" s="250"/>
      <c r="L62" s="250"/>
      <c r="M62" s="250"/>
      <c r="N62" s="199"/>
      <c r="O62" s="194"/>
      <c r="P62" s="200"/>
      <c r="Q62" s="194"/>
      <c r="R62" s="194"/>
      <c r="S62" s="194"/>
      <c r="T62" s="194"/>
      <c r="U62" s="194"/>
      <c r="V62" s="169"/>
    </row>
    <row r="63" spans="1:22" ht="14.25" customHeight="1" x14ac:dyDescent="0.25">
      <c r="A63" s="201"/>
      <c r="I63" s="158"/>
      <c r="J63" s="158"/>
      <c r="K63" s="202"/>
      <c r="L63" s="202"/>
      <c r="M63" s="202"/>
      <c r="N63" s="158"/>
      <c r="P63" s="157"/>
      <c r="V63" s="161"/>
    </row>
    <row r="64" spans="1:22" ht="14.25" customHeight="1" x14ac:dyDescent="0.25">
      <c r="A64" s="157"/>
      <c r="I64" s="158"/>
      <c r="J64" s="158"/>
      <c r="K64" s="202"/>
      <c r="L64" s="202"/>
      <c r="M64" s="202"/>
      <c r="N64" s="158"/>
      <c r="P64" s="157"/>
    </row>
    <row r="65" spans="1:22" ht="14.25" customHeight="1" x14ac:dyDescent="0.25">
      <c r="A65" s="157"/>
      <c r="I65" s="158"/>
      <c r="J65" s="158"/>
      <c r="K65" s="202"/>
      <c r="L65" s="202"/>
      <c r="M65" s="202"/>
      <c r="N65" s="158"/>
      <c r="P65" s="157"/>
    </row>
    <row r="66" spans="1:22" ht="14.25" customHeight="1" x14ac:dyDescent="0.25">
      <c r="A66" s="157"/>
      <c r="I66" s="158"/>
      <c r="J66" s="158"/>
      <c r="K66" s="202"/>
      <c r="L66" s="202"/>
      <c r="M66" s="202"/>
      <c r="N66" s="158"/>
      <c r="P66" s="157"/>
    </row>
    <row r="67" spans="1:22" ht="14.25" customHeight="1" x14ac:dyDescent="0.25">
      <c r="A67" s="157"/>
      <c r="I67" s="158"/>
      <c r="J67" s="158"/>
      <c r="K67" s="202"/>
      <c r="L67" s="202"/>
      <c r="M67" s="202"/>
      <c r="N67" s="158"/>
      <c r="P67" s="157"/>
    </row>
    <row r="68" spans="1:22" ht="14.25" customHeight="1" x14ac:dyDescent="0.25">
      <c r="A68" s="194"/>
      <c r="V68" s="194"/>
    </row>
    <row r="69" spans="1:22" ht="15.75" customHeight="1" x14ac:dyDescent="0.25">
      <c r="A69" s="295"/>
      <c r="B69" s="280"/>
      <c r="C69" s="264" t="str">
        <f>VLOOKUP(Z2,AA11:AI18,8,FALSE())</f>
        <v>Baan 7</v>
      </c>
      <c r="D69" s="247"/>
      <c r="E69" s="247"/>
      <c r="F69" s="247"/>
      <c r="G69" s="160"/>
      <c r="H69" s="161"/>
      <c r="I69" s="259" t="str">
        <f>Z2</f>
        <v>Ronde 1</v>
      </c>
      <c r="J69" s="260"/>
      <c r="K69" s="260"/>
      <c r="L69" s="260"/>
      <c r="M69" s="260"/>
      <c r="N69" s="260"/>
      <c r="O69" s="161"/>
      <c r="P69" s="295"/>
      <c r="Q69" s="280"/>
      <c r="R69" s="264" t="str">
        <f>VLOOKUP(Z2,AA11:AI18,9,FALSE())</f>
        <v>Baan 8</v>
      </c>
      <c r="S69" s="247"/>
      <c r="T69" s="247"/>
      <c r="U69" s="247"/>
      <c r="V69" s="160"/>
    </row>
    <row r="70" spans="1:22" ht="15.75" customHeight="1" x14ac:dyDescent="0.25">
      <c r="A70" s="281"/>
      <c r="B70" s="263"/>
      <c r="C70" s="206" t="s">
        <v>198</v>
      </c>
      <c r="D70" s="297" t="str">
        <f>Deelnemers!$B$4</f>
        <v>2026-04-11</v>
      </c>
      <c r="E70" s="260"/>
      <c r="F70" s="260"/>
      <c r="G70" s="160"/>
      <c r="H70" s="289" t="s">
        <v>199</v>
      </c>
      <c r="I70" s="262"/>
      <c r="J70" s="262"/>
      <c r="K70" s="262"/>
      <c r="L70" s="262"/>
      <c r="M70" s="262"/>
      <c r="N70" s="262"/>
      <c r="O70" s="263"/>
      <c r="P70" s="281"/>
      <c r="Q70" s="263"/>
      <c r="R70" s="206" t="s">
        <v>198</v>
      </c>
      <c r="S70" s="297" t="str">
        <f>Deelnemers!$B$4</f>
        <v>2026-04-11</v>
      </c>
      <c r="T70" s="260"/>
      <c r="U70" s="260"/>
      <c r="V70" s="160"/>
    </row>
    <row r="71" spans="1:22" ht="15.75" customHeight="1" x14ac:dyDescent="0.25">
      <c r="A71" s="282"/>
      <c r="B71" s="283"/>
      <c r="C71" s="278" t="str">
        <f>Deelnemers!$B$3</f>
        <v>Willem Tell 1921, Kerkrade</v>
      </c>
      <c r="D71" s="250"/>
      <c r="E71" s="250"/>
      <c r="F71" s="250"/>
      <c r="G71" s="169"/>
      <c r="H71" s="288" t="s">
        <v>200</v>
      </c>
      <c r="I71" s="262"/>
      <c r="J71" s="262"/>
      <c r="K71" s="262"/>
      <c r="L71" s="262"/>
      <c r="M71" s="262"/>
      <c r="N71" s="262"/>
      <c r="O71" s="263"/>
      <c r="P71" s="282"/>
      <c r="Q71" s="283"/>
      <c r="R71" s="278" t="str">
        <f>Deelnemers!$B$3</f>
        <v>Willem Tell 1921, Kerkrade</v>
      </c>
      <c r="S71" s="250"/>
      <c r="T71" s="250"/>
      <c r="U71" s="250"/>
      <c r="V71" s="169"/>
    </row>
    <row r="72" spans="1:22" ht="14.25" customHeight="1" x14ac:dyDescent="0.25">
      <c r="A72" s="170" t="s">
        <v>201</v>
      </c>
      <c r="B72" s="265">
        <f>VLOOKUP(Z2,AA2:AI8,8,FALSE())</f>
        <v>0</v>
      </c>
      <c r="C72" s="247"/>
      <c r="D72" s="247"/>
      <c r="E72" s="247"/>
      <c r="F72" s="247"/>
      <c r="G72" s="247"/>
      <c r="J72" s="272" t="s">
        <v>202</v>
      </c>
      <c r="K72" s="262"/>
      <c r="L72" s="262"/>
      <c r="M72" s="262"/>
      <c r="P72" s="170" t="s">
        <v>201</v>
      </c>
      <c r="Q72" s="287">
        <f>VLOOKUP(Z2,AA2:AI8,9,FALSE())</f>
        <v>0</v>
      </c>
      <c r="R72" s="247"/>
      <c r="S72" s="247"/>
      <c r="T72" s="247"/>
      <c r="U72" s="247"/>
      <c r="V72" s="242"/>
    </row>
    <row r="73" spans="1:22" ht="14.25" customHeight="1" x14ac:dyDescent="0.25">
      <c r="A73" s="170" t="s">
        <v>203</v>
      </c>
      <c r="B73" s="298" t="e">
        <f>IF(B72="","",VLOOKUP(B72,Deelnemers!B8:C46,2,FALSE()))</f>
        <v>#N/A</v>
      </c>
      <c r="C73" s="247"/>
      <c r="D73" s="242"/>
      <c r="E73" s="174" t="s">
        <v>204</v>
      </c>
      <c r="F73" s="174" t="s">
        <v>205</v>
      </c>
      <c r="G73" s="173"/>
      <c r="J73" s="258" t="s">
        <v>206</v>
      </c>
      <c r="K73" s="248"/>
      <c r="L73" s="269" t="s">
        <v>206</v>
      </c>
      <c r="M73" s="242"/>
      <c r="P73" s="170" t="s">
        <v>203</v>
      </c>
      <c r="Q73" s="298" t="e">
        <f>IF(Q72="","",VLOOKUP(Q72,Deelnemers!B8:C46,2,FALSE()))</f>
        <v>#N/A</v>
      </c>
      <c r="R73" s="247"/>
      <c r="S73" s="242"/>
      <c r="T73" s="174" t="s">
        <v>204</v>
      </c>
      <c r="U73" s="174" t="s">
        <v>205</v>
      </c>
      <c r="V73" s="173"/>
    </row>
    <row r="74" spans="1:22" ht="19.5" customHeight="1" x14ac:dyDescent="0.25">
      <c r="A74" s="175">
        <v>1</v>
      </c>
      <c r="B74" s="173"/>
      <c r="C74" s="173"/>
      <c r="D74" s="173"/>
      <c r="E74" s="176"/>
      <c r="F74" s="176"/>
      <c r="G74" s="173"/>
      <c r="J74" s="257"/>
      <c r="K74" s="248"/>
      <c r="L74" s="270"/>
      <c r="M74" s="242"/>
      <c r="P74" s="175">
        <v>1</v>
      </c>
      <c r="Q74" s="173"/>
      <c r="R74" s="173"/>
      <c r="S74" s="173"/>
      <c r="T74" s="176"/>
      <c r="U74" s="176"/>
      <c r="V74" s="173"/>
    </row>
    <row r="75" spans="1:22" ht="19.5" customHeight="1" x14ac:dyDescent="0.25">
      <c r="A75" s="175">
        <v>2</v>
      </c>
      <c r="B75" s="173"/>
      <c r="C75" s="173"/>
      <c r="D75" s="173"/>
      <c r="E75" s="183"/>
      <c r="F75" s="183"/>
      <c r="G75" s="173"/>
      <c r="J75" s="257"/>
      <c r="K75" s="248"/>
      <c r="L75" s="270"/>
      <c r="M75" s="242"/>
      <c r="P75" s="175">
        <v>2</v>
      </c>
      <c r="Q75" s="173"/>
      <c r="R75" s="173"/>
      <c r="S75" s="173"/>
      <c r="T75" s="183"/>
      <c r="U75" s="183"/>
      <c r="V75" s="173"/>
    </row>
    <row r="76" spans="1:22" ht="19.5" customHeight="1" x14ac:dyDescent="0.25">
      <c r="A76" s="175">
        <v>3</v>
      </c>
      <c r="B76" s="173"/>
      <c r="C76" s="173"/>
      <c r="D76" s="173"/>
      <c r="E76" s="183"/>
      <c r="F76" s="183"/>
      <c r="G76" s="173"/>
      <c r="J76" s="257"/>
      <c r="K76" s="248"/>
      <c r="L76" s="270"/>
      <c r="M76" s="242"/>
      <c r="P76" s="175">
        <v>3</v>
      </c>
      <c r="Q76" s="173"/>
      <c r="R76" s="173"/>
      <c r="S76" s="173"/>
      <c r="T76" s="183"/>
      <c r="U76" s="183"/>
      <c r="V76" s="173"/>
    </row>
    <row r="77" spans="1:22" ht="19.5" customHeight="1" x14ac:dyDescent="0.25">
      <c r="A77" s="175">
        <v>4</v>
      </c>
      <c r="B77" s="173"/>
      <c r="C77" s="173"/>
      <c r="D77" s="173"/>
      <c r="E77" s="183"/>
      <c r="F77" s="183"/>
      <c r="G77" s="173"/>
      <c r="J77" s="257"/>
      <c r="K77" s="248"/>
      <c r="L77" s="270"/>
      <c r="M77" s="242"/>
      <c r="P77" s="175">
        <v>4</v>
      </c>
      <c r="Q77" s="173"/>
      <c r="R77" s="173"/>
      <c r="S77" s="173"/>
      <c r="T77" s="183"/>
      <c r="U77" s="183"/>
      <c r="V77" s="173"/>
    </row>
    <row r="78" spans="1:22" ht="19.5" customHeight="1" x14ac:dyDescent="0.25">
      <c r="A78" s="175">
        <v>5</v>
      </c>
      <c r="B78" s="173"/>
      <c r="C78" s="173"/>
      <c r="D78" s="173"/>
      <c r="E78" s="186"/>
      <c r="F78" s="186"/>
      <c r="G78" s="173"/>
      <c r="J78" s="257"/>
      <c r="K78" s="248"/>
      <c r="L78" s="270"/>
      <c r="M78" s="242"/>
      <c r="P78" s="175">
        <v>5</v>
      </c>
      <c r="Q78" s="173"/>
      <c r="R78" s="173"/>
      <c r="S78" s="173"/>
      <c r="T78" s="186"/>
      <c r="U78" s="186"/>
      <c r="V78" s="173"/>
    </row>
    <row r="79" spans="1:22" ht="19.5" customHeight="1" x14ac:dyDescent="0.25">
      <c r="A79" s="187"/>
      <c r="B79" s="160"/>
      <c r="C79" s="160"/>
      <c r="D79" s="188" t="s">
        <v>205</v>
      </c>
      <c r="E79" s="189"/>
      <c r="F79" s="190"/>
      <c r="G79" s="191"/>
      <c r="J79" s="267"/>
      <c r="K79" s="268"/>
      <c r="L79" s="274"/>
      <c r="M79" s="275"/>
      <c r="P79" s="187"/>
      <c r="Q79" s="160"/>
      <c r="R79" s="160"/>
      <c r="S79" s="188" t="s">
        <v>205</v>
      </c>
      <c r="T79" s="189"/>
      <c r="U79" s="190"/>
      <c r="V79" s="191"/>
    </row>
    <row r="80" spans="1:22" ht="14.25" customHeight="1" x14ac:dyDescent="0.25">
      <c r="A80" s="192" t="s">
        <v>207</v>
      </c>
      <c r="B80" s="161"/>
      <c r="C80" s="161"/>
      <c r="D80" s="161"/>
      <c r="E80" s="161"/>
      <c r="F80" s="161"/>
      <c r="G80" s="160"/>
      <c r="J80" s="272"/>
      <c r="K80" s="262"/>
      <c r="L80" s="262"/>
      <c r="M80" s="262"/>
      <c r="P80" s="192" t="s">
        <v>207</v>
      </c>
      <c r="Q80" s="161"/>
      <c r="R80" s="161"/>
      <c r="S80" s="161"/>
      <c r="T80" s="161"/>
      <c r="U80" s="161"/>
      <c r="V80" s="160"/>
    </row>
    <row r="81" spans="1:22" ht="14.25" customHeight="1" x14ac:dyDescent="0.25">
      <c r="A81" s="193" t="s">
        <v>208</v>
      </c>
      <c r="B81" s="194"/>
      <c r="C81" s="194"/>
      <c r="D81" s="194"/>
      <c r="E81" s="194"/>
      <c r="F81" s="194"/>
      <c r="G81" s="169"/>
      <c r="H81" s="261" t="s">
        <v>209</v>
      </c>
      <c r="I81" s="262"/>
      <c r="J81" s="262"/>
      <c r="K81" s="262"/>
      <c r="L81" s="262"/>
      <c r="M81" s="262"/>
      <c r="N81" s="262"/>
      <c r="O81" s="263"/>
      <c r="P81" s="193" t="s">
        <v>208</v>
      </c>
      <c r="Q81" s="194"/>
      <c r="R81" s="194"/>
      <c r="S81" s="194"/>
      <c r="T81" s="194"/>
      <c r="U81" s="194"/>
      <c r="V81" s="169"/>
    </row>
    <row r="82" spans="1:22" ht="14.25" customHeight="1" x14ac:dyDescent="0.25">
      <c r="A82" s="195" t="s">
        <v>210</v>
      </c>
      <c r="G82" s="196"/>
      <c r="H82" s="266" t="s">
        <v>200</v>
      </c>
      <c r="I82" s="262"/>
      <c r="J82" s="262"/>
      <c r="K82" s="262"/>
      <c r="L82" s="262"/>
      <c r="M82" s="262"/>
      <c r="N82" s="262"/>
      <c r="O82" s="263"/>
      <c r="P82" s="195" t="s">
        <v>210</v>
      </c>
      <c r="V82" s="196"/>
    </row>
    <row r="83" spans="1:22" ht="19.5" customHeight="1" x14ac:dyDescent="0.25">
      <c r="A83" s="193" t="s">
        <v>208</v>
      </c>
      <c r="B83" s="194"/>
      <c r="C83" s="194"/>
      <c r="D83" s="194"/>
      <c r="E83" s="194"/>
      <c r="F83" s="194"/>
      <c r="G83" s="169"/>
      <c r="I83" s="197"/>
      <c r="J83" s="284"/>
      <c r="K83" s="285"/>
      <c r="L83" s="286"/>
      <c r="M83" s="220"/>
      <c r="N83" s="197"/>
      <c r="P83" s="193" t="s">
        <v>208</v>
      </c>
      <c r="Q83" s="194"/>
      <c r="R83" s="194"/>
      <c r="S83" s="194"/>
      <c r="T83" s="194"/>
      <c r="U83" s="194"/>
      <c r="V83" s="169"/>
    </row>
    <row r="84" spans="1:22" ht="14.25" customHeight="1" x14ac:dyDescent="0.25">
      <c r="A84" s="204"/>
      <c r="I84" s="158"/>
      <c r="J84" s="158"/>
      <c r="K84" s="158"/>
      <c r="L84" s="158"/>
      <c r="M84" s="158"/>
      <c r="N84" s="158"/>
      <c r="P84" s="157"/>
      <c r="V84" s="196"/>
    </row>
    <row r="85" spans="1:22" ht="14.25" customHeight="1" x14ac:dyDescent="0.25">
      <c r="A85" s="198"/>
      <c r="I85" s="158"/>
      <c r="J85" s="272" t="s">
        <v>211</v>
      </c>
      <c r="K85" s="262"/>
      <c r="L85" s="262"/>
      <c r="M85" s="262"/>
      <c r="N85" s="158"/>
      <c r="P85" s="157"/>
      <c r="V85" s="196"/>
    </row>
    <row r="86" spans="1:22" ht="14.25" customHeight="1" x14ac:dyDescent="0.25">
      <c r="A86" s="193"/>
      <c r="B86" s="194"/>
      <c r="C86" s="194"/>
      <c r="D86" s="194"/>
      <c r="E86" s="194"/>
      <c r="F86" s="194"/>
      <c r="G86" s="194"/>
      <c r="H86" s="194"/>
      <c r="I86" s="199"/>
      <c r="J86" s="271"/>
      <c r="K86" s="250"/>
      <c r="L86" s="250"/>
      <c r="M86" s="250"/>
      <c r="N86" s="199"/>
      <c r="O86" s="194"/>
      <c r="P86" s="200"/>
      <c r="Q86" s="194"/>
      <c r="R86" s="194"/>
      <c r="S86" s="194"/>
      <c r="T86" s="194"/>
      <c r="U86" s="194"/>
      <c r="V86" s="169"/>
    </row>
    <row r="87" spans="1:22" ht="14.25" customHeight="1" x14ac:dyDescent="0.25"/>
    <row r="88" spans="1:22" ht="14.25" customHeight="1" x14ac:dyDescent="0.25"/>
    <row r="89" spans="1:22" ht="14.25" customHeight="1" x14ac:dyDescent="0.25"/>
    <row r="90" spans="1:22" ht="14.25" customHeight="1" x14ac:dyDescent="0.25"/>
    <row r="91" spans="1:22" ht="14.25" customHeight="1" x14ac:dyDescent="0.25"/>
    <row r="92" spans="1:22" ht="14.25" customHeight="1" x14ac:dyDescent="0.25"/>
    <row r="93" spans="1:22" ht="14.25" customHeight="1" x14ac:dyDescent="0.25"/>
    <row r="94" spans="1:22" ht="14.25" customHeight="1" x14ac:dyDescent="0.25"/>
    <row r="95" spans="1:22" ht="14.25" customHeight="1" x14ac:dyDescent="0.25"/>
    <row r="96" spans="1:22"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algorithmName="SHA-512" hashValue="18hCM8+DmfOHYsrfyFDcfPVvwxxwLzVnsyBJid6uNnp0CQPH9NLd7YgGftoSGxHxzby4UCqtf5iBX1cBAcPXig==" saltValue="nwKUr4Rz3VWqn1lyNN9wxw==" spinCount="100000" sheet="1" objects="1" scenarios="1" selectLockedCells="1"/>
  <mergeCells count="148">
    <mergeCell ref="R2:U2"/>
    <mergeCell ref="J18:M18"/>
    <mergeCell ref="J9:K9"/>
    <mergeCell ref="Q6:S6"/>
    <mergeCell ref="J42:M42"/>
    <mergeCell ref="H58:O58"/>
    <mergeCell ref="L12:M12"/>
    <mergeCell ref="J53:K53"/>
    <mergeCell ref="J5:M5"/>
    <mergeCell ref="J19:M19"/>
    <mergeCell ref="R28:U28"/>
    <mergeCell ref="J49:K49"/>
    <mergeCell ref="R45:U45"/>
    <mergeCell ref="P2:Q4"/>
    <mergeCell ref="Q5:V5"/>
    <mergeCell ref="J56:M56"/>
    <mergeCell ref="J10:K10"/>
    <mergeCell ref="H4:O4"/>
    <mergeCell ref="L79:M79"/>
    <mergeCell ref="J31:K31"/>
    <mergeCell ref="L31:M31"/>
    <mergeCell ref="L40:M40"/>
    <mergeCell ref="H27:O27"/>
    <mergeCell ref="L9:M9"/>
    <mergeCell ref="B30:D30"/>
    <mergeCell ref="B6:D6"/>
    <mergeCell ref="B5:G5"/>
    <mergeCell ref="C26:F26"/>
    <mergeCell ref="L75:M75"/>
    <mergeCell ref="H70:O70"/>
    <mergeCell ref="A2:B4"/>
    <mergeCell ref="S27:U27"/>
    <mergeCell ref="J86:M86"/>
    <mergeCell ref="I26:N26"/>
    <mergeCell ref="S3:U3"/>
    <mergeCell ref="C2:F2"/>
    <mergeCell ref="L7:M7"/>
    <mergeCell ref="D27:F27"/>
    <mergeCell ref="J73:K73"/>
    <mergeCell ref="L16:M16"/>
    <mergeCell ref="B73:D73"/>
    <mergeCell ref="J62:M62"/>
    <mergeCell ref="P26:Q28"/>
    <mergeCell ref="C28:F28"/>
    <mergeCell ref="J77:K77"/>
    <mergeCell ref="J34:K34"/>
    <mergeCell ref="C69:F69"/>
    <mergeCell ref="H46:O46"/>
    <mergeCell ref="D3:F3"/>
    <mergeCell ref="L76:M76"/>
    <mergeCell ref="L50:M50"/>
    <mergeCell ref="I69:N69"/>
    <mergeCell ref="J83:K83"/>
    <mergeCell ref="J36:K36"/>
    <mergeCell ref="C4:F4"/>
    <mergeCell ref="H81:O81"/>
    <mergeCell ref="J75:K75"/>
    <mergeCell ref="H47:O47"/>
    <mergeCell ref="J12:K12"/>
    <mergeCell ref="L59:M59"/>
    <mergeCell ref="L6:M6"/>
    <mergeCell ref="D46:F46"/>
    <mergeCell ref="H15:O15"/>
    <mergeCell ref="J51:K51"/>
    <mergeCell ref="H71:O71"/>
    <mergeCell ref="J8:K8"/>
    <mergeCell ref="L8:M8"/>
    <mergeCell ref="J16:K16"/>
    <mergeCell ref="L10:M10"/>
    <mergeCell ref="H28:O28"/>
    <mergeCell ref="L77:M77"/>
    <mergeCell ref="J6:K6"/>
    <mergeCell ref="J72:M72"/>
    <mergeCell ref="J29:M29"/>
    <mergeCell ref="J55:K55"/>
    <mergeCell ref="H38:O38"/>
    <mergeCell ref="J43:M43"/>
    <mergeCell ref="J59:K59"/>
    <mergeCell ref="J85:M85"/>
    <mergeCell ref="R47:U47"/>
    <mergeCell ref="C71:F71"/>
    <mergeCell ref="Q73:S73"/>
    <mergeCell ref="H82:O82"/>
    <mergeCell ref="L32:M32"/>
    <mergeCell ref="B29:G29"/>
    <mergeCell ref="J40:K40"/>
    <mergeCell ref="R71:U71"/>
    <mergeCell ref="J61:M61"/>
    <mergeCell ref="J48:M48"/>
    <mergeCell ref="H39:O39"/>
    <mergeCell ref="Q49:S49"/>
    <mergeCell ref="B49:D49"/>
    <mergeCell ref="L33:M33"/>
    <mergeCell ref="Q30:S30"/>
    <mergeCell ref="J74:K74"/>
    <mergeCell ref="L74:M74"/>
    <mergeCell ref="J35:K35"/>
    <mergeCell ref="A69:B71"/>
    <mergeCell ref="L83:M83"/>
    <mergeCell ref="L30:M30"/>
    <mergeCell ref="R69:U69"/>
    <mergeCell ref="Q48:V48"/>
    <mergeCell ref="L55:M55"/>
    <mergeCell ref="J37:M37"/>
    <mergeCell ref="B48:G48"/>
    <mergeCell ref="B72:G72"/>
    <mergeCell ref="S46:U46"/>
    <mergeCell ref="L52:M52"/>
    <mergeCell ref="J50:K50"/>
    <mergeCell ref="L11:M11"/>
    <mergeCell ref="S70:U70"/>
    <mergeCell ref="H14:O14"/>
    <mergeCell ref="J52:K52"/>
    <mergeCell ref="C45:F45"/>
    <mergeCell ref="L35:M35"/>
    <mergeCell ref="A26:B28"/>
    <mergeCell ref="C47:F47"/>
    <mergeCell ref="A45:B47"/>
    <mergeCell ref="L53:M53"/>
    <mergeCell ref="Q72:V72"/>
    <mergeCell ref="Q29:V29"/>
    <mergeCell ref="D70:F70"/>
    <mergeCell ref="P45:Q47"/>
    <mergeCell ref="J11:K11"/>
    <mergeCell ref="J80:M80"/>
    <mergeCell ref="L34:M34"/>
    <mergeCell ref="H3:O3"/>
    <mergeCell ref="I2:N2"/>
    <mergeCell ref="R26:U26"/>
    <mergeCell ref="I45:N45"/>
    <mergeCell ref="J76:K76"/>
    <mergeCell ref="J33:K33"/>
    <mergeCell ref="L49:M49"/>
    <mergeCell ref="L36:M36"/>
    <mergeCell ref="J79:K79"/>
    <mergeCell ref="J13:M13"/>
    <mergeCell ref="L73:M73"/>
    <mergeCell ref="R4:U4"/>
    <mergeCell ref="L51:M51"/>
    <mergeCell ref="J54:K54"/>
    <mergeCell ref="J32:K32"/>
    <mergeCell ref="J7:K7"/>
    <mergeCell ref="L54:M54"/>
    <mergeCell ref="H57:O57"/>
    <mergeCell ref="J78:K78"/>
    <mergeCell ref="P69:Q71"/>
    <mergeCell ref="L78:M78"/>
    <mergeCell ref="J30:K30"/>
  </mergeCells>
  <dataValidations count="1">
    <dataValidation type="list" allowBlank="1" showInputMessage="1" showErrorMessage="1" sqref="Y2" xr:uid="{00000000-0002-0000-0700-000000000000}">
      <formula1>"1,2,3,4,5,6,7"</formula1>
      <formula2>0</formula2>
    </dataValidation>
  </dataValidations>
  <printOptions horizontalCentered="1" verticalCentered="1"/>
  <pageMargins left="0.23611111111111099" right="0.35416666666666702" top="0.74791666666666701" bottom="0.74791666666666701" header="0.511811023622047" footer="0.511811023622047"/>
  <pageSetup paperSize="9" orientation="portrait" horizontalDpi="300" verticalDpi="300"/>
  <rowBreaks count="1" manualBreakCount="1">
    <brk id="43" max="16383" man="1"/>
  </rowBreak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002"/>
  <sheetViews>
    <sheetView zoomScale="110" zoomScaleNormal="110" workbookViewId="0">
      <selection activeCell="C6" sqref="C6"/>
    </sheetView>
  </sheetViews>
  <sheetFormatPr defaultColWidth="14.42578125" defaultRowHeight="15" customHeight="1" x14ac:dyDescent="0.25"/>
  <cols>
    <col min="1" max="1" width="19" customWidth="1"/>
    <col min="2" max="2" width="63.7109375" customWidth="1"/>
    <col min="3" max="3" width="11.28515625" customWidth="1"/>
    <col min="4" max="4" width="4.85546875" customWidth="1"/>
    <col min="5" max="5" width="23.7109375" customWidth="1"/>
    <col min="6" max="6" width="10.5703125" customWidth="1"/>
    <col min="7" max="9" width="9.140625" customWidth="1"/>
    <col min="10" max="10" width="9.140625" hidden="1" customWidth="1"/>
    <col min="11" max="11" width="8.7109375" hidden="1" customWidth="1"/>
    <col min="12" max="27" width="8.7109375" customWidth="1"/>
  </cols>
  <sheetData>
    <row r="1" spans="1:11" ht="33" customHeight="1" x14ac:dyDescent="0.25">
      <c r="A1" s="302" t="str">
        <f>Deelnemers!$B$1</f>
        <v>RK Teams Rayon 4, 25m 1pijl competitie 2025/2026</v>
      </c>
      <c r="B1" s="228"/>
      <c r="C1" s="303"/>
    </row>
    <row r="2" spans="1:11" ht="21.75" customHeight="1" x14ac:dyDescent="0.35">
      <c r="A2" s="301" t="str">
        <f>Deelnemers!$B$2</f>
        <v>Recurve klasse D</v>
      </c>
      <c r="B2" s="239"/>
      <c r="C2" s="222"/>
    </row>
    <row r="3" spans="1:11" ht="19.5" customHeight="1" x14ac:dyDescent="0.35">
      <c r="A3" s="304" t="str">
        <f>_xlfn.TEXTJOIN(", ",TRUE(),Deelnemers!B3,Deelnemers!B4)</f>
        <v>Willem Tell 1921, Kerkrade, 2026-04-11</v>
      </c>
      <c r="B3" s="305"/>
      <c r="C3" s="306"/>
    </row>
    <row r="5" spans="1:11" ht="15" customHeight="1" x14ac:dyDescent="0.25">
      <c r="E5" t="s">
        <v>213</v>
      </c>
    </row>
    <row r="6" spans="1:11" ht="21.75" customHeight="1" x14ac:dyDescent="0.35">
      <c r="A6" s="208">
        <f>VLOOKUP(C6,Deelnemers!A8:C46,3,FALSE())</f>
        <v>0</v>
      </c>
      <c r="B6" s="208">
        <f>VLOOKUP(C6,Deelnemers!A8:C46,2,FALSE())</f>
        <v>0</v>
      </c>
      <c r="C6" s="209" t="s">
        <v>51</v>
      </c>
      <c r="E6" t="s">
        <v>214</v>
      </c>
      <c r="J6" t="str">
        <f>Deelnemers!A8</f>
        <v>Baan 1</v>
      </c>
      <c r="K6" t="str">
        <f>Deelnemers!A13</f>
        <v>Baan 2</v>
      </c>
    </row>
    <row r="7" spans="1:11" ht="15" customHeight="1" x14ac:dyDescent="0.25">
      <c r="J7" t="str">
        <f>Deelnemers!A18</f>
        <v>Baan 3</v>
      </c>
      <c r="K7" t="str">
        <f>Deelnemers!A23</f>
        <v>Baan 4</v>
      </c>
    </row>
    <row r="8" spans="1:11" ht="17.25" customHeight="1" x14ac:dyDescent="0.3">
      <c r="A8" s="210" t="s">
        <v>215</v>
      </c>
      <c r="B8" s="211" t="s">
        <v>10</v>
      </c>
      <c r="C8" s="212"/>
      <c r="J8" t="str">
        <f>Deelnemers!A28</f>
        <v>Baan 5</v>
      </c>
      <c r="K8" t="str">
        <f>Deelnemers!A33</f>
        <v>Baan 6</v>
      </c>
    </row>
    <row r="9" spans="1:11" ht="46.5" customHeight="1" x14ac:dyDescent="0.25">
      <c r="A9" s="213"/>
      <c r="B9" s="213"/>
      <c r="C9" s="214" t="s">
        <v>55</v>
      </c>
      <c r="J9" t="str">
        <f>Deelnemers!A38</f>
        <v>Baan 7</v>
      </c>
      <c r="K9" t="str">
        <f>Deelnemers!A43</f>
        <v>Baan 8</v>
      </c>
    </row>
    <row r="10" spans="1:11" ht="46.5" customHeight="1" x14ac:dyDescent="0.25">
      <c r="A10" s="213"/>
      <c r="B10" s="213"/>
      <c r="C10" s="214" t="s">
        <v>59</v>
      </c>
    </row>
    <row r="11" spans="1:11" ht="46.5" customHeight="1" x14ac:dyDescent="0.25">
      <c r="A11" s="213"/>
      <c r="B11" s="213"/>
      <c r="C11" s="214" t="s">
        <v>61</v>
      </c>
      <c r="H11" s="49"/>
    </row>
    <row r="18" spans="1:8" ht="33" customHeight="1" x14ac:dyDescent="0.25">
      <c r="A18" s="302" t="str">
        <f>Deelnemers!$B$1</f>
        <v>RK Teams Rayon 4, 25m 1pijl competitie 2025/2026</v>
      </c>
      <c r="B18" s="228"/>
      <c r="C18" s="303"/>
    </row>
    <row r="19" spans="1:8" ht="21.75" customHeight="1" x14ac:dyDescent="0.35">
      <c r="A19" s="301" t="str">
        <f>Deelnemers!$B$2</f>
        <v>Recurve klasse D</v>
      </c>
      <c r="B19" s="239"/>
      <c r="C19" s="222"/>
    </row>
    <row r="20" spans="1:8" ht="19.5" customHeight="1" x14ac:dyDescent="0.35">
      <c r="A20" s="304" t="str">
        <f>_xlfn.TEXTJOIN(", ",TRUE(),Deelnemers!B3,Deelnemers!B4)</f>
        <v>Willem Tell 1921, Kerkrade, 2026-04-11</v>
      </c>
      <c r="B20" s="305"/>
      <c r="C20" s="306"/>
    </row>
    <row r="23" spans="1:8" ht="21.75" customHeight="1" x14ac:dyDescent="0.35">
      <c r="A23" s="208">
        <f>VLOOKUP(C6,Deelnemers!A8:C46,3,FALSE())</f>
        <v>0</v>
      </c>
      <c r="B23" s="208">
        <f>VLOOKUP(C23,Deelnemers!A8:C46,2,FALSE())</f>
        <v>0</v>
      </c>
      <c r="C23" s="215" t="str">
        <f>VLOOKUP(C6,J6:K9,2,FALSE())</f>
        <v>Baan 2</v>
      </c>
    </row>
    <row r="25" spans="1:8" ht="17.25" customHeight="1" x14ac:dyDescent="0.3">
      <c r="A25" s="210" t="s">
        <v>215</v>
      </c>
      <c r="B25" s="211" t="s">
        <v>10</v>
      </c>
      <c r="C25" s="212"/>
    </row>
    <row r="26" spans="1:8" ht="46.5" customHeight="1" x14ac:dyDescent="0.25">
      <c r="A26" s="213"/>
      <c r="B26" s="213"/>
      <c r="C26" s="214" t="s">
        <v>55</v>
      </c>
    </row>
    <row r="27" spans="1:8" ht="46.5" customHeight="1" x14ac:dyDescent="0.25">
      <c r="A27" s="213"/>
      <c r="B27" s="213"/>
      <c r="C27" s="214" t="s">
        <v>59</v>
      </c>
    </row>
    <row r="28" spans="1:8" ht="46.5" customHeight="1" x14ac:dyDescent="0.25">
      <c r="A28" s="213"/>
      <c r="B28" s="213"/>
      <c r="C28" s="214" t="s">
        <v>61</v>
      </c>
      <c r="H28" s="49"/>
    </row>
    <row r="29" spans="1:8" ht="15.75" customHeight="1" x14ac:dyDescent="0.25"/>
    <row r="30" spans="1:8" ht="15.75" customHeight="1" x14ac:dyDescent="0.25"/>
    <row r="31" spans="1:8" ht="15.75" customHeight="1" x14ac:dyDescent="0.25"/>
    <row r="32" spans="1:8"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sheetData>
  <sheetProtection algorithmName="SHA-512" hashValue="1WMS9hOvr11ANSAfiPpubcurthG6RB86O9ixiP+ZswhZHU9E2rB97I+XichuCl56e601ifWmGUd8rrYarHrfiQ==" saltValue="T5mOVKiMjKVDb0pfZg6F+Q==" spinCount="100000" sheet="1" objects="1" scenarios="1" selectLockedCells="1"/>
  <mergeCells count="6">
    <mergeCell ref="A19:C19"/>
    <mergeCell ref="A1:C1"/>
    <mergeCell ref="A18:C18"/>
    <mergeCell ref="A3:C3"/>
    <mergeCell ref="A20:C20"/>
    <mergeCell ref="A2:C2"/>
  </mergeCells>
  <dataValidations count="2">
    <dataValidation allowBlank="1" showErrorMessage="1" sqref="C23" xr:uid="{00000000-0002-0000-0800-000000000000}">
      <formula1>0</formula1>
      <formula2>0</formula2>
    </dataValidation>
    <dataValidation type="list" allowBlank="1" showErrorMessage="1" sqref="C6" xr:uid="{00000000-0002-0000-0800-000001000000}">
      <formula1>$J$6:$J$9</formula1>
      <formula2>0</formula2>
    </dataValidation>
  </dataValidations>
  <pageMargins left="0.31527777777777799" right="0.31527777777777799" top="0.74791666666666701" bottom="0.74791666666666701" header="0.511811023622047" footer="0.511811023622047"/>
  <pageSetup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9</vt:i4>
      </vt:variant>
      <vt:variant>
        <vt:lpstr>Benoemde bereiken</vt:lpstr>
      </vt:variant>
      <vt:variant>
        <vt:i4>4</vt:i4>
      </vt:variant>
    </vt:vector>
  </HeadingPairs>
  <TitlesOfParts>
    <vt:vector size="13" baseType="lpstr">
      <vt:lpstr>Handleiding</vt:lpstr>
      <vt:lpstr>Toegestane deelnemers</vt:lpstr>
      <vt:lpstr>Deelnemers</vt:lpstr>
      <vt:lpstr>Scores</vt:lpstr>
      <vt:lpstr>Stand</vt:lpstr>
      <vt:lpstr>Wedstrijdschema</vt:lpstr>
      <vt:lpstr>Score briefjes Indoor</vt:lpstr>
      <vt:lpstr>Score briefjes 25M1P</vt:lpstr>
      <vt:lpstr>Naambriefje</vt:lpstr>
      <vt:lpstr>Naambriefje!Afdrukbereik</vt:lpstr>
      <vt:lpstr>'Score briefjes 25M1P'!Afdrukbereik</vt:lpstr>
      <vt:lpstr>'Score briefjes Indoor'!Afdrukbereik</vt:lpstr>
      <vt:lpstr>Scores!Afdrukbereik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Dirk Schaap</dc:creator>
  <cp:lastModifiedBy>Dirk Schaap</cp:lastModifiedBy>
  <cp:revision>69</cp:revision>
  <cp:lastPrinted>2026-02-03T15:36:14Z</cp:lastPrinted>
  <dcterms:created xsi:type="dcterms:W3CDTF">2025-01-23T08:45:24Z</dcterms:created>
  <dcterms:modified xsi:type="dcterms:W3CDTF">2026-04-13T10:55:04Z</dcterms:modified>
  <dc:language>en-GB</dc:language>
</cp:coreProperties>
</file>