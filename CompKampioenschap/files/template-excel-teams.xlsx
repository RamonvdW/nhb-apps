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ndleiding" sheetId="1" state="visible" r:id="rId3"/>
    <sheet name="Toegestane deelnemers" sheetId="2" state="visible" r:id="rId4"/>
    <sheet name="Deelnemers" sheetId="3" state="visible" r:id="rId5"/>
    <sheet name="Scores" sheetId="4" state="visible" r:id="rId6"/>
    <sheet name="Stand" sheetId="5" state="visible" r:id="rId7"/>
    <sheet name="Wedstrijdschema" sheetId="6" state="visible" r:id="rId8"/>
    <sheet name="Score briefjes Indoor" sheetId="7" state="visible" r:id="rId9"/>
    <sheet name="Score briefjes 25M1P" sheetId="8" state="visible" r:id="rId10"/>
    <sheet name="Naambriefje" sheetId="9" state="visible" r:id="rId11"/>
  </sheets>
  <definedNames>
    <definedName function="false" hidden="false" localSheetId="8" name="_xlnm.Print_Area" vbProcedure="false">Naambriefje!$A$1:$D$28</definedName>
    <definedName function="false" hidden="false" localSheetId="7" name="_xlnm.Print_Area" vbProcedure="false">'Score briefjes 25M1P'!$A$2:$V$86</definedName>
    <definedName function="false" hidden="false" localSheetId="6" name="_xlnm.Print_Area" vbProcedure="false">'Score briefjes Indoor'!$A$1:$V$97</definedName>
    <definedName function="false" hidden="false" localSheetId="3" name="_xlnm.Print_Area" vbProcedure="false">Scores!$H$2:$AA$14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<sst xmlns="http://schemas.openxmlformats.org/spreadsheetml/2006/main" count="507" uniqueCount="137">
  <si>
    <t xml:space="preserve">Tabblad deelnemers</t>
  </si>
  <si>
    <t xml:space="preserve">Bij aanvang invullen de licht grijze velden:</t>
  </si>
  <si>
    <t xml:space="preserve">Niet vergeten!!</t>
  </si>
  <si>
    <t xml:space="preserve">Dit Excel blad opsturen naar:</t>
  </si>
  <si>
    <t xml:space="preserve">mh-support@handboogsport.nl</t>
  </si>
  <si>
    <t xml:space="preserve">Keuze boogsoort (veld C1)</t>
  </si>
  <si>
    <t xml:space="preserve">zodat we de uitslag kunnen publiceren op MijnHandboogsport.</t>
  </si>
  <si>
    <t xml:space="preserve">Keuze competitie indoor of 25m1p (veld D1)</t>
  </si>
  <si>
    <t xml:space="preserve">Keuze klasse (veld E1)</t>
  </si>
  <si>
    <t xml:space="preserve">Jaartal in format JJJJ (veld B2)</t>
  </si>
  <si>
    <t xml:space="preserve">Keuze Rayon of Bonds kampioenschap (veld C2)</t>
  </si>
  <si>
    <t xml:space="preserve">Indien Rayonkampioenschap het juiste Rayon kiezen (veld E2)</t>
  </si>
  <si>
    <t xml:space="preserve">Vul in Oganiserende vereniging, plaats (veld B3)</t>
  </si>
  <si>
    <t xml:space="preserve">Datum wedstrijd in format DD-MMM-JJJJ (veld B4)</t>
  </si>
  <si>
    <t xml:space="preserve">1e baan nummer (veld D4) (zie hieronder de verklaring)</t>
  </si>
  <si>
    <r>
      <rPr>
        <sz val="11"/>
        <color theme="1"/>
        <rFont val="Calibri"/>
        <family val="0"/>
        <charset val="1"/>
      </rPr>
      <t xml:space="preserve">Indien er </t>
    </r>
    <r>
      <rPr>
        <b val="true"/>
        <sz val="11"/>
        <color rgb="FF000000"/>
        <rFont val="Calibri"/>
        <family val="0"/>
        <charset val="1"/>
      </rPr>
      <t xml:space="preserve">gelijktijdig</t>
    </r>
    <r>
      <rPr>
        <sz val="11"/>
        <color rgb="FF000000"/>
        <rFont val="Calibri"/>
        <family val="0"/>
        <charset val="1"/>
      </rPr>
      <t xml:space="preserve"> meerdere boogsoorten wordt verschoten dan dit sheet openen en 1 keer opslaan met boogsoort 1 in de naam en 1 keer opslaan met boogsoort 2 in de naam. BV recurve en compound</t>
    </r>
  </si>
  <si>
    <r>
      <rPr>
        <sz val="11"/>
        <color rgb="FF000000"/>
        <rFont val="Calibri"/>
        <family val="0"/>
        <charset val="1"/>
      </rPr>
      <t xml:space="preserve">Voor de 2e boogsoort op tabblad deelnemers het veld achter </t>
    </r>
    <r>
      <rPr>
        <b val="true"/>
        <sz val="11"/>
        <color rgb="FF000000"/>
        <rFont val="Calibri"/>
        <family val="0"/>
        <charset val="1"/>
      </rPr>
      <t xml:space="preserve">1e baan</t>
    </r>
    <r>
      <rPr>
        <sz val="11"/>
        <color rgb="FF000000"/>
        <rFont val="Calibri"/>
        <family val="0"/>
        <charset val="1"/>
      </rPr>
      <t xml:space="preserve"> aanpassen naar baannummer 9.</t>
    </r>
  </si>
  <si>
    <t xml:space="preserve">Bovenstaande geldt ook indien er 2 klassen tegelijkertijd worden verschoten. Alleen dan opslaan met de juiste klasse in de naam.</t>
  </si>
  <si>
    <r>
      <rPr>
        <sz val="11"/>
        <color rgb="FF000000"/>
        <rFont val="Calibri"/>
        <family val="2"/>
        <charset val="1"/>
      </rPr>
      <t xml:space="preserve">Indien er </t>
    </r>
    <r>
      <rPr>
        <b val="true"/>
        <sz val="11"/>
        <color rgb="FF000000"/>
        <rFont val="Calibri"/>
        <family val="2"/>
        <charset val="1"/>
      </rPr>
      <t xml:space="preserve">één</t>
    </r>
    <r>
      <rPr>
        <sz val="11"/>
        <color rgb="FF000000"/>
        <rFont val="Calibri"/>
        <family val="2"/>
        <charset val="1"/>
      </rPr>
      <t xml:space="preserve"> boogsoort en klasse wordt </t>
    </r>
    <r>
      <rPr>
        <sz val="11"/>
        <color rgb="FF000000"/>
        <rFont val="Calibri"/>
        <family val="0"/>
        <charset val="1"/>
      </rPr>
      <t xml:space="preserve">verschoten 1e baan invullen als 1. Denk om de keuze van de juiste boogsoort en klasse zoals vermeld op regel 3 en 5</t>
    </r>
  </si>
  <si>
    <t xml:space="preserve">Aantal Aangemelde teams 5 of meer (keuze ja/nee) (veld C5). Bij minder dan 5 deelnemende teams schiet men een dubbele ronde. Zie ook regel 34</t>
  </si>
  <si>
    <t xml:space="preserve">tbv deelnemers achter de volgende omschrijving</t>
  </si>
  <si>
    <t xml:space="preserve">Baan 1</t>
  </si>
  <si>
    <t xml:space="preserve">Naam Team</t>
  </si>
  <si>
    <t xml:space="preserve">Verenigingsnummer</t>
  </si>
  <si>
    <t xml:space="preserve">Team info is op voorhand in te vullen n.a.v. de gegevens die van de bond zijn aangeleverd</t>
  </si>
  <si>
    <t xml:space="preserve">Schutter 1</t>
  </si>
  <si>
    <t xml:space="preserve">Naam schutter 1</t>
  </si>
  <si>
    <t xml:space="preserve">Bondsnummer</t>
  </si>
  <si>
    <t xml:space="preserve">Schutters info invullen door de teams het Naambriefje in te laten vullen. Zie tabblad Naambriefje, selecteer de betreffende baan van het bovenste team (baan 1, baan 3, baan 5 of baan 7), print het formulier, snijd of knip het in 2-en, en deel het uit</t>
  </si>
  <si>
    <t xml:space="preserve">Schutter 2</t>
  </si>
  <si>
    <t xml:space="preserve">Naam schutter 2</t>
  </si>
  <si>
    <t xml:space="preserve">Schutter 3</t>
  </si>
  <si>
    <t xml:space="preserve">Naam schutter 3</t>
  </si>
  <si>
    <t xml:space="preserve">Als de namen ingevuld zijn verschijnt er automatisch in het vak wedstrijden wie tegen wie schiet in welke ronde</t>
  </si>
  <si>
    <t xml:space="preserve">Via het tabblad wedstrijdschema kun je nu ook een overzicht printen wie in welke ronde tegen wie schiet</t>
  </si>
  <si>
    <t xml:space="preserve">Op ditzelfde overzicht staan ook eventueel kleuren welke per ronde boven de betreffende baan gehangen kunnen worden.  Zorg voor papier rood, blauw, groen en geel.</t>
  </si>
  <si>
    <t xml:space="preserve">Deze gekleurde vellen boven de baan kunnen duidelijk maken wie er tegen wie schiet.</t>
  </si>
  <si>
    <t xml:space="preserve">Hierna kan men naar het betreffende tabblad Score briefjes (indoor of 25M1P)</t>
  </si>
  <si>
    <t xml:space="preserve">Vul in ronde 1 (veld Y2) en print 2 exemplaren van de betreffende scorebriefjes</t>
  </si>
  <si>
    <t xml:space="preserve">Vul in ronde 2 (veld Y2) en print 2 exemplaren van de betreffende scorebriefjes</t>
  </si>
  <si>
    <t xml:space="preserve">Vul in ronde 3 (veld Y2) en print 2 exemplaren van de betreffende scorebriefjes</t>
  </si>
  <si>
    <t xml:space="preserve">idem voor ronde 4, 5, 6 en 7</t>
  </si>
  <si>
    <t xml:space="preserve">Bij 4 of minder deelnemende teams alleen ronde 1, 2 en 3 invullen, en dan 2 keer printen voor een dubbele ronde</t>
  </si>
  <si>
    <t xml:space="preserve">Tabblad scores:</t>
  </si>
  <si>
    <r>
      <rPr>
        <sz val="11"/>
        <color rgb="FF000000"/>
        <rFont val="Calibri"/>
        <family val="0"/>
        <charset val="1"/>
      </rPr>
      <t xml:space="preserve">Vul per ronde de gewonnen </t>
    </r>
    <r>
      <rPr>
        <b val="true"/>
        <u val="single"/>
        <sz val="11"/>
        <color rgb="FF000000"/>
        <rFont val="Calibri"/>
        <family val="0"/>
        <charset val="1"/>
      </rPr>
      <t xml:space="preserve">setpunten</t>
    </r>
    <r>
      <rPr>
        <sz val="11"/>
        <color rgb="FF000000"/>
        <rFont val="Calibri"/>
        <family val="0"/>
        <charset val="1"/>
      </rPr>
      <t xml:space="preserve"> in, op het tabblad scores in het vak wedstrijden, zoals vermeld op de scorebriefjes. Bij een bye-bye wedstrijd gewoon 0-0 invullen</t>
    </r>
  </si>
  <si>
    <t xml:space="preserve">Als deze ingevuld zijn verschijnt automatisch  in het vak set/matchpunten de stand van zaken na elke verwerkte score</t>
  </si>
  <si>
    <r>
      <rPr>
        <sz val="11"/>
        <color rgb="FF000000"/>
        <rFont val="Calibri"/>
        <family val="0"/>
        <charset val="1"/>
      </rPr>
      <t xml:space="preserve">Als er na de verwerking van </t>
    </r>
    <r>
      <rPr>
        <b val="true"/>
        <sz val="11"/>
        <color rgb="FF000000"/>
        <rFont val="Calibri"/>
        <family val="0"/>
        <charset val="1"/>
      </rPr>
      <t xml:space="preserve">de laatst ronde</t>
    </r>
    <r>
      <rPr>
        <sz val="11"/>
        <color rgb="FF000000"/>
        <rFont val="Calibri"/>
        <family val="0"/>
        <charset val="1"/>
      </rPr>
      <t xml:space="preserve"> nog rode cellen staan in het vak set/matchpunten betekent dit dat er een shoot-off of een loting gehouden moet worden.</t>
    </r>
  </si>
  <si>
    <t xml:space="preserve">Een shoot-off is voor de plaatsen 1,2 of 3. Voor de plaatsen 4 en lager mag er via loting een winaar worden aangewezen</t>
  </si>
  <si>
    <t xml:space="preserve">Na de de shoot-off kan de score ingevuld worden in de kolom sh-off, bij de loting krijgt de winnaar 1 punt de verliezer 0 in de kolom sh-off.</t>
  </si>
  <si>
    <t xml:space="preserve">Tabblad Stand</t>
  </si>
  <si>
    <t xml:space="preserve">Als alle rondes verschoten zijn kan men het tablad stand printen voor de einduitslag</t>
  </si>
  <si>
    <t xml:space="preserve">RK xyz Teams, Klasse abc komt hier</t>
  </si>
  <si>
    <t xml:space="preserve">Alleen onderstaande sporters mogen invallen in dit RK</t>
  </si>
  <si>
    <t xml:space="preserve">- Ze hebben genoeg scores neergezet in de regiocompetitie</t>
  </si>
  <si>
    <t xml:space="preserve">- Ze hebben een toestaan boogtype voor deze team wedstrijdklasse</t>
  </si>
  <si>
    <t xml:space="preserve">Controleer dat de invaller geen hoger gemiddelde heeft</t>
  </si>
  <si>
    <t xml:space="preserve">Controleer dat ze met hetzelfde type boog gaan schieten als hier genoemd</t>
  </si>
  <si>
    <t xml:space="preserve">Controleer dat ze voor hun eigen vereniging invallen</t>
  </si>
  <si>
    <r>
      <rPr>
        <sz val="10"/>
        <rFont val="Arial"/>
        <family val="2"/>
        <charset val="1"/>
      </rPr>
      <t xml:space="preserve">Kopieer </t>
    </r>
    <r>
      <rPr>
        <u val="single"/>
        <sz val="10"/>
        <rFont val="Arial"/>
        <family val="2"/>
        <charset val="1"/>
      </rPr>
      <t xml:space="preserve">naam</t>
    </r>
    <r>
      <rPr>
        <sz val="10"/>
        <rFont val="Arial"/>
        <family val="2"/>
        <charset val="1"/>
      </rPr>
      <t xml:space="preserve"> en </t>
    </r>
    <r>
      <rPr>
        <u val="single"/>
        <sz val="10"/>
        <rFont val="Arial"/>
        <family val="2"/>
        <charset val="1"/>
      </rPr>
      <t xml:space="preserve">bondsnummer</t>
    </r>
    <r>
      <rPr>
        <sz val="10"/>
        <rFont val="Arial"/>
        <family val="2"/>
        <charset val="1"/>
      </rPr>
      <t xml:space="preserve"> naar het blad Deelnemers</t>
    </r>
  </si>
  <si>
    <t xml:space="preserve">Regio</t>
  </si>
  <si>
    <t xml:space="preserve">Vereniging</t>
  </si>
  <si>
    <t xml:space="preserve">Sporter</t>
  </si>
  <si>
    <t xml:space="preserve">Gemiddelde</t>
  </si>
  <si>
    <t xml:space="preserve">Boog type</t>
  </si>
  <si>
    <t xml:space="preserve">Notitie</t>
  </si>
  <si>
    <t xml:space="preserve">Vereniging 123</t>
  </si>
  <si>
    <t xml:space="preserve">Sporter naam</t>
  </si>
  <si>
    <t xml:space="preserve">Traditional Bow</t>
  </si>
  <si>
    <t xml:space="preserve">Bondscompetie Teams</t>
  </si>
  <si>
    <t xml:space="preserve">Klasse</t>
  </si>
  <si>
    <t xml:space="preserve">klasse</t>
  </si>
  <si>
    <t xml:space="preserve">Organisator</t>
  </si>
  <si>
    <t xml:space="preserve">Naam organisator, Plaats</t>
  </si>
  <si>
    <t xml:space="preserve">Datum</t>
  </si>
  <si>
    <t xml:space="preserve">jjjj-mm-dd</t>
  </si>
  <si>
    <t xml:space="preserve">1e baan:</t>
  </si>
  <si>
    <t xml:space="preserve">Aantal aangemelde teams 5 of meer:</t>
  </si>
  <si>
    <t xml:space="preserve">Ja</t>
  </si>
  <si>
    <t xml:space="preserve">Teams</t>
  </si>
  <si>
    <t xml:space="preserve">Naam</t>
  </si>
  <si>
    <t xml:space="preserve">Nummer</t>
  </si>
  <si>
    <t xml:space="preserve">Team 1</t>
  </si>
  <si>
    <t xml:space="preserve">Sporter 1</t>
  </si>
  <si>
    <t xml:space="preserve">Sporter 2</t>
  </si>
  <si>
    <t xml:space="preserve">Sporter 3</t>
  </si>
  <si>
    <t xml:space="preserve">Team 2</t>
  </si>
  <si>
    <t xml:space="preserve">Team 3</t>
  </si>
  <si>
    <t xml:space="preserve">Team 4</t>
  </si>
  <si>
    <t xml:space="preserve">Team 5</t>
  </si>
  <si>
    <t xml:space="preserve">Team 6</t>
  </si>
  <si>
    <t xml:space="preserve">Team 7</t>
  </si>
  <si>
    <t xml:space="preserve">Team 8</t>
  </si>
  <si>
    <t xml:space="preserve">Wedstrijden</t>
  </si>
  <si>
    <t xml:space="preserve">set/matchpunten</t>
  </si>
  <si>
    <t xml:space="preserve">Ronde 1</t>
  </si>
  <si>
    <t xml:space="preserve">Score</t>
  </si>
  <si>
    <t xml:space="preserve">Matchpunten</t>
  </si>
  <si>
    <t xml:space="preserve">Ronde</t>
  </si>
  <si>
    <t xml:space="preserve">Tot.</t>
  </si>
  <si>
    <t xml:space="preserve">Sh-off</t>
  </si>
  <si>
    <t xml:space="preserve">Pos.</t>
  </si>
  <si>
    <t xml:space="preserve">S</t>
  </si>
  <si>
    <t xml:space="preserve">M</t>
  </si>
  <si>
    <t xml:space="preserve">Setp.</t>
  </si>
  <si>
    <t xml:space="preserve">Matchp.</t>
  </si>
  <si>
    <t xml:space="preserve">Ronde 2</t>
  </si>
  <si>
    <t xml:space="preserve">Ronde 3</t>
  </si>
  <si>
    <t xml:space="preserve">Voor printen tussenstand klik op de printer of selecteer afdrukken</t>
  </si>
  <si>
    <t xml:space="preserve">Ronde 4</t>
  </si>
  <si>
    <t xml:space="preserve">Ronde 5</t>
  </si>
  <si>
    <t xml:space="preserve">Ronde 6</t>
  </si>
  <si>
    <t xml:space="preserve">Ronde 7</t>
  </si>
  <si>
    <t xml:space="preserve">Plaats</t>
  </si>
  <si>
    <t xml:space="preserve">Team</t>
  </si>
  <si>
    <t xml:space="preserve">Setpunten</t>
  </si>
  <si>
    <t xml:space="preserve">Shoot-off</t>
  </si>
  <si>
    <t xml:space="preserve">Kampioen</t>
  </si>
  <si>
    <t xml:space="preserve">2e</t>
  </si>
  <si>
    <t xml:space="preserve">3e</t>
  </si>
  <si>
    <t xml:space="preserve">Wedstrijd schema</t>
  </si>
  <si>
    <t xml:space="preserve">-</t>
  </si>
  <si>
    <t xml:space="preserve">Welke ronde?</t>
  </si>
  <si>
    <t xml:space="preserve">Datum:</t>
  </si>
  <si>
    <t xml:space="preserve">Setpunten per set</t>
  </si>
  <si>
    <t xml:space="preserve">Winst:2 ;Gelijk:1 ;Verlies:0</t>
  </si>
  <si>
    <t xml:space="preserve">Naam:</t>
  </si>
  <si>
    <t xml:space="preserve">nr</t>
  </si>
  <si>
    <t xml:space="preserve">Sub</t>
  </si>
  <si>
    <t xml:space="preserve">Totaal</t>
  </si>
  <si>
    <t xml:space="preserve">Punten</t>
  </si>
  <si>
    <t xml:space="preserve">Deelnemer</t>
  </si>
  <si>
    <t xml:space="preserve">Handtekening</t>
  </si>
  <si>
    <t xml:space="preserve">Martchpunten</t>
  </si>
  <si>
    <t xml:space="preserve">Controle</t>
  </si>
  <si>
    <t xml:space="preserve">Winnaar</t>
  </si>
  <si>
    <t xml:space="preserve">Selecteer baan 1, 3, 5 of 7</t>
  </si>
  <si>
    <t xml:space="preserve">Bondsnr.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</si>
</sst>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[$-413]d/mmm/yyyy"/>
    <numFmt numFmtId="167" formatCode="0"/>
    <numFmt numFmtId="168" formatCode="0.0"/>
    <numFmt numFmtId="169" formatCode="dd/mm/yyyy"/>
    <numFmt numFmtId="170" formatCode="[$-413]d\ mmmm\ yyyy"/>
  </numFmts>
  <fonts count="38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Roboto"/>
      <family val="0"/>
      <charset val="1"/>
    </font>
    <font>
      <b val="true"/>
      <sz val="11"/>
      <name val="Roboto"/>
      <family val="0"/>
      <charset val="1"/>
    </font>
    <font>
      <b val="true"/>
      <sz val="11"/>
      <color rgb="FFFF0000"/>
      <name val="Roboto"/>
      <family val="0"/>
      <charset val="1"/>
    </font>
    <font>
      <sz val="11"/>
      <color rgb="FF000000"/>
      <name val="Roboto"/>
      <family val="0"/>
      <charset val="1"/>
    </font>
    <font>
      <sz val="11"/>
      <color rgb="FF0000FF"/>
      <name val="Roboto"/>
      <family val="0"/>
      <charset val="1"/>
    </font>
    <font>
      <strike val="true"/>
      <sz val="11"/>
      <color rgb="FFB2B2B2"/>
      <name val="Roboto"/>
      <family val="0"/>
      <charset val="1"/>
    </font>
    <font>
      <sz val="11"/>
      <color rgb="FFB2B2B2"/>
      <name val="Roboto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u val="single"/>
      <sz val="11"/>
      <color rgb="FF000000"/>
      <name val="Calibri"/>
      <family val="0"/>
      <charset val="1"/>
    </font>
    <font>
      <sz val="10"/>
      <name val="Roboto"/>
      <family val="0"/>
      <charset val="1"/>
    </font>
    <font>
      <b val="true"/>
      <sz val="18"/>
      <name val="Roboto"/>
      <family val="0"/>
      <charset val="1"/>
    </font>
    <font>
      <b val="true"/>
      <sz val="10"/>
      <name val="Roboto"/>
      <family val="0"/>
      <charset val="1"/>
    </font>
    <font>
      <sz val="16"/>
      <color rgb="FFFF0000"/>
      <name val="Roboto"/>
      <family val="0"/>
      <charset val="1"/>
    </font>
    <font>
      <sz val="11"/>
      <color rgb="FFFF0000"/>
      <name val="Roboto"/>
      <family val="0"/>
      <charset val="1"/>
    </font>
    <font>
      <u val="single"/>
      <sz val="10"/>
      <name val="Arial"/>
      <family val="2"/>
      <charset val="1"/>
    </font>
    <font>
      <b val="true"/>
      <sz val="11"/>
      <color rgb="FF000000"/>
      <name val="Roboto"/>
      <family val="0"/>
      <charset val="1"/>
    </font>
    <font>
      <sz val="16"/>
      <name val="Roboto"/>
      <family val="0"/>
      <charset val="1"/>
    </font>
    <font>
      <b val="true"/>
      <sz val="16"/>
      <name val="Roboto"/>
      <family val="0"/>
      <charset val="1"/>
    </font>
    <font>
      <b val="true"/>
      <sz val="14"/>
      <name val="Roboto"/>
      <family val="0"/>
      <charset val="1"/>
    </font>
    <font>
      <sz val="11"/>
      <name val="Calibri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name val="Calibri"/>
      <family val="0"/>
      <charset val="1"/>
    </font>
    <font>
      <sz val="10"/>
      <name val="Arial"/>
      <family val="0"/>
      <charset val="1"/>
    </font>
    <font>
      <sz val="7"/>
      <name val="Arial"/>
      <family val="0"/>
      <charset val="1"/>
    </font>
    <font>
      <b val="true"/>
      <sz val="18"/>
      <color rgb="FF000000"/>
      <name val="Calibri"/>
      <family val="0"/>
      <charset val="1"/>
    </font>
    <font>
      <sz val="16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0" tint="-0.15"/>
        <bgColor rgb="FFD8D8D8"/>
      </patternFill>
    </fill>
    <fill>
      <patternFill patternType="solid">
        <fgColor theme="0"/>
        <bgColor rgb="FFF2F2F2"/>
      </patternFill>
    </fill>
    <fill>
      <patternFill patternType="solid">
        <fgColor rgb="FFFF0000"/>
        <bgColor rgb="FF993300"/>
      </patternFill>
    </fill>
    <fill>
      <patternFill patternType="solid">
        <fgColor rgb="FF00B0F0"/>
        <bgColor rgb="FF33CCCC"/>
      </patternFill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9D9D9"/>
      </patternFill>
    </fill>
    <fill>
      <patternFill patternType="solid">
        <fgColor rgb="FFC6D9F0"/>
        <bgColor rgb="FFD8D8D8"/>
      </patternFill>
    </fill>
  </fills>
  <borders count="6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/>
      <bottom style="dotted"/>
      <diagonal/>
    </border>
    <border diagonalUp="false" diagonalDown="false">
      <left/>
      <right style="medium"/>
      <top/>
      <bottom style="dotted"/>
      <diagonal/>
    </border>
    <border diagonalUp="false" diagonalDown="false">
      <left/>
      <right/>
      <top/>
      <bottom style="dotted"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 style="dotted"/>
      <bottom style="dotted"/>
      <diagonal/>
    </border>
    <border diagonalUp="false" diagonalDown="false">
      <left/>
      <right style="medium"/>
      <top style="dotted"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medium"/>
      <right/>
      <top style="dotted"/>
      <bottom style="medium"/>
      <diagonal/>
    </border>
    <border diagonalUp="false" diagonalDown="false">
      <left/>
      <right style="medium"/>
      <top style="dotted"/>
      <bottom style="medium"/>
      <diagonal/>
    </border>
    <border diagonalUp="false" diagonalDown="false">
      <left/>
      <right/>
      <top style="dotted"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ck"/>
      <right style="thick"/>
      <top style="thick"/>
      <bottom/>
      <diagonal/>
    </border>
    <border diagonalUp="false" diagonalDown="false">
      <left style="thick"/>
      <right style="thick"/>
      <top/>
      <bottom/>
      <diagonal/>
    </border>
    <border diagonalUp="false" diagonalDown="false">
      <left style="thick"/>
      <right style="thick"/>
      <top/>
      <bottom style="thin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ck"/>
      <right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n"/>
      <top style="thick"/>
      <bottom style="thin"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thick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7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4" borderId="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1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4" borderId="1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4" borderId="1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12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13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4" borderId="13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4" borderId="14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5" fillId="0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8" fillId="0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2" borderId="1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3" fillId="2" borderId="1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0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2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2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2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1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8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3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4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16" xfId="0" applyFont="true" applyBorder="true" applyAlignment="true" applyProtection="true">
      <alignment horizontal="right" vertical="center" textRotation="255" wrapText="false" indent="0" shrinkToFit="false"/>
      <protection locked="true" hidden="false"/>
    </xf>
    <xf numFmtId="164" fontId="31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7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5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4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4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4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31" fillId="0" borderId="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9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4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5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9" borderId="5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5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5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9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5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8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8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8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8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16" xfId="0" applyFont="true" applyBorder="true" applyAlignment="true" applyProtection="true">
      <alignment horizontal="center" vertical="center" textRotation="255" wrapText="false" indent="0" shrinkToFit="false"/>
      <protection locked="true" hidden="false"/>
    </xf>
    <xf numFmtId="166" fontId="28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8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8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8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6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36" fillId="0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9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37" fillId="10" borderId="4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10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4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ard_team mode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6D9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F99"/>
      <rgbColor rgb="FF99CCFF"/>
      <rgbColor rgb="FFFF99CC"/>
      <rgbColor rgb="FFCC99FF"/>
      <rgbColor rgb="FFD8D8D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1.png"/><Relationship Id="rId10" Type="http://schemas.openxmlformats.org/officeDocument/2006/relationships/image" Target="../media/image1.png"/><Relationship Id="rId11" Type="http://schemas.openxmlformats.org/officeDocument/2006/relationships/image" Target="../media/image1.png"/><Relationship Id="rId12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496440</xdr:colOff>
      <xdr:row>2</xdr:row>
      <xdr:rowOff>56160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0" y="0"/>
          <a:ext cx="496440" cy="526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181080</xdr:colOff>
      <xdr:row>0</xdr:row>
      <xdr:rowOff>9360</xdr:rowOff>
    </xdr:from>
    <xdr:to>
      <xdr:col>6</xdr:col>
      <xdr:colOff>676440</xdr:colOff>
      <xdr:row>2</xdr:row>
      <xdr:rowOff>65520</xdr:rowOff>
    </xdr:to>
    <xdr:pic>
      <xdr:nvPicPr>
        <xdr:cNvPr id="1" name="image1.png" descr=""/>
        <xdr:cNvPicPr/>
      </xdr:nvPicPr>
      <xdr:blipFill>
        <a:blip r:embed="rId2"/>
        <a:stretch/>
      </xdr:blipFill>
      <xdr:spPr>
        <a:xfrm>
          <a:off x="8067240" y="9360"/>
          <a:ext cx="495360" cy="526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2140920</xdr:colOff>
      <xdr:row>0</xdr:row>
      <xdr:rowOff>36360</xdr:rowOff>
    </xdr:from>
    <xdr:to>
      <xdr:col>5</xdr:col>
      <xdr:colOff>2631240</xdr:colOff>
      <xdr:row>2</xdr:row>
      <xdr:rowOff>150840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6521760" y="36360"/>
          <a:ext cx="490320" cy="555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54720</xdr:colOff>
      <xdr:row>0</xdr:row>
      <xdr:rowOff>39600</xdr:rowOff>
    </xdr:from>
    <xdr:to>
      <xdr:col>0</xdr:col>
      <xdr:colOff>545040</xdr:colOff>
      <xdr:row>2</xdr:row>
      <xdr:rowOff>154080</xdr:rowOff>
    </xdr:to>
    <xdr:pic>
      <xdr:nvPicPr>
        <xdr:cNvPr id="3" name="image1.png 1" descr=""/>
        <xdr:cNvPicPr/>
      </xdr:nvPicPr>
      <xdr:blipFill>
        <a:blip r:embed="rId2"/>
        <a:stretch/>
      </xdr:blipFill>
      <xdr:spPr>
        <a:xfrm>
          <a:off x="54720" y="39600"/>
          <a:ext cx="490320" cy="555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47520</xdr:colOff>
      <xdr:row>0</xdr:row>
      <xdr:rowOff>162000</xdr:rowOff>
    </xdr:from>
    <xdr:to>
      <xdr:col>16</xdr:col>
      <xdr:colOff>260280</xdr:colOff>
      <xdr:row>3</xdr:row>
      <xdr:rowOff>167400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5379120" y="162000"/>
          <a:ext cx="492120" cy="567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30240</xdr:colOff>
      <xdr:row>0</xdr:row>
      <xdr:rowOff>169560</xdr:rowOff>
    </xdr:from>
    <xdr:to>
      <xdr:col>1</xdr:col>
      <xdr:colOff>243000</xdr:colOff>
      <xdr:row>3</xdr:row>
      <xdr:rowOff>174960</xdr:rowOff>
    </xdr:to>
    <xdr:pic>
      <xdr:nvPicPr>
        <xdr:cNvPr id="5" name="image1.png 2" descr=""/>
        <xdr:cNvPicPr/>
      </xdr:nvPicPr>
      <xdr:blipFill>
        <a:blip r:embed="rId2"/>
        <a:stretch/>
      </xdr:blipFill>
      <xdr:spPr>
        <a:xfrm>
          <a:off x="30240" y="169560"/>
          <a:ext cx="492120" cy="567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54360</xdr:colOff>
      <xdr:row>24</xdr:row>
      <xdr:rowOff>167040</xdr:rowOff>
    </xdr:from>
    <xdr:to>
      <xdr:col>16</xdr:col>
      <xdr:colOff>267120</xdr:colOff>
      <xdr:row>27</xdr:row>
      <xdr:rowOff>172080</xdr:rowOff>
    </xdr:to>
    <xdr:pic>
      <xdr:nvPicPr>
        <xdr:cNvPr id="6" name="image1.png 3" descr=""/>
        <xdr:cNvPicPr/>
      </xdr:nvPicPr>
      <xdr:blipFill>
        <a:blip r:embed="rId3"/>
        <a:stretch/>
      </xdr:blipFill>
      <xdr:spPr>
        <a:xfrm>
          <a:off x="5385960" y="5434200"/>
          <a:ext cx="492120" cy="567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37080</xdr:colOff>
      <xdr:row>24</xdr:row>
      <xdr:rowOff>174600</xdr:rowOff>
    </xdr:from>
    <xdr:to>
      <xdr:col>1</xdr:col>
      <xdr:colOff>249840</xdr:colOff>
      <xdr:row>27</xdr:row>
      <xdr:rowOff>179640</xdr:rowOff>
    </xdr:to>
    <xdr:pic>
      <xdr:nvPicPr>
        <xdr:cNvPr id="7" name="image1.png 4" descr=""/>
        <xdr:cNvPicPr/>
      </xdr:nvPicPr>
      <xdr:blipFill>
        <a:blip r:embed="rId4"/>
        <a:stretch/>
      </xdr:blipFill>
      <xdr:spPr>
        <a:xfrm>
          <a:off x="37080" y="5441760"/>
          <a:ext cx="492120" cy="567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70560</xdr:colOff>
      <xdr:row>48</xdr:row>
      <xdr:rowOff>176400</xdr:rowOff>
    </xdr:from>
    <xdr:to>
      <xdr:col>16</xdr:col>
      <xdr:colOff>283320</xdr:colOff>
      <xdr:row>51</xdr:row>
      <xdr:rowOff>172440</xdr:rowOff>
    </xdr:to>
    <xdr:pic>
      <xdr:nvPicPr>
        <xdr:cNvPr id="8" name="image1.png 5" descr=""/>
        <xdr:cNvPicPr/>
      </xdr:nvPicPr>
      <xdr:blipFill>
        <a:blip r:embed="rId5"/>
        <a:stretch/>
      </xdr:blipFill>
      <xdr:spPr>
        <a:xfrm>
          <a:off x="5402160" y="10711080"/>
          <a:ext cx="492120" cy="567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53280</xdr:colOff>
      <xdr:row>48</xdr:row>
      <xdr:rowOff>183960</xdr:rowOff>
    </xdr:from>
    <xdr:to>
      <xdr:col>1</xdr:col>
      <xdr:colOff>266040</xdr:colOff>
      <xdr:row>51</xdr:row>
      <xdr:rowOff>180000</xdr:rowOff>
    </xdr:to>
    <xdr:pic>
      <xdr:nvPicPr>
        <xdr:cNvPr id="9" name="image1.png 6" descr=""/>
        <xdr:cNvPicPr/>
      </xdr:nvPicPr>
      <xdr:blipFill>
        <a:blip r:embed="rId6"/>
        <a:stretch/>
      </xdr:blipFill>
      <xdr:spPr>
        <a:xfrm>
          <a:off x="53280" y="10718640"/>
          <a:ext cx="492120" cy="567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73440</xdr:colOff>
      <xdr:row>72</xdr:row>
      <xdr:rowOff>162360</xdr:rowOff>
    </xdr:from>
    <xdr:to>
      <xdr:col>16</xdr:col>
      <xdr:colOff>286200</xdr:colOff>
      <xdr:row>75</xdr:row>
      <xdr:rowOff>167760</xdr:rowOff>
    </xdr:to>
    <xdr:pic>
      <xdr:nvPicPr>
        <xdr:cNvPr id="10" name="image1.png 7" descr=""/>
        <xdr:cNvPicPr/>
      </xdr:nvPicPr>
      <xdr:blipFill>
        <a:blip r:embed="rId7"/>
        <a:stretch/>
      </xdr:blipFill>
      <xdr:spPr>
        <a:xfrm>
          <a:off x="5405040" y="15973920"/>
          <a:ext cx="492120" cy="567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56160</xdr:colOff>
      <xdr:row>72</xdr:row>
      <xdr:rowOff>169920</xdr:rowOff>
    </xdr:from>
    <xdr:to>
      <xdr:col>1</xdr:col>
      <xdr:colOff>268920</xdr:colOff>
      <xdr:row>75</xdr:row>
      <xdr:rowOff>175320</xdr:rowOff>
    </xdr:to>
    <xdr:pic>
      <xdr:nvPicPr>
        <xdr:cNvPr id="11" name="image1.png 8" descr=""/>
        <xdr:cNvPicPr/>
      </xdr:nvPicPr>
      <xdr:blipFill>
        <a:blip r:embed="rId8"/>
        <a:stretch/>
      </xdr:blipFill>
      <xdr:spPr>
        <a:xfrm>
          <a:off x="56160" y="15981480"/>
          <a:ext cx="492120" cy="567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171360</xdr:rowOff>
    </xdr:from>
    <xdr:to>
      <xdr:col>1</xdr:col>
      <xdr:colOff>266400</xdr:colOff>
      <xdr:row>4</xdr:row>
      <xdr:rowOff>11880</xdr:rowOff>
    </xdr:to>
    <xdr:pic>
      <xdr:nvPicPr>
        <xdr:cNvPr id="12" name="image1.png" descr=""/>
        <xdr:cNvPicPr/>
      </xdr:nvPicPr>
      <xdr:blipFill>
        <a:blip r:embed="rId1"/>
        <a:stretch/>
      </xdr:blipFill>
      <xdr:spPr>
        <a:xfrm>
          <a:off x="0" y="171360"/>
          <a:ext cx="54576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0</xdr:row>
      <xdr:rowOff>171360</xdr:rowOff>
    </xdr:from>
    <xdr:to>
      <xdr:col>16</xdr:col>
      <xdr:colOff>285480</xdr:colOff>
      <xdr:row>4</xdr:row>
      <xdr:rowOff>11880</xdr:rowOff>
    </xdr:to>
    <xdr:pic>
      <xdr:nvPicPr>
        <xdr:cNvPr id="13" name="image1.png" descr=""/>
        <xdr:cNvPicPr/>
      </xdr:nvPicPr>
      <xdr:blipFill>
        <a:blip r:embed="rId2"/>
        <a:stretch/>
      </xdr:blipFill>
      <xdr:spPr>
        <a:xfrm>
          <a:off x="5283720" y="171360"/>
          <a:ext cx="54612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24</xdr:row>
      <xdr:rowOff>162000</xdr:rowOff>
    </xdr:from>
    <xdr:to>
      <xdr:col>1</xdr:col>
      <xdr:colOff>266400</xdr:colOff>
      <xdr:row>28</xdr:row>
      <xdr:rowOff>2520</xdr:rowOff>
    </xdr:to>
    <xdr:pic>
      <xdr:nvPicPr>
        <xdr:cNvPr id="14" name="image1.png" descr=""/>
        <xdr:cNvPicPr/>
      </xdr:nvPicPr>
      <xdr:blipFill>
        <a:blip r:embed="rId3"/>
        <a:stretch/>
      </xdr:blipFill>
      <xdr:spPr>
        <a:xfrm>
          <a:off x="0" y="5029200"/>
          <a:ext cx="54576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43</xdr:row>
      <xdr:rowOff>162000</xdr:rowOff>
    </xdr:from>
    <xdr:to>
      <xdr:col>1</xdr:col>
      <xdr:colOff>266400</xdr:colOff>
      <xdr:row>47</xdr:row>
      <xdr:rowOff>2880</xdr:rowOff>
    </xdr:to>
    <xdr:pic>
      <xdr:nvPicPr>
        <xdr:cNvPr id="15" name="image1.png" descr=""/>
        <xdr:cNvPicPr/>
      </xdr:nvPicPr>
      <xdr:blipFill>
        <a:blip r:embed="rId4"/>
        <a:stretch/>
      </xdr:blipFill>
      <xdr:spPr>
        <a:xfrm>
          <a:off x="0" y="8991720"/>
          <a:ext cx="54576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0</xdr:colOff>
      <xdr:row>67</xdr:row>
      <xdr:rowOff>162000</xdr:rowOff>
    </xdr:from>
    <xdr:to>
      <xdr:col>1</xdr:col>
      <xdr:colOff>266400</xdr:colOff>
      <xdr:row>71</xdr:row>
      <xdr:rowOff>2520</xdr:rowOff>
    </xdr:to>
    <xdr:pic>
      <xdr:nvPicPr>
        <xdr:cNvPr id="16" name="image1.png" descr=""/>
        <xdr:cNvPicPr/>
      </xdr:nvPicPr>
      <xdr:blipFill>
        <a:blip r:embed="rId5"/>
        <a:stretch/>
      </xdr:blipFill>
      <xdr:spPr>
        <a:xfrm>
          <a:off x="0" y="13858920"/>
          <a:ext cx="54576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0</xdr:row>
      <xdr:rowOff>171360</xdr:rowOff>
    </xdr:from>
    <xdr:to>
      <xdr:col>1</xdr:col>
      <xdr:colOff>285480</xdr:colOff>
      <xdr:row>4</xdr:row>
      <xdr:rowOff>11880</xdr:rowOff>
    </xdr:to>
    <xdr:pic>
      <xdr:nvPicPr>
        <xdr:cNvPr id="17" name="image1.png" descr=""/>
        <xdr:cNvPicPr/>
      </xdr:nvPicPr>
      <xdr:blipFill>
        <a:blip r:embed="rId6"/>
        <a:stretch/>
      </xdr:blipFill>
      <xdr:spPr>
        <a:xfrm>
          <a:off x="19080" y="171360"/>
          <a:ext cx="54576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24</xdr:row>
      <xdr:rowOff>171360</xdr:rowOff>
    </xdr:from>
    <xdr:to>
      <xdr:col>16</xdr:col>
      <xdr:colOff>285480</xdr:colOff>
      <xdr:row>28</xdr:row>
      <xdr:rowOff>11880</xdr:rowOff>
    </xdr:to>
    <xdr:pic>
      <xdr:nvPicPr>
        <xdr:cNvPr id="18" name="image1.png" descr=""/>
        <xdr:cNvPicPr/>
      </xdr:nvPicPr>
      <xdr:blipFill>
        <a:blip r:embed="rId7"/>
        <a:stretch/>
      </xdr:blipFill>
      <xdr:spPr>
        <a:xfrm>
          <a:off x="5283720" y="5038560"/>
          <a:ext cx="54612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24</xdr:row>
      <xdr:rowOff>171360</xdr:rowOff>
    </xdr:from>
    <xdr:to>
      <xdr:col>1</xdr:col>
      <xdr:colOff>285480</xdr:colOff>
      <xdr:row>28</xdr:row>
      <xdr:rowOff>11880</xdr:rowOff>
    </xdr:to>
    <xdr:pic>
      <xdr:nvPicPr>
        <xdr:cNvPr id="19" name="image1.png" descr=""/>
        <xdr:cNvPicPr/>
      </xdr:nvPicPr>
      <xdr:blipFill>
        <a:blip r:embed="rId8"/>
        <a:stretch/>
      </xdr:blipFill>
      <xdr:spPr>
        <a:xfrm>
          <a:off x="19080" y="5038560"/>
          <a:ext cx="54576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43</xdr:row>
      <xdr:rowOff>171360</xdr:rowOff>
    </xdr:from>
    <xdr:to>
      <xdr:col>16</xdr:col>
      <xdr:colOff>285480</xdr:colOff>
      <xdr:row>47</xdr:row>
      <xdr:rowOff>12240</xdr:rowOff>
    </xdr:to>
    <xdr:pic>
      <xdr:nvPicPr>
        <xdr:cNvPr id="20" name="image1.png" descr=""/>
        <xdr:cNvPicPr/>
      </xdr:nvPicPr>
      <xdr:blipFill>
        <a:blip r:embed="rId9"/>
        <a:stretch/>
      </xdr:blipFill>
      <xdr:spPr>
        <a:xfrm>
          <a:off x="5283720" y="9001080"/>
          <a:ext cx="54612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43</xdr:row>
      <xdr:rowOff>171360</xdr:rowOff>
    </xdr:from>
    <xdr:to>
      <xdr:col>1</xdr:col>
      <xdr:colOff>285480</xdr:colOff>
      <xdr:row>47</xdr:row>
      <xdr:rowOff>12240</xdr:rowOff>
    </xdr:to>
    <xdr:pic>
      <xdr:nvPicPr>
        <xdr:cNvPr id="21" name="image1.png" descr=""/>
        <xdr:cNvPicPr/>
      </xdr:nvPicPr>
      <xdr:blipFill>
        <a:blip r:embed="rId10"/>
        <a:stretch/>
      </xdr:blipFill>
      <xdr:spPr>
        <a:xfrm>
          <a:off x="19080" y="9001080"/>
          <a:ext cx="54576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15</xdr:col>
      <xdr:colOff>19080</xdr:colOff>
      <xdr:row>67</xdr:row>
      <xdr:rowOff>171360</xdr:rowOff>
    </xdr:from>
    <xdr:to>
      <xdr:col>16</xdr:col>
      <xdr:colOff>285480</xdr:colOff>
      <xdr:row>71</xdr:row>
      <xdr:rowOff>11880</xdr:rowOff>
    </xdr:to>
    <xdr:pic>
      <xdr:nvPicPr>
        <xdr:cNvPr id="22" name="image1.png" descr=""/>
        <xdr:cNvPicPr/>
      </xdr:nvPicPr>
      <xdr:blipFill>
        <a:blip r:embed="rId11"/>
        <a:stretch/>
      </xdr:blipFill>
      <xdr:spPr>
        <a:xfrm>
          <a:off x="5283720" y="13868280"/>
          <a:ext cx="546120" cy="621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19080</xdr:colOff>
      <xdr:row>67</xdr:row>
      <xdr:rowOff>171360</xdr:rowOff>
    </xdr:from>
    <xdr:to>
      <xdr:col>1</xdr:col>
      <xdr:colOff>285480</xdr:colOff>
      <xdr:row>71</xdr:row>
      <xdr:rowOff>11880</xdr:rowOff>
    </xdr:to>
    <xdr:pic>
      <xdr:nvPicPr>
        <xdr:cNvPr id="23" name="image1.png" descr=""/>
        <xdr:cNvPicPr/>
      </xdr:nvPicPr>
      <xdr:blipFill>
        <a:blip r:embed="rId12"/>
        <a:stretch/>
      </xdr:blipFill>
      <xdr:spPr>
        <a:xfrm>
          <a:off x="19080" y="13868280"/>
          <a:ext cx="545760" cy="621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181080</xdr:colOff>
      <xdr:row>0</xdr:row>
      <xdr:rowOff>0</xdr:rowOff>
    </xdr:from>
    <xdr:to>
      <xdr:col>2</xdr:col>
      <xdr:colOff>726840</xdr:colOff>
      <xdr:row>1</xdr:row>
      <xdr:rowOff>193320</xdr:rowOff>
    </xdr:to>
    <xdr:pic>
      <xdr:nvPicPr>
        <xdr:cNvPr id="24" name="image1.png" descr=""/>
        <xdr:cNvPicPr/>
      </xdr:nvPicPr>
      <xdr:blipFill>
        <a:blip r:embed="rId1"/>
        <a:stretch/>
      </xdr:blipFill>
      <xdr:spPr>
        <a:xfrm>
          <a:off x="7533720" y="0"/>
          <a:ext cx="545760" cy="612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9360</xdr:colOff>
      <xdr:row>0</xdr:row>
      <xdr:rowOff>0</xdr:rowOff>
    </xdr:from>
    <xdr:to>
      <xdr:col>0</xdr:col>
      <xdr:colOff>555120</xdr:colOff>
      <xdr:row>1</xdr:row>
      <xdr:rowOff>193320</xdr:rowOff>
    </xdr:to>
    <xdr:pic>
      <xdr:nvPicPr>
        <xdr:cNvPr id="25" name="image1.png" descr=""/>
        <xdr:cNvPicPr/>
      </xdr:nvPicPr>
      <xdr:blipFill>
        <a:blip r:embed="rId2"/>
        <a:stretch/>
      </xdr:blipFill>
      <xdr:spPr>
        <a:xfrm>
          <a:off x="9360" y="0"/>
          <a:ext cx="545760" cy="612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181080</xdr:colOff>
      <xdr:row>17</xdr:row>
      <xdr:rowOff>74160</xdr:rowOff>
    </xdr:from>
    <xdr:to>
      <xdr:col>2</xdr:col>
      <xdr:colOff>726840</xdr:colOff>
      <xdr:row>18</xdr:row>
      <xdr:rowOff>267480</xdr:rowOff>
    </xdr:to>
    <xdr:pic>
      <xdr:nvPicPr>
        <xdr:cNvPr id="26" name="image1.png" descr=""/>
        <xdr:cNvPicPr/>
      </xdr:nvPicPr>
      <xdr:blipFill>
        <a:blip r:embed="rId3"/>
        <a:stretch/>
      </xdr:blipFill>
      <xdr:spPr>
        <a:xfrm>
          <a:off x="7533720" y="5010120"/>
          <a:ext cx="545760" cy="6123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9360</xdr:colOff>
      <xdr:row>17</xdr:row>
      <xdr:rowOff>74160</xdr:rowOff>
    </xdr:from>
    <xdr:to>
      <xdr:col>0</xdr:col>
      <xdr:colOff>555120</xdr:colOff>
      <xdr:row>18</xdr:row>
      <xdr:rowOff>267480</xdr:rowOff>
    </xdr:to>
    <xdr:pic>
      <xdr:nvPicPr>
        <xdr:cNvPr id="27" name="image1.png" descr=""/>
        <xdr:cNvPicPr/>
      </xdr:nvPicPr>
      <xdr:blipFill>
        <a:blip r:embed="rId4"/>
        <a:stretch/>
      </xdr:blipFill>
      <xdr:spPr>
        <a:xfrm>
          <a:off x="9360" y="5010120"/>
          <a:ext cx="545760" cy="612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mh-support@handboogsport.n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5.43"/>
    <col collapsed="false" customWidth="true" hidden="false" outlineLevel="0" max="3" min="3" style="1" width="17.55"/>
    <col collapsed="false" customWidth="true" hidden="false" outlineLevel="0" max="4" min="4" style="1" width="14.89"/>
    <col collapsed="false" customWidth="true" hidden="false" outlineLevel="0" max="12" min="5" style="1" width="8.71"/>
    <col collapsed="false" customWidth="false" hidden="false" outlineLevel="0" max="16384" min="13" style="1" width="14.43"/>
  </cols>
  <sheetData>
    <row r="1" customFormat="false" ht="14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  <c r="B2" s="3"/>
      <c r="D2" s="4" t="s">
        <v>2</v>
      </c>
      <c r="E2" s="5" t="s">
        <v>3</v>
      </c>
      <c r="F2" s="5"/>
      <c r="G2" s="6"/>
      <c r="H2" s="7" t="s">
        <v>4</v>
      </c>
      <c r="I2" s="5"/>
      <c r="J2" s="8"/>
    </row>
    <row r="3" customFormat="false" ht="14.25" hidden="false" customHeight="true" outlineLevel="0" collapsed="false">
      <c r="A3" s="9" t="s">
        <v>5</v>
      </c>
      <c r="B3" s="10"/>
      <c r="C3" s="11"/>
      <c r="D3" s="12"/>
      <c r="E3" s="13" t="s">
        <v>6</v>
      </c>
      <c r="F3" s="13"/>
      <c r="G3" s="13"/>
      <c r="H3" s="13"/>
      <c r="I3" s="13"/>
      <c r="J3" s="14"/>
    </row>
    <row r="4" customFormat="false" ht="14.25" hidden="false" customHeight="true" outlineLevel="0" collapsed="false">
      <c r="A4" s="9" t="s">
        <v>7</v>
      </c>
      <c r="B4" s="10"/>
      <c r="C4" s="10"/>
    </row>
    <row r="5" customFormat="false" ht="14.25" hidden="false" customHeight="true" outlineLevel="0" collapsed="false">
      <c r="A5" s="9" t="s">
        <v>8</v>
      </c>
      <c r="B5" s="10"/>
      <c r="C5" s="10"/>
    </row>
    <row r="6" customFormat="false" ht="14.25" hidden="false" customHeight="true" outlineLevel="0" collapsed="false">
      <c r="A6" s="9" t="s">
        <v>9</v>
      </c>
      <c r="B6" s="10"/>
      <c r="C6" s="10"/>
    </row>
    <row r="7" customFormat="false" ht="14.25" hidden="false" customHeight="true" outlineLevel="0" collapsed="false">
      <c r="A7" s="9" t="s">
        <v>10</v>
      </c>
      <c r="B7" s="10"/>
      <c r="C7" s="10"/>
    </row>
    <row r="8" customFormat="false" ht="14.25" hidden="false" customHeight="true" outlineLevel="0" collapsed="false">
      <c r="A8" s="9" t="s">
        <v>11</v>
      </c>
      <c r="B8" s="10"/>
      <c r="C8" s="10"/>
    </row>
    <row r="9" customFormat="false" ht="14.25" hidden="false" customHeight="true" outlineLevel="0" collapsed="false">
      <c r="A9" s="9" t="s">
        <v>12</v>
      </c>
      <c r="B9" s="10"/>
      <c r="C9" s="10"/>
    </row>
    <row r="10" customFormat="false" ht="14.25" hidden="false" customHeight="true" outlineLevel="0" collapsed="false">
      <c r="A10" s="9" t="s">
        <v>13</v>
      </c>
      <c r="B10" s="10"/>
      <c r="C10" s="10"/>
    </row>
    <row r="11" customFormat="false" ht="14.25" hidden="false" customHeight="true" outlineLevel="0" collapsed="false">
      <c r="A11" s="3" t="s">
        <v>14</v>
      </c>
      <c r="B11" s="3"/>
      <c r="C11" s="3"/>
    </row>
    <row r="12" customFormat="false" ht="14.25" hidden="false" customHeight="true" outlineLevel="0" collapsed="false">
      <c r="B12" s="15" t="s">
        <v>15</v>
      </c>
    </row>
    <row r="13" customFormat="false" ht="14.25" hidden="false" customHeight="true" outlineLevel="0" collapsed="false">
      <c r="B13" s="16" t="s">
        <v>16</v>
      </c>
    </row>
    <row r="14" customFormat="false" ht="14.25" hidden="false" customHeight="true" outlineLevel="0" collapsed="false">
      <c r="A14" s="16"/>
      <c r="B14" s="1" t="s">
        <v>17</v>
      </c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customFormat="false" ht="14.25" hidden="false" customHeight="true" outlineLevel="0" collapsed="false">
      <c r="B15" s="17" t="s">
        <v>18</v>
      </c>
    </row>
    <row r="16" customFormat="false" ht="14.25" hidden="false" customHeight="true" outlineLevel="0" collapsed="false">
      <c r="A16" s="3" t="s">
        <v>19</v>
      </c>
    </row>
    <row r="17" customFormat="false" ht="14.25" hidden="false" customHeight="true" outlineLevel="0" collapsed="false"/>
    <row r="18" customFormat="false" ht="14.25" hidden="false" customHeight="true" outlineLevel="0" collapsed="false">
      <c r="A18" s="1" t="s">
        <v>20</v>
      </c>
    </row>
    <row r="19" customFormat="false" ht="14.25" hidden="false" customHeight="true" outlineLevel="0" collapsed="false">
      <c r="A19" s="18" t="s">
        <v>21</v>
      </c>
      <c r="B19" s="3" t="s">
        <v>22</v>
      </c>
      <c r="C19" s="3" t="s">
        <v>23</v>
      </c>
      <c r="D19" s="1" t="s">
        <v>24</v>
      </c>
    </row>
    <row r="20" customFormat="false" ht="14.25" hidden="false" customHeight="true" outlineLevel="0" collapsed="false">
      <c r="A20" s="18" t="s">
        <v>25</v>
      </c>
      <c r="B20" s="3" t="s">
        <v>26</v>
      </c>
      <c r="C20" s="3" t="s">
        <v>27</v>
      </c>
      <c r="D20" s="19" t="s">
        <v>28</v>
      </c>
      <c r="E20" s="19"/>
      <c r="F20" s="19"/>
      <c r="G20" s="19"/>
      <c r="H20" s="19"/>
      <c r="I20" s="19"/>
      <c r="J20" s="19"/>
      <c r="K20" s="19"/>
      <c r="L20" s="19"/>
    </row>
    <row r="21" customFormat="false" ht="14.25" hidden="false" customHeight="true" outlineLevel="0" collapsed="false">
      <c r="A21" s="18" t="s">
        <v>29</v>
      </c>
      <c r="B21" s="3" t="s">
        <v>30</v>
      </c>
      <c r="C21" s="3" t="s">
        <v>27</v>
      </c>
      <c r="D21" s="19"/>
      <c r="E21" s="19"/>
      <c r="F21" s="19"/>
      <c r="G21" s="19"/>
      <c r="H21" s="19"/>
      <c r="I21" s="19"/>
      <c r="J21" s="19"/>
      <c r="K21" s="19"/>
      <c r="L21" s="19"/>
    </row>
    <row r="22" customFormat="false" ht="14.25" hidden="false" customHeight="true" outlineLevel="0" collapsed="false">
      <c r="A22" s="18" t="s">
        <v>31</v>
      </c>
      <c r="B22" s="3" t="s">
        <v>32</v>
      </c>
      <c r="C22" s="3" t="s">
        <v>27</v>
      </c>
      <c r="D22" s="19"/>
      <c r="E22" s="19"/>
      <c r="F22" s="19"/>
      <c r="G22" s="19"/>
      <c r="H22" s="19"/>
      <c r="I22" s="19"/>
      <c r="J22" s="19"/>
      <c r="K22" s="19"/>
      <c r="L22" s="19"/>
    </row>
    <row r="23" customFormat="false" ht="14.25" hidden="false" customHeight="true" outlineLevel="0" collapsed="false"/>
    <row r="24" customFormat="false" ht="14.25" hidden="false" customHeight="true" outlineLevel="0" collapsed="false">
      <c r="A24" s="1" t="s">
        <v>33</v>
      </c>
    </row>
    <row r="25" customFormat="false" ht="14.25" hidden="false" customHeight="true" outlineLevel="0" collapsed="false">
      <c r="A25" s="1" t="s">
        <v>34</v>
      </c>
    </row>
    <row r="26" customFormat="false" ht="14.25" hidden="false" customHeight="true" outlineLevel="0" collapsed="false">
      <c r="A26" s="1" t="s">
        <v>35</v>
      </c>
    </row>
    <row r="27" customFormat="false" ht="14.25" hidden="false" customHeight="true" outlineLevel="0" collapsed="false">
      <c r="A27" s="1" t="s">
        <v>36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2" t="s">
        <v>37</v>
      </c>
    </row>
    <row r="30" customFormat="false" ht="14.25" hidden="false" customHeight="true" outlineLevel="0" collapsed="false">
      <c r="A30" s="1" t="s">
        <v>38</v>
      </c>
    </row>
    <row r="31" customFormat="false" ht="14.25" hidden="false" customHeight="true" outlineLevel="0" collapsed="false">
      <c r="A31" s="1" t="s">
        <v>39</v>
      </c>
    </row>
    <row r="32" customFormat="false" ht="14.25" hidden="false" customHeight="true" outlineLevel="0" collapsed="false">
      <c r="A32" s="1" t="s">
        <v>40</v>
      </c>
    </row>
    <row r="33" customFormat="false" ht="14.25" hidden="false" customHeight="true" outlineLevel="0" collapsed="false">
      <c r="A33" s="1" t="s">
        <v>41</v>
      </c>
    </row>
    <row r="34" customFormat="false" ht="14.25" hidden="false" customHeight="true" outlineLevel="0" collapsed="false">
      <c r="A34" s="1" t="s">
        <v>42</v>
      </c>
    </row>
    <row r="35" customFormat="false" ht="14.25" hidden="false" customHeight="true" outlineLevel="0" collapsed="false"/>
    <row r="36" customFormat="false" ht="14.25" hidden="false" customHeight="true" outlineLevel="0" collapsed="false">
      <c r="A36" s="2" t="s">
        <v>43</v>
      </c>
    </row>
    <row r="37" customFormat="false" ht="14.25" hidden="false" customHeight="true" outlineLevel="0" collapsed="false">
      <c r="A37" s="16" t="s">
        <v>44</v>
      </c>
    </row>
    <row r="38" customFormat="false" ht="14.25" hidden="false" customHeight="true" outlineLevel="0" collapsed="false">
      <c r="A38" s="1" t="s">
        <v>45</v>
      </c>
    </row>
    <row r="39" customFormat="false" ht="14.25" hidden="false" customHeight="true" outlineLevel="0" collapsed="false">
      <c r="A39" s="16" t="s">
        <v>46</v>
      </c>
    </row>
    <row r="40" customFormat="false" ht="14.25" hidden="false" customHeight="true" outlineLevel="0" collapsed="false">
      <c r="A40" s="1" t="s">
        <v>47</v>
      </c>
    </row>
    <row r="41" customFormat="false" ht="14.25" hidden="false" customHeight="true" outlineLevel="0" collapsed="false">
      <c r="A41" s="1" t="s">
        <v>48</v>
      </c>
    </row>
    <row r="42" customFormat="false" ht="14.25" hidden="false" customHeight="true" outlineLevel="0" collapsed="false"/>
    <row r="43" customFormat="false" ht="14.25" hidden="false" customHeight="true" outlineLevel="0" collapsed="false">
      <c r="A43" s="2" t="s">
        <v>49</v>
      </c>
    </row>
    <row r="44" customFormat="false" ht="14.25" hidden="false" customHeight="true" outlineLevel="0" collapsed="false">
      <c r="A44" s="1" t="s">
        <v>50</v>
      </c>
    </row>
    <row r="45" customFormat="false" ht="14.25" hidden="false" customHeight="true" outlineLevel="0" collapsed="false"/>
    <row r="46" customFormat="false" ht="14.25" hidden="false" customHeight="true" outlineLevel="0" collapsed="false">
      <c r="A46" s="20"/>
      <c r="B46" s="20"/>
      <c r="C46" s="20"/>
      <c r="D46" s="20"/>
      <c r="E46" s="20"/>
    </row>
    <row r="47" customFormat="false" ht="14.25" hidden="false" customHeight="true" outlineLevel="0" collapsed="false">
      <c r="A47" s="20"/>
      <c r="B47" s="20"/>
      <c r="C47" s="20"/>
      <c r="D47" s="20"/>
      <c r="E47" s="20"/>
    </row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D20:L22"/>
  </mergeCells>
  <hyperlinks>
    <hyperlink ref="H2" r:id="rId1" display="mh-support@handboogsport.nl"/>
  </hyperlinks>
  <printOptions headings="false" gridLines="false" gridLinesSet="true" horizontalCentered="false" verticalCentered="false"/>
  <pageMargins left="0.196527777777778" right="0.196527777777778" top="0.157638888888889" bottom="0.433333333333333" header="0.511811023622047" footer="0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&amp;CScore verwerking NHB beker versie 3.0&amp;RDS/NHB-Beker/V3.0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9.14453125" defaultRowHeight="12.8" customHeight="true" zeroHeight="false" outlineLevelRow="0" outlineLevelCol="0"/>
  <cols>
    <col collapsed="false" customWidth="true" hidden="false" outlineLevel="0" max="1" min="1" style="20" width="1.21"/>
    <col collapsed="false" customWidth="true" hidden="false" outlineLevel="0" max="2" min="2" style="20" width="1.37"/>
    <col collapsed="false" customWidth="true" hidden="false" outlineLevel="0" max="3" min="3" style="20" width="5.31"/>
    <col collapsed="false" customWidth="true" hidden="false" outlineLevel="0" max="4" min="4" style="20" width="34.77"/>
    <col collapsed="false" customWidth="true" hidden="false" outlineLevel="0" max="5" min="5" style="21" width="28.85"/>
    <col collapsed="false" customWidth="true" hidden="false" outlineLevel="0" max="6" min="6" style="20" width="11.74"/>
    <col collapsed="false" customWidth="false" hidden="false" outlineLevel="0" max="7" min="7" style="20" width="9.14"/>
    <col collapsed="false" customWidth="true" hidden="false" outlineLevel="0" max="8" min="8" style="20" width="12.11"/>
    <col collapsed="false" customWidth="true" hidden="false" outlineLevel="0" max="9" min="9" style="20" width="31.06"/>
    <col collapsed="false" customWidth="false" hidden="false" outlineLevel="0" max="16384" min="10" style="20" width="9.14"/>
  </cols>
  <sheetData>
    <row r="1" customFormat="false" ht="22.05" hidden="false" customHeight="false" outlineLevel="0" collapsed="false">
      <c r="A1" s="22"/>
      <c r="B1" s="23" t="s">
        <v>51</v>
      </c>
      <c r="C1" s="23"/>
      <c r="D1" s="23"/>
      <c r="E1" s="23"/>
      <c r="F1" s="23"/>
      <c r="G1" s="23"/>
      <c r="H1" s="23"/>
      <c r="I1" s="23"/>
    </row>
    <row r="2" customFormat="false" ht="12.8" hidden="false" customHeight="false" outlineLevel="0" collapsed="false">
      <c r="A2" s="22"/>
      <c r="B2" s="24"/>
      <c r="C2" s="25"/>
      <c r="D2" s="26"/>
      <c r="E2" s="24"/>
      <c r="F2" s="24"/>
      <c r="G2" s="27"/>
      <c r="H2" s="27"/>
      <c r="I2" s="22"/>
    </row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2.8" hidden="false" customHeight="false" outlineLevel="0" collapsed="false">
      <c r="A5" s="22"/>
      <c r="B5" s="24"/>
      <c r="C5" s="28"/>
      <c r="D5" s="26"/>
      <c r="E5" s="24"/>
      <c r="F5" s="24"/>
      <c r="G5" s="27"/>
      <c r="H5" s="27"/>
      <c r="I5" s="22"/>
    </row>
    <row r="6" customFormat="false" ht="19.7" hidden="false" customHeight="false" outlineLevel="0" collapsed="false">
      <c r="A6" s="22"/>
      <c r="B6" s="24"/>
      <c r="C6" s="28"/>
      <c r="D6" s="29" t="s">
        <v>52</v>
      </c>
      <c r="E6" s="24"/>
      <c r="F6" s="24"/>
      <c r="G6" s="27"/>
      <c r="H6" s="27"/>
      <c r="I6" s="22"/>
    </row>
    <row r="7" customFormat="false" ht="13.8" hidden="false" customHeight="false" outlineLevel="0" collapsed="false">
      <c r="A7" s="22"/>
      <c r="B7" s="24"/>
      <c r="C7" s="28"/>
      <c r="D7" s="30" t="s">
        <v>53</v>
      </c>
      <c r="E7" s="24"/>
      <c r="F7" s="24"/>
      <c r="G7" s="27"/>
      <c r="H7" s="27"/>
      <c r="I7" s="22"/>
    </row>
    <row r="8" customFormat="false" ht="13.8" hidden="false" customHeight="false" outlineLevel="0" collapsed="false">
      <c r="A8" s="22"/>
      <c r="B8" s="24"/>
      <c r="C8" s="28"/>
      <c r="D8" s="30" t="s">
        <v>54</v>
      </c>
      <c r="E8" s="24"/>
      <c r="F8" s="24"/>
      <c r="G8" s="27"/>
      <c r="H8" s="27"/>
      <c r="I8" s="22"/>
    </row>
    <row r="9" customFormat="false" ht="12.8" hidden="false" customHeight="false" outlineLevel="0" collapsed="false">
      <c r="A9" s="22"/>
      <c r="B9" s="24"/>
      <c r="C9" s="28"/>
      <c r="D9" s="24"/>
      <c r="E9" s="24"/>
      <c r="F9" s="24"/>
      <c r="G9" s="27"/>
      <c r="H9" s="27"/>
      <c r="I9" s="22"/>
    </row>
    <row r="10" customFormat="false" ht="13.8" hidden="false" customHeight="false" outlineLevel="0" collapsed="false">
      <c r="A10" s="22"/>
      <c r="B10" s="31"/>
      <c r="C10" s="32"/>
      <c r="D10" s="33" t="s">
        <v>55</v>
      </c>
      <c r="E10" s="31"/>
      <c r="F10" s="31"/>
      <c r="G10" s="34"/>
      <c r="H10" s="34"/>
      <c r="I10" s="35"/>
    </row>
    <row r="11" customFormat="false" ht="13.8" hidden="false" customHeight="false" outlineLevel="0" collapsed="false">
      <c r="A11" s="22"/>
      <c r="B11" s="31"/>
      <c r="C11" s="32"/>
      <c r="D11" s="33" t="s">
        <v>56</v>
      </c>
      <c r="E11" s="31"/>
      <c r="F11" s="31"/>
      <c r="G11" s="34"/>
      <c r="H11" s="34"/>
      <c r="I11" s="35"/>
    </row>
    <row r="12" customFormat="false" ht="13.8" hidden="false" customHeight="false" outlineLevel="0" collapsed="false">
      <c r="A12" s="22"/>
      <c r="B12" s="31"/>
      <c r="C12" s="32"/>
      <c r="D12" s="33" t="s">
        <v>57</v>
      </c>
      <c r="E12" s="31"/>
      <c r="F12" s="31"/>
      <c r="G12" s="34"/>
      <c r="H12" s="34"/>
      <c r="I12" s="35"/>
    </row>
    <row r="13" customFormat="false" ht="13.8" hidden="false" customHeight="false" outlineLevel="0" collapsed="false">
      <c r="A13" s="22"/>
      <c r="B13" s="31"/>
      <c r="C13" s="32"/>
      <c r="D13" s="36" t="s">
        <v>58</v>
      </c>
      <c r="E13" s="31"/>
      <c r="F13" s="36"/>
      <c r="G13" s="34"/>
      <c r="H13" s="34"/>
      <c r="I13" s="35"/>
    </row>
    <row r="14" customFormat="false" ht="13.8" hidden="false" customHeight="false" outlineLevel="0" collapsed="false">
      <c r="A14" s="22"/>
      <c r="B14" s="36"/>
      <c r="C14" s="32"/>
      <c r="D14" s="37"/>
      <c r="E14" s="31"/>
      <c r="F14" s="36"/>
      <c r="G14" s="34"/>
      <c r="H14" s="34"/>
      <c r="I14" s="35"/>
    </row>
    <row r="15" customFormat="false" ht="13.8" hidden="false" customHeight="false" outlineLevel="0" collapsed="false">
      <c r="A15" s="22"/>
      <c r="B15" s="38"/>
      <c r="C15" s="39"/>
      <c r="D15" s="40"/>
      <c r="E15" s="40"/>
      <c r="F15" s="40"/>
      <c r="G15" s="41"/>
      <c r="H15" s="41"/>
      <c r="I15" s="42"/>
    </row>
    <row r="16" customFormat="false" ht="13.8" hidden="false" customHeight="false" outlineLevel="0" collapsed="false">
      <c r="A16" s="22"/>
      <c r="B16" s="43"/>
      <c r="C16" s="44" t="s">
        <v>59</v>
      </c>
      <c r="D16" s="45" t="s">
        <v>60</v>
      </c>
      <c r="E16" s="45" t="s">
        <v>61</v>
      </c>
      <c r="F16" s="45" t="s">
        <v>27</v>
      </c>
      <c r="G16" s="46" t="s">
        <v>62</v>
      </c>
      <c r="H16" s="46" t="s">
        <v>63</v>
      </c>
      <c r="I16" s="47" t="s">
        <v>64</v>
      </c>
    </row>
    <row r="17" customFormat="false" ht="13.8" hidden="false" customHeight="false" outlineLevel="0" collapsed="false">
      <c r="A17" s="22"/>
      <c r="B17" s="36"/>
      <c r="C17" s="32"/>
      <c r="D17" s="37"/>
      <c r="E17" s="37"/>
      <c r="F17" s="37"/>
      <c r="G17" s="48"/>
      <c r="H17" s="48"/>
      <c r="I17" s="35"/>
    </row>
    <row r="18" customFormat="false" ht="13.8" hidden="false" customHeight="false" outlineLevel="0" collapsed="false">
      <c r="A18" s="22"/>
      <c r="B18" s="30"/>
      <c r="C18" s="49"/>
      <c r="D18" s="30" t="s">
        <v>65</v>
      </c>
      <c r="E18" s="30" t="s">
        <v>66</v>
      </c>
      <c r="F18" s="30" t="n">
        <v>123456</v>
      </c>
      <c r="G18" s="50" t="n">
        <v>7.777</v>
      </c>
      <c r="H18" s="50" t="s">
        <v>67</v>
      </c>
      <c r="I18" s="35"/>
    </row>
    <row r="19" customFormat="false" ht="13.8" hidden="false" customHeight="false" outlineLevel="0" collapsed="false">
      <c r="A19" s="22"/>
      <c r="B19" s="36"/>
      <c r="C19" s="32"/>
      <c r="D19" s="37"/>
      <c r="E19" s="31"/>
      <c r="F19" s="36"/>
      <c r="G19" s="34"/>
      <c r="H19" s="34"/>
      <c r="I19" s="35"/>
    </row>
    <row r="20" customFormat="false" ht="13.8" hidden="false" customHeight="false" outlineLevel="0" collapsed="false">
      <c r="A20" s="22"/>
      <c r="B20" s="36"/>
      <c r="C20" s="32"/>
      <c r="D20" s="37"/>
      <c r="E20" s="31"/>
      <c r="F20" s="36"/>
      <c r="G20" s="34"/>
      <c r="H20" s="34"/>
      <c r="I20" s="35"/>
    </row>
    <row r="21" customFormat="false" ht="13.8" hidden="false" customHeight="false" outlineLevel="0" collapsed="false">
      <c r="A21" s="22"/>
      <c r="B21" s="36"/>
      <c r="C21" s="32"/>
      <c r="D21" s="37"/>
      <c r="E21" s="31"/>
      <c r="F21" s="36"/>
      <c r="G21" s="34"/>
      <c r="H21" s="34"/>
      <c r="I21" s="35"/>
    </row>
  </sheetData>
  <sheetProtection sheet="true" password="c982" objects="true" scenarios="true"/>
  <mergeCells count="1">
    <mergeCell ref="B1:I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51" width="12.72"/>
    <col collapsed="false" customWidth="true" hidden="false" outlineLevel="0" max="2" min="2" style="51" width="36.57"/>
    <col collapsed="false" customWidth="true" hidden="false" outlineLevel="0" max="3" min="3" style="51" width="13.29"/>
    <col collapsed="false" customWidth="true" hidden="false" outlineLevel="0" max="4" min="4" style="52" width="14"/>
    <col collapsed="false" customWidth="true" hidden="false" outlineLevel="0" max="5" min="5" style="51" width="14.72"/>
    <col collapsed="false" customWidth="true" hidden="false" outlineLevel="0" max="25" min="6" style="51" width="9.14"/>
    <col collapsed="false" customWidth="false" hidden="false" outlineLevel="0" max="16384" min="26" style="51" width="14.43"/>
  </cols>
  <sheetData>
    <row r="1" customFormat="false" ht="14.25" hidden="false" customHeight="true" outlineLevel="0" collapsed="false">
      <c r="A1" s="20"/>
      <c r="B1" s="53" t="s">
        <v>68</v>
      </c>
      <c r="C1" s="53"/>
      <c r="D1" s="53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</row>
    <row r="2" customFormat="false" ht="14.25" hidden="false" customHeight="true" outlineLevel="0" collapsed="false">
      <c r="A2" s="55" t="s">
        <v>69</v>
      </c>
      <c r="B2" s="56" t="s">
        <v>70</v>
      </c>
      <c r="C2" s="56"/>
      <c r="D2" s="56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customFormat="false" ht="14.25" hidden="false" customHeight="true" outlineLevel="0" collapsed="false">
      <c r="A3" s="55" t="s">
        <v>71</v>
      </c>
      <c r="B3" s="56" t="s">
        <v>72</v>
      </c>
      <c r="C3" s="56"/>
      <c r="D3" s="56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</row>
    <row r="4" customFormat="false" ht="14.25" hidden="false" customHeight="true" outlineLevel="0" collapsed="false">
      <c r="A4" s="55" t="s">
        <v>73</v>
      </c>
      <c r="B4" s="57" t="s">
        <v>74</v>
      </c>
      <c r="C4" s="58" t="s">
        <v>75</v>
      </c>
      <c r="D4" s="59" t="n">
        <v>1</v>
      </c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</row>
    <row r="5" customFormat="false" ht="14.25" hidden="false" customHeight="true" outlineLevel="0" collapsed="false">
      <c r="A5" s="20"/>
      <c r="B5" s="60" t="s">
        <v>76</v>
      </c>
      <c r="C5" s="60"/>
      <c r="D5" s="61" t="s">
        <v>77</v>
      </c>
      <c r="E5" s="62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</row>
    <row r="6" customFormat="false" ht="14.25" hidden="false" customHeight="true" outlineLevel="0" collapsed="false">
      <c r="A6" s="63" t="s">
        <v>78</v>
      </c>
      <c r="B6" s="63"/>
      <c r="C6" s="63"/>
      <c r="D6" s="63"/>
      <c r="E6" s="16"/>
    </row>
    <row r="7" customFormat="false" ht="14.25" hidden="false" customHeight="true" outlineLevel="0" collapsed="false">
      <c r="A7" s="64"/>
      <c r="B7" s="20" t="s">
        <v>79</v>
      </c>
      <c r="C7" s="20" t="s">
        <v>80</v>
      </c>
      <c r="D7" s="65" t="s">
        <v>62</v>
      </c>
      <c r="E7" s="16"/>
    </row>
    <row r="8" customFormat="false" ht="14.25" hidden="false" customHeight="true" outlineLevel="0" collapsed="false">
      <c r="A8" s="66" t="str">
        <f aca="false">CONCATENATE("Baan ",D$4)</f>
        <v>Baan 1</v>
      </c>
      <c r="B8" s="67" t="s">
        <v>81</v>
      </c>
      <c r="C8" s="68"/>
      <c r="D8" s="69"/>
      <c r="E8" s="16"/>
    </row>
    <row r="9" customFormat="false" ht="14.25" hidden="false" customHeight="true" outlineLevel="0" collapsed="false">
      <c r="A9" s="64" t="s">
        <v>82</v>
      </c>
      <c r="B9" s="70"/>
      <c r="C9" s="71"/>
      <c r="D9" s="69"/>
      <c r="E9" s="16"/>
    </row>
    <row r="10" customFormat="false" ht="14.25" hidden="false" customHeight="true" outlineLevel="0" collapsed="false">
      <c r="A10" s="64" t="s">
        <v>83</v>
      </c>
      <c r="B10" s="70"/>
      <c r="C10" s="71"/>
      <c r="D10" s="69"/>
      <c r="E10" s="16"/>
    </row>
    <row r="11" customFormat="false" ht="14.25" hidden="false" customHeight="true" outlineLevel="0" collapsed="false">
      <c r="A11" s="64" t="s">
        <v>84</v>
      </c>
      <c r="B11" s="72"/>
      <c r="C11" s="73"/>
      <c r="D11" s="69"/>
      <c r="E11" s="16"/>
    </row>
    <row r="12" customFormat="false" ht="14.25" hidden="false" customHeight="true" outlineLevel="0" collapsed="false">
      <c r="A12" s="64"/>
      <c r="B12" s="20" t="s">
        <v>79</v>
      </c>
      <c r="C12" s="20" t="s">
        <v>80</v>
      </c>
      <c r="D12" s="65"/>
      <c r="E12" s="16"/>
    </row>
    <row r="13" customFormat="false" ht="14.25" hidden="false" customHeight="true" outlineLevel="0" collapsed="false">
      <c r="A13" s="66" t="str">
        <f aca="false">CONCATENATE("Baan ",D$4+1)</f>
        <v>Baan 2</v>
      </c>
      <c r="B13" s="67" t="s">
        <v>85</v>
      </c>
      <c r="C13" s="68"/>
      <c r="D13" s="69"/>
      <c r="E13" s="16"/>
    </row>
    <row r="14" customFormat="false" ht="14.25" hidden="false" customHeight="true" outlineLevel="0" collapsed="false">
      <c r="A14" s="64" t="s">
        <v>82</v>
      </c>
      <c r="B14" s="70"/>
      <c r="C14" s="71"/>
      <c r="D14" s="69"/>
      <c r="E14" s="16"/>
    </row>
    <row r="15" customFormat="false" ht="14.25" hidden="false" customHeight="true" outlineLevel="0" collapsed="false">
      <c r="A15" s="64" t="s">
        <v>83</v>
      </c>
      <c r="B15" s="70"/>
      <c r="C15" s="71"/>
      <c r="D15" s="69"/>
      <c r="E15" s="16"/>
    </row>
    <row r="16" customFormat="false" ht="14.25" hidden="false" customHeight="true" outlineLevel="0" collapsed="false">
      <c r="A16" s="64" t="s">
        <v>84</v>
      </c>
      <c r="B16" s="72"/>
      <c r="C16" s="73"/>
      <c r="D16" s="69"/>
      <c r="E16" s="16"/>
    </row>
    <row r="17" customFormat="false" ht="14.25" hidden="false" customHeight="true" outlineLevel="0" collapsed="false">
      <c r="A17" s="64"/>
      <c r="B17" s="20" t="s">
        <v>79</v>
      </c>
      <c r="C17" s="20" t="s">
        <v>80</v>
      </c>
      <c r="D17" s="65"/>
      <c r="E17" s="16"/>
    </row>
    <row r="18" customFormat="false" ht="14.25" hidden="false" customHeight="true" outlineLevel="0" collapsed="false">
      <c r="A18" s="66" t="str">
        <f aca="false">CONCATENATE("Baan ",D$4+2)</f>
        <v>Baan 3</v>
      </c>
      <c r="B18" s="67" t="s">
        <v>86</v>
      </c>
      <c r="C18" s="68"/>
      <c r="D18" s="69"/>
      <c r="E18" s="16"/>
    </row>
    <row r="19" customFormat="false" ht="14.25" hidden="false" customHeight="true" outlineLevel="0" collapsed="false">
      <c r="A19" s="64" t="s">
        <v>82</v>
      </c>
      <c r="B19" s="70"/>
      <c r="C19" s="71"/>
      <c r="D19" s="69"/>
      <c r="E19" s="16"/>
    </row>
    <row r="20" customFormat="false" ht="14.25" hidden="false" customHeight="true" outlineLevel="0" collapsed="false">
      <c r="A20" s="64" t="s">
        <v>83</v>
      </c>
      <c r="B20" s="70"/>
      <c r="C20" s="71"/>
      <c r="D20" s="69"/>
      <c r="E20" s="16"/>
    </row>
    <row r="21" customFormat="false" ht="14.25" hidden="false" customHeight="true" outlineLevel="0" collapsed="false">
      <c r="A21" s="64" t="s">
        <v>84</v>
      </c>
      <c r="B21" s="72"/>
      <c r="C21" s="73"/>
      <c r="D21" s="69"/>
      <c r="E21" s="16"/>
    </row>
    <row r="22" customFormat="false" ht="14.25" hidden="false" customHeight="true" outlineLevel="0" collapsed="false">
      <c r="A22" s="64"/>
      <c r="B22" s="20" t="s">
        <v>79</v>
      </c>
      <c r="C22" s="20" t="s">
        <v>80</v>
      </c>
      <c r="D22" s="65"/>
      <c r="E22" s="16"/>
    </row>
    <row r="23" customFormat="false" ht="14.25" hidden="false" customHeight="true" outlineLevel="0" collapsed="false">
      <c r="A23" s="66" t="str">
        <f aca="false">CONCATENATE("Baan ",D$4+3)</f>
        <v>Baan 4</v>
      </c>
      <c r="B23" s="67" t="s">
        <v>87</v>
      </c>
      <c r="C23" s="68"/>
      <c r="D23" s="69"/>
      <c r="E23" s="16"/>
    </row>
    <row r="24" customFormat="false" ht="14.25" hidden="false" customHeight="true" outlineLevel="0" collapsed="false">
      <c r="A24" s="64" t="s">
        <v>82</v>
      </c>
      <c r="B24" s="70"/>
      <c r="C24" s="71"/>
      <c r="D24" s="69"/>
      <c r="E24" s="16"/>
    </row>
    <row r="25" customFormat="false" ht="14.25" hidden="false" customHeight="true" outlineLevel="0" collapsed="false">
      <c r="A25" s="64" t="s">
        <v>83</v>
      </c>
      <c r="B25" s="70"/>
      <c r="C25" s="71"/>
      <c r="D25" s="69"/>
      <c r="E25" s="16"/>
    </row>
    <row r="26" customFormat="false" ht="14.25" hidden="false" customHeight="true" outlineLevel="0" collapsed="false">
      <c r="A26" s="64" t="s">
        <v>84</v>
      </c>
      <c r="B26" s="72"/>
      <c r="C26" s="73"/>
      <c r="D26" s="69"/>
      <c r="E26" s="16"/>
    </row>
    <row r="27" customFormat="false" ht="14.25" hidden="false" customHeight="true" outlineLevel="0" collapsed="false">
      <c r="A27" s="64"/>
      <c r="B27" s="20" t="s">
        <v>79</v>
      </c>
      <c r="C27" s="20" t="s">
        <v>80</v>
      </c>
      <c r="D27" s="65"/>
      <c r="E27" s="16"/>
    </row>
    <row r="28" customFormat="false" ht="14.25" hidden="false" customHeight="true" outlineLevel="0" collapsed="false">
      <c r="A28" s="66" t="str">
        <f aca="false">CONCATENATE("Baan ",D$4+4)</f>
        <v>Baan 5</v>
      </c>
      <c r="B28" s="67" t="s">
        <v>88</v>
      </c>
      <c r="C28" s="68"/>
      <c r="D28" s="69"/>
      <c r="E28" s="16"/>
    </row>
    <row r="29" customFormat="false" ht="14.25" hidden="false" customHeight="true" outlineLevel="0" collapsed="false">
      <c r="A29" s="64" t="s">
        <v>82</v>
      </c>
      <c r="B29" s="70"/>
      <c r="C29" s="71"/>
      <c r="D29" s="69"/>
      <c r="E29" s="16"/>
    </row>
    <row r="30" customFormat="false" ht="14.25" hidden="false" customHeight="true" outlineLevel="0" collapsed="false">
      <c r="A30" s="64" t="s">
        <v>83</v>
      </c>
      <c r="B30" s="70"/>
      <c r="C30" s="71"/>
      <c r="D30" s="69"/>
      <c r="E30" s="16"/>
    </row>
    <row r="31" customFormat="false" ht="14.25" hidden="false" customHeight="true" outlineLevel="0" collapsed="false">
      <c r="A31" s="64" t="s">
        <v>84</v>
      </c>
      <c r="B31" s="72"/>
      <c r="C31" s="73"/>
      <c r="D31" s="69"/>
      <c r="E31" s="16"/>
    </row>
    <row r="32" customFormat="false" ht="14.25" hidden="false" customHeight="true" outlineLevel="0" collapsed="false">
      <c r="A32" s="64"/>
      <c r="B32" s="20" t="s">
        <v>79</v>
      </c>
      <c r="C32" s="20" t="s">
        <v>80</v>
      </c>
      <c r="D32" s="65"/>
      <c r="E32" s="16"/>
    </row>
    <row r="33" customFormat="false" ht="14.25" hidden="false" customHeight="true" outlineLevel="0" collapsed="false">
      <c r="A33" s="66" t="str">
        <f aca="false">CONCATENATE("Baan ",D$4+5)</f>
        <v>Baan 6</v>
      </c>
      <c r="B33" s="67" t="s">
        <v>89</v>
      </c>
      <c r="C33" s="68"/>
      <c r="D33" s="69"/>
      <c r="E33" s="16"/>
    </row>
    <row r="34" customFormat="false" ht="14.25" hidden="false" customHeight="true" outlineLevel="0" collapsed="false">
      <c r="A34" s="64" t="s">
        <v>82</v>
      </c>
      <c r="B34" s="70"/>
      <c r="C34" s="71"/>
      <c r="D34" s="69"/>
      <c r="E34" s="16"/>
    </row>
    <row r="35" customFormat="false" ht="14.25" hidden="false" customHeight="true" outlineLevel="0" collapsed="false">
      <c r="A35" s="64" t="s">
        <v>83</v>
      </c>
      <c r="B35" s="70"/>
      <c r="C35" s="71"/>
      <c r="D35" s="69"/>
      <c r="E35" s="16"/>
    </row>
    <row r="36" customFormat="false" ht="14.25" hidden="false" customHeight="true" outlineLevel="0" collapsed="false">
      <c r="A36" s="64" t="s">
        <v>84</v>
      </c>
      <c r="B36" s="72"/>
      <c r="C36" s="73"/>
      <c r="D36" s="69"/>
      <c r="E36" s="16"/>
    </row>
    <row r="37" customFormat="false" ht="14.25" hidden="false" customHeight="true" outlineLevel="0" collapsed="false">
      <c r="A37" s="64"/>
      <c r="B37" s="20" t="s">
        <v>79</v>
      </c>
      <c r="C37" s="20" t="s">
        <v>80</v>
      </c>
      <c r="D37" s="65"/>
      <c r="E37" s="16"/>
    </row>
    <row r="38" customFormat="false" ht="14.25" hidden="false" customHeight="true" outlineLevel="0" collapsed="false">
      <c r="A38" s="66" t="str">
        <f aca="false">CONCATENATE("Baan ",D$4+6)</f>
        <v>Baan 7</v>
      </c>
      <c r="B38" s="67" t="s">
        <v>90</v>
      </c>
      <c r="C38" s="68"/>
      <c r="D38" s="69"/>
      <c r="E38" s="16"/>
    </row>
    <row r="39" customFormat="false" ht="14.25" hidden="false" customHeight="true" outlineLevel="0" collapsed="false">
      <c r="A39" s="64" t="s">
        <v>82</v>
      </c>
      <c r="B39" s="70"/>
      <c r="C39" s="71"/>
      <c r="D39" s="69"/>
      <c r="E39" s="16"/>
    </row>
    <row r="40" customFormat="false" ht="14.25" hidden="false" customHeight="true" outlineLevel="0" collapsed="false">
      <c r="A40" s="64" t="s">
        <v>83</v>
      </c>
      <c r="B40" s="70"/>
      <c r="C40" s="71"/>
      <c r="D40" s="69"/>
      <c r="E40" s="16"/>
    </row>
    <row r="41" customFormat="false" ht="14.25" hidden="false" customHeight="true" outlineLevel="0" collapsed="false">
      <c r="A41" s="64" t="s">
        <v>84</v>
      </c>
      <c r="B41" s="72"/>
      <c r="C41" s="73"/>
      <c r="D41" s="69"/>
      <c r="E41" s="16"/>
    </row>
    <row r="42" customFormat="false" ht="14.25" hidden="false" customHeight="true" outlineLevel="0" collapsed="false">
      <c r="A42" s="64"/>
      <c r="B42" s="20" t="s">
        <v>79</v>
      </c>
      <c r="C42" s="20" t="s">
        <v>80</v>
      </c>
      <c r="D42" s="65"/>
      <c r="E42" s="16"/>
    </row>
    <row r="43" customFormat="false" ht="14.25" hidden="false" customHeight="true" outlineLevel="0" collapsed="false">
      <c r="A43" s="66" t="str">
        <f aca="false">CONCATENATE("Baan ",D$4+7)</f>
        <v>Baan 8</v>
      </c>
      <c r="B43" s="67" t="s">
        <v>91</v>
      </c>
      <c r="C43" s="68"/>
      <c r="D43" s="69"/>
      <c r="E43" s="16"/>
    </row>
    <row r="44" customFormat="false" ht="14.25" hidden="false" customHeight="true" outlineLevel="0" collapsed="false">
      <c r="A44" s="64" t="s">
        <v>82</v>
      </c>
      <c r="B44" s="70"/>
      <c r="C44" s="71"/>
      <c r="D44" s="69"/>
      <c r="E44" s="16"/>
    </row>
    <row r="45" customFormat="false" ht="14.25" hidden="false" customHeight="true" outlineLevel="0" collapsed="false">
      <c r="A45" s="64" t="s">
        <v>83</v>
      </c>
      <c r="B45" s="70"/>
      <c r="C45" s="71"/>
      <c r="D45" s="69"/>
      <c r="E45" s="16"/>
    </row>
    <row r="46" customFormat="false" ht="14.25" hidden="false" customHeight="true" outlineLevel="0" collapsed="false">
      <c r="A46" s="64" t="s">
        <v>84</v>
      </c>
      <c r="B46" s="72"/>
      <c r="C46" s="73"/>
      <c r="D46" s="69"/>
      <c r="E46" s="16"/>
    </row>
    <row r="47" customFormat="false" ht="14.25" hidden="false" customHeight="true" outlineLevel="0" collapsed="false">
      <c r="A47" s="74"/>
      <c r="B47" s="75"/>
      <c r="C47" s="75"/>
      <c r="D47" s="76"/>
      <c r="E47" s="16"/>
    </row>
    <row r="48" customFormat="false" ht="14.25" hidden="false" customHeight="true" outlineLevel="0" collapsed="false">
      <c r="A48" s="16"/>
      <c r="B48" s="16"/>
      <c r="C48" s="16"/>
      <c r="D48" s="77"/>
      <c r="E48" s="16"/>
    </row>
    <row r="49" customFormat="false" ht="14.25" hidden="false" customHeight="true" outlineLevel="0" collapsed="false">
      <c r="A49" s="16"/>
      <c r="B49" s="16"/>
      <c r="C49" s="16"/>
      <c r="D49" s="77"/>
      <c r="E49" s="16"/>
    </row>
    <row r="50" customFormat="false" ht="14.25" hidden="false" customHeight="true" outlineLevel="0" collapsed="false">
      <c r="A50" s="16"/>
      <c r="B50" s="16"/>
      <c r="C50" s="16"/>
      <c r="D50" s="77"/>
      <c r="E50" s="16"/>
    </row>
    <row r="51" customFormat="false" ht="14.25" hidden="false" customHeight="true" outlineLevel="0" collapsed="false">
      <c r="A51" s="16"/>
      <c r="B51" s="16"/>
      <c r="C51" s="16"/>
      <c r="D51" s="77"/>
      <c r="E51" s="16"/>
    </row>
    <row r="52" customFormat="false" ht="14.25" hidden="false" customHeight="true" outlineLevel="0" collapsed="false">
      <c r="A52" s="16"/>
      <c r="B52" s="16"/>
      <c r="C52" s="16"/>
      <c r="D52" s="77"/>
      <c r="E52" s="16"/>
    </row>
    <row r="53" customFormat="false" ht="14.25" hidden="false" customHeight="true" outlineLevel="0" collapsed="false">
      <c r="A53" s="16"/>
      <c r="B53" s="16"/>
      <c r="C53" s="16"/>
      <c r="D53" s="77"/>
      <c r="E53" s="16"/>
    </row>
    <row r="54" customFormat="false" ht="14.25" hidden="false" customHeight="true" outlineLevel="0" collapsed="false">
      <c r="A54" s="16"/>
      <c r="B54" s="16"/>
      <c r="C54" s="16"/>
      <c r="D54" s="77"/>
      <c r="E54" s="16"/>
    </row>
    <row r="55" customFormat="false" ht="14.25" hidden="false" customHeight="true" outlineLevel="0" collapsed="false">
      <c r="A55" s="16"/>
      <c r="B55" s="16"/>
      <c r="C55" s="16"/>
      <c r="D55" s="77"/>
      <c r="E55" s="16"/>
    </row>
    <row r="56" customFormat="false" ht="14.25" hidden="false" customHeight="true" outlineLevel="0" collapsed="false">
      <c r="A56" s="16"/>
      <c r="B56" s="16"/>
      <c r="C56" s="16"/>
      <c r="D56" s="77"/>
      <c r="E56" s="16"/>
    </row>
    <row r="57" customFormat="false" ht="14.25" hidden="false" customHeight="true" outlineLevel="0" collapsed="false">
      <c r="A57" s="16"/>
      <c r="B57" s="16"/>
      <c r="C57" s="16"/>
      <c r="D57" s="77"/>
      <c r="E57" s="16"/>
    </row>
    <row r="58" customFormat="false" ht="14.25" hidden="false" customHeight="true" outlineLevel="0" collapsed="false">
      <c r="A58" s="16"/>
      <c r="B58" s="16"/>
      <c r="C58" s="16"/>
      <c r="D58" s="77"/>
      <c r="E58" s="16"/>
    </row>
    <row r="59" customFormat="false" ht="14.25" hidden="false" customHeight="true" outlineLevel="0" collapsed="false">
      <c r="A59" s="16"/>
      <c r="B59" s="16"/>
      <c r="C59" s="16"/>
      <c r="D59" s="77"/>
      <c r="E59" s="16"/>
    </row>
    <row r="60" customFormat="false" ht="14.25" hidden="false" customHeight="true" outlineLevel="0" collapsed="false">
      <c r="A60" s="16"/>
      <c r="B60" s="16"/>
      <c r="C60" s="16"/>
      <c r="D60" s="77"/>
      <c r="E60" s="16"/>
    </row>
    <row r="61" customFormat="false" ht="14.25" hidden="false" customHeight="true" outlineLevel="0" collapsed="false">
      <c r="A61" s="16"/>
      <c r="B61" s="16"/>
      <c r="C61" s="16"/>
      <c r="D61" s="77"/>
      <c r="E61" s="16"/>
    </row>
    <row r="62" customFormat="false" ht="14.25" hidden="false" customHeight="true" outlineLevel="0" collapsed="false">
      <c r="A62" s="16"/>
      <c r="B62" s="16"/>
      <c r="C62" s="16"/>
      <c r="D62" s="77"/>
      <c r="E62" s="16"/>
    </row>
    <row r="63" customFormat="false" ht="14.25" hidden="false" customHeight="true" outlineLevel="0" collapsed="false">
      <c r="A63" s="16"/>
      <c r="B63" s="16"/>
      <c r="C63" s="16"/>
      <c r="D63" s="77"/>
      <c r="E63" s="16"/>
    </row>
    <row r="64" customFormat="false" ht="14.25" hidden="false" customHeight="true" outlineLevel="0" collapsed="false">
      <c r="A64" s="16"/>
      <c r="B64" s="16"/>
      <c r="C64" s="16"/>
      <c r="D64" s="77"/>
      <c r="E64" s="16"/>
    </row>
    <row r="65" customFormat="false" ht="14.25" hidden="false" customHeight="true" outlineLevel="0" collapsed="false">
      <c r="A65" s="16"/>
      <c r="B65" s="16"/>
      <c r="C65" s="16"/>
      <c r="D65" s="77"/>
      <c r="E65" s="16"/>
    </row>
    <row r="66" customFormat="false" ht="14.25" hidden="false" customHeight="true" outlineLevel="0" collapsed="false">
      <c r="A66" s="16"/>
      <c r="B66" s="16"/>
      <c r="C66" s="16"/>
      <c r="D66" s="77"/>
      <c r="E66" s="16"/>
    </row>
    <row r="67" customFormat="false" ht="14.25" hidden="false" customHeight="true" outlineLevel="0" collapsed="false">
      <c r="A67" s="16"/>
      <c r="B67" s="16"/>
      <c r="C67" s="16"/>
      <c r="D67" s="77"/>
      <c r="E67" s="16"/>
    </row>
    <row r="68" customFormat="false" ht="14.25" hidden="false" customHeight="true" outlineLevel="0" collapsed="false">
      <c r="A68" s="16"/>
      <c r="B68" s="16"/>
      <c r="C68" s="16"/>
      <c r="D68" s="77"/>
      <c r="E68" s="16"/>
    </row>
    <row r="69" customFormat="false" ht="14.25" hidden="false" customHeight="true" outlineLevel="0" collapsed="false">
      <c r="A69" s="16"/>
      <c r="B69" s="16"/>
      <c r="C69" s="16"/>
      <c r="D69" s="77"/>
      <c r="E69" s="16"/>
    </row>
    <row r="70" customFormat="false" ht="14.25" hidden="false" customHeight="true" outlineLevel="0" collapsed="false">
      <c r="A70" s="16"/>
      <c r="B70" s="16"/>
      <c r="C70" s="16"/>
      <c r="D70" s="77"/>
      <c r="E70" s="16"/>
    </row>
    <row r="71" customFormat="false" ht="14.25" hidden="false" customHeight="true" outlineLevel="0" collapsed="false">
      <c r="A71" s="16"/>
      <c r="B71" s="16"/>
      <c r="C71" s="16"/>
      <c r="D71" s="77"/>
      <c r="E71" s="16"/>
    </row>
    <row r="72" customFormat="false" ht="14.25" hidden="false" customHeight="true" outlineLevel="0" collapsed="false">
      <c r="A72" s="16"/>
      <c r="B72" s="16"/>
      <c r="C72" s="16"/>
      <c r="D72" s="77"/>
      <c r="E72" s="16"/>
    </row>
    <row r="73" customFormat="false" ht="14.25" hidden="false" customHeight="true" outlineLevel="0" collapsed="false">
      <c r="A73" s="16"/>
      <c r="B73" s="16"/>
      <c r="C73" s="16"/>
      <c r="D73" s="77"/>
      <c r="E73" s="16"/>
    </row>
    <row r="74" customFormat="false" ht="14.25" hidden="false" customHeight="true" outlineLevel="0" collapsed="false">
      <c r="A74" s="16"/>
      <c r="B74" s="16"/>
      <c r="C74" s="16"/>
      <c r="D74" s="77"/>
      <c r="E74" s="16"/>
    </row>
    <row r="75" customFormat="false" ht="14.25" hidden="false" customHeight="true" outlineLevel="0" collapsed="false">
      <c r="A75" s="16"/>
      <c r="B75" s="16"/>
      <c r="C75" s="16"/>
      <c r="D75" s="77"/>
      <c r="E75" s="16"/>
    </row>
    <row r="76" customFormat="false" ht="14.25" hidden="false" customHeight="true" outlineLevel="0" collapsed="false">
      <c r="A76" s="16"/>
      <c r="B76" s="16"/>
      <c r="C76" s="16"/>
      <c r="D76" s="77"/>
      <c r="E76" s="16"/>
    </row>
    <row r="77" customFormat="false" ht="14.25" hidden="false" customHeight="true" outlineLevel="0" collapsed="false">
      <c r="A77" s="16"/>
      <c r="B77" s="16"/>
      <c r="C77" s="16"/>
      <c r="D77" s="77"/>
      <c r="E77" s="16"/>
    </row>
    <row r="78" customFormat="false" ht="14.25" hidden="false" customHeight="true" outlineLevel="0" collapsed="false">
      <c r="A78" s="16"/>
      <c r="B78" s="16"/>
      <c r="C78" s="16"/>
      <c r="D78" s="77"/>
      <c r="E78" s="16"/>
    </row>
    <row r="79" customFormat="false" ht="14.25" hidden="false" customHeight="true" outlineLevel="0" collapsed="false">
      <c r="A79" s="16"/>
      <c r="B79" s="16"/>
      <c r="C79" s="16"/>
      <c r="D79" s="77"/>
      <c r="E79" s="16"/>
    </row>
    <row r="80" customFormat="false" ht="14.25" hidden="false" customHeight="true" outlineLevel="0" collapsed="false">
      <c r="A80" s="16"/>
      <c r="B80" s="16"/>
      <c r="C80" s="16"/>
      <c r="D80" s="77"/>
      <c r="E80" s="16"/>
    </row>
    <row r="81" customFormat="false" ht="14.25" hidden="false" customHeight="true" outlineLevel="0" collapsed="false">
      <c r="A81" s="16"/>
      <c r="B81" s="16"/>
      <c r="C81" s="16"/>
      <c r="D81" s="77"/>
      <c r="E81" s="16"/>
    </row>
    <row r="82" customFormat="false" ht="14.25" hidden="false" customHeight="true" outlineLevel="0" collapsed="false">
      <c r="A82" s="16"/>
      <c r="B82" s="16"/>
      <c r="C82" s="16"/>
      <c r="D82" s="77"/>
      <c r="E82" s="16"/>
    </row>
    <row r="83" customFormat="false" ht="14.25" hidden="false" customHeight="true" outlineLevel="0" collapsed="false">
      <c r="A83" s="16"/>
      <c r="B83" s="16"/>
      <c r="C83" s="16"/>
      <c r="D83" s="77"/>
      <c r="E83" s="16"/>
    </row>
    <row r="84" customFormat="false" ht="14.25" hidden="false" customHeight="true" outlineLevel="0" collapsed="false">
      <c r="A84" s="16"/>
      <c r="B84" s="16"/>
      <c r="C84" s="16"/>
      <c r="D84" s="77"/>
      <c r="E84" s="16"/>
    </row>
    <row r="85" customFormat="false" ht="14.25" hidden="false" customHeight="true" outlineLevel="0" collapsed="false">
      <c r="A85" s="16"/>
      <c r="B85" s="16"/>
      <c r="C85" s="16"/>
      <c r="D85" s="77"/>
      <c r="E85" s="16"/>
    </row>
    <row r="86" customFormat="false" ht="14.25" hidden="false" customHeight="true" outlineLevel="0" collapsed="false">
      <c r="A86" s="16"/>
      <c r="B86" s="16"/>
      <c r="C86" s="16"/>
      <c r="D86" s="77"/>
      <c r="E86" s="16"/>
    </row>
    <row r="87" customFormat="false" ht="14.25" hidden="false" customHeight="true" outlineLevel="0" collapsed="false">
      <c r="A87" s="16"/>
      <c r="B87" s="16"/>
      <c r="C87" s="16"/>
      <c r="D87" s="77"/>
      <c r="E87" s="16"/>
    </row>
    <row r="88" customFormat="false" ht="14.25" hidden="false" customHeight="true" outlineLevel="0" collapsed="false">
      <c r="A88" s="16"/>
      <c r="B88" s="16"/>
      <c r="C88" s="16"/>
      <c r="D88" s="77"/>
      <c r="E88" s="16"/>
    </row>
    <row r="89" customFormat="false" ht="14.25" hidden="false" customHeight="true" outlineLevel="0" collapsed="false">
      <c r="A89" s="16"/>
      <c r="B89" s="16"/>
      <c r="C89" s="16"/>
      <c r="D89" s="77"/>
      <c r="E89" s="16"/>
    </row>
    <row r="90" customFormat="false" ht="14.25" hidden="false" customHeight="true" outlineLevel="0" collapsed="false">
      <c r="A90" s="16"/>
      <c r="B90" s="16"/>
      <c r="C90" s="16"/>
      <c r="D90" s="77"/>
      <c r="E90" s="16"/>
    </row>
    <row r="91" customFormat="false" ht="14.25" hidden="false" customHeight="true" outlineLevel="0" collapsed="false">
      <c r="A91" s="16"/>
      <c r="B91" s="16"/>
      <c r="C91" s="16"/>
      <c r="D91" s="77"/>
      <c r="E91" s="16"/>
    </row>
    <row r="92" customFormat="false" ht="14.25" hidden="false" customHeight="true" outlineLevel="0" collapsed="false">
      <c r="A92" s="16"/>
      <c r="B92" s="16"/>
      <c r="C92" s="16"/>
      <c r="D92" s="77"/>
      <c r="E92" s="16"/>
    </row>
    <row r="93" customFormat="false" ht="14.25" hidden="false" customHeight="true" outlineLevel="0" collapsed="false">
      <c r="A93" s="16"/>
      <c r="B93" s="16"/>
      <c r="C93" s="16"/>
      <c r="D93" s="77"/>
      <c r="E93" s="16"/>
    </row>
    <row r="94" customFormat="false" ht="14.25" hidden="false" customHeight="true" outlineLevel="0" collapsed="false">
      <c r="A94" s="16"/>
      <c r="B94" s="16"/>
      <c r="C94" s="16"/>
      <c r="D94" s="77"/>
      <c r="E94" s="16"/>
    </row>
    <row r="95" customFormat="false" ht="14.25" hidden="false" customHeight="true" outlineLevel="0" collapsed="false">
      <c r="A95" s="16"/>
      <c r="B95" s="16"/>
      <c r="C95" s="16"/>
      <c r="D95" s="77"/>
      <c r="E95" s="16"/>
    </row>
    <row r="96" customFormat="false" ht="14.25" hidden="false" customHeight="true" outlineLevel="0" collapsed="false">
      <c r="A96" s="16"/>
      <c r="B96" s="16"/>
      <c r="C96" s="16"/>
      <c r="D96" s="77"/>
      <c r="E96" s="16"/>
    </row>
    <row r="97" customFormat="false" ht="14.25" hidden="false" customHeight="true" outlineLevel="0" collapsed="false">
      <c r="A97" s="16"/>
      <c r="B97" s="16"/>
      <c r="C97" s="16"/>
      <c r="D97" s="77"/>
      <c r="E97" s="16"/>
    </row>
    <row r="98" customFormat="false" ht="14.25" hidden="false" customHeight="true" outlineLevel="0" collapsed="false">
      <c r="A98" s="16"/>
      <c r="B98" s="16"/>
      <c r="C98" s="16"/>
      <c r="D98" s="77"/>
      <c r="E98" s="16"/>
    </row>
    <row r="99" customFormat="false" ht="14.25" hidden="false" customHeight="true" outlineLevel="0" collapsed="false">
      <c r="A99" s="16"/>
      <c r="B99" s="16"/>
      <c r="C99" s="16"/>
      <c r="D99" s="77"/>
      <c r="E99" s="16"/>
    </row>
    <row r="100" customFormat="false" ht="14.25" hidden="false" customHeight="true" outlineLevel="0" collapsed="false">
      <c r="A100" s="16"/>
      <c r="B100" s="16"/>
      <c r="C100" s="16"/>
      <c r="D100" s="77"/>
      <c r="E100" s="16"/>
    </row>
    <row r="101" customFormat="false" ht="14.25" hidden="false" customHeight="true" outlineLevel="0" collapsed="false">
      <c r="A101" s="16"/>
      <c r="B101" s="16"/>
      <c r="C101" s="16"/>
      <c r="D101" s="77"/>
      <c r="E101" s="16"/>
    </row>
    <row r="102" customFormat="false" ht="14.25" hidden="false" customHeight="true" outlineLevel="0" collapsed="false">
      <c r="A102" s="16"/>
      <c r="B102" s="16"/>
      <c r="C102" s="16"/>
      <c r="D102" s="77"/>
      <c r="E102" s="16"/>
    </row>
    <row r="103" customFormat="false" ht="14.25" hidden="false" customHeight="true" outlineLevel="0" collapsed="false">
      <c r="A103" s="16"/>
      <c r="B103" s="16"/>
      <c r="C103" s="16"/>
      <c r="D103" s="77"/>
      <c r="E103" s="16"/>
    </row>
    <row r="104" customFormat="false" ht="14.25" hidden="false" customHeight="true" outlineLevel="0" collapsed="false">
      <c r="A104" s="16"/>
      <c r="B104" s="16"/>
      <c r="C104" s="16"/>
      <c r="D104" s="77"/>
      <c r="E104" s="16"/>
    </row>
    <row r="105" customFormat="false" ht="14.25" hidden="false" customHeight="true" outlineLevel="0" collapsed="false">
      <c r="A105" s="16"/>
      <c r="B105" s="16"/>
      <c r="C105" s="16"/>
      <c r="D105" s="77"/>
      <c r="E105" s="16"/>
    </row>
    <row r="106" customFormat="false" ht="14.25" hidden="false" customHeight="true" outlineLevel="0" collapsed="false">
      <c r="A106" s="16"/>
      <c r="B106" s="16"/>
      <c r="C106" s="16"/>
      <c r="D106" s="77"/>
      <c r="E106" s="16"/>
    </row>
    <row r="107" customFormat="false" ht="14.25" hidden="false" customHeight="true" outlineLevel="0" collapsed="false">
      <c r="A107" s="16"/>
      <c r="B107" s="16"/>
      <c r="C107" s="16"/>
      <c r="D107" s="77"/>
      <c r="E107" s="16"/>
    </row>
    <row r="108" customFormat="false" ht="14.25" hidden="false" customHeight="true" outlineLevel="0" collapsed="false">
      <c r="A108" s="16"/>
      <c r="B108" s="16"/>
      <c r="C108" s="16"/>
      <c r="D108" s="77"/>
      <c r="E108" s="16"/>
    </row>
    <row r="109" customFormat="false" ht="14.25" hidden="false" customHeight="true" outlineLevel="0" collapsed="false">
      <c r="A109" s="16"/>
      <c r="B109" s="16"/>
      <c r="C109" s="16"/>
      <c r="D109" s="77"/>
      <c r="E109" s="16"/>
    </row>
    <row r="110" customFormat="false" ht="14.25" hidden="false" customHeight="true" outlineLevel="0" collapsed="false">
      <c r="A110" s="16"/>
      <c r="B110" s="16"/>
      <c r="C110" s="16"/>
      <c r="D110" s="77"/>
      <c r="E110" s="16"/>
    </row>
    <row r="111" customFormat="false" ht="14.25" hidden="false" customHeight="true" outlineLevel="0" collapsed="false">
      <c r="A111" s="16"/>
      <c r="B111" s="16"/>
      <c r="C111" s="16"/>
      <c r="D111" s="77"/>
      <c r="E111" s="16"/>
    </row>
    <row r="112" customFormat="false" ht="14.25" hidden="false" customHeight="true" outlineLevel="0" collapsed="false">
      <c r="A112" s="16"/>
      <c r="B112" s="16"/>
      <c r="C112" s="16"/>
      <c r="D112" s="77"/>
      <c r="E112" s="16"/>
    </row>
    <row r="113" customFormat="false" ht="14.25" hidden="false" customHeight="true" outlineLevel="0" collapsed="false">
      <c r="A113" s="16"/>
      <c r="B113" s="16"/>
      <c r="C113" s="16"/>
      <c r="D113" s="77"/>
      <c r="E113" s="16"/>
    </row>
    <row r="114" customFormat="false" ht="14.25" hidden="false" customHeight="true" outlineLevel="0" collapsed="false">
      <c r="A114" s="16"/>
      <c r="B114" s="16"/>
      <c r="C114" s="16"/>
      <c r="D114" s="77"/>
      <c r="E114" s="16"/>
    </row>
    <row r="115" customFormat="false" ht="14.25" hidden="false" customHeight="true" outlineLevel="0" collapsed="false">
      <c r="A115" s="16"/>
      <c r="B115" s="16"/>
      <c r="C115" s="16"/>
      <c r="D115" s="77"/>
      <c r="E115" s="16"/>
    </row>
    <row r="116" customFormat="false" ht="14.25" hidden="false" customHeight="true" outlineLevel="0" collapsed="false">
      <c r="A116" s="16"/>
      <c r="B116" s="16"/>
      <c r="C116" s="16"/>
      <c r="D116" s="77"/>
      <c r="E116" s="16"/>
    </row>
    <row r="117" customFormat="false" ht="14.25" hidden="false" customHeight="true" outlineLevel="0" collapsed="false">
      <c r="A117" s="16"/>
      <c r="B117" s="16"/>
      <c r="C117" s="16"/>
      <c r="D117" s="77"/>
      <c r="E117" s="16"/>
    </row>
    <row r="118" customFormat="false" ht="14.25" hidden="false" customHeight="true" outlineLevel="0" collapsed="false">
      <c r="A118" s="16"/>
      <c r="B118" s="16"/>
      <c r="C118" s="16"/>
      <c r="D118" s="77"/>
      <c r="E118" s="16"/>
    </row>
    <row r="119" customFormat="false" ht="14.25" hidden="false" customHeight="true" outlineLevel="0" collapsed="false">
      <c r="A119" s="16"/>
      <c r="B119" s="16"/>
      <c r="C119" s="16"/>
      <c r="D119" s="77"/>
      <c r="E119" s="16"/>
    </row>
    <row r="120" customFormat="false" ht="14.25" hidden="false" customHeight="true" outlineLevel="0" collapsed="false">
      <c r="A120" s="16"/>
      <c r="B120" s="16"/>
      <c r="C120" s="16"/>
      <c r="D120" s="77"/>
      <c r="E120" s="16"/>
    </row>
    <row r="121" customFormat="false" ht="14.25" hidden="false" customHeight="true" outlineLevel="0" collapsed="false">
      <c r="A121" s="16"/>
      <c r="B121" s="16"/>
      <c r="C121" s="16"/>
      <c r="D121" s="77"/>
      <c r="E121" s="16"/>
    </row>
    <row r="122" customFormat="false" ht="14.25" hidden="false" customHeight="true" outlineLevel="0" collapsed="false">
      <c r="A122" s="16"/>
      <c r="B122" s="16"/>
      <c r="C122" s="16"/>
      <c r="D122" s="77"/>
      <c r="E122" s="16"/>
    </row>
    <row r="123" customFormat="false" ht="14.25" hidden="false" customHeight="true" outlineLevel="0" collapsed="false">
      <c r="A123" s="16"/>
      <c r="B123" s="16"/>
      <c r="C123" s="16"/>
      <c r="D123" s="77"/>
      <c r="E123" s="16"/>
    </row>
    <row r="124" customFormat="false" ht="14.25" hidden="false" customHeight="true" outlineLevel="0" collapsed="false">
      <c r="A124" s="16"/>
      <c r="B124" s="16"/>
      <c r="C124" s="16"/>
      <c r="D124" s="77"/>
      <c r="E124" s="16"/>
    </row>
    <row r="125" customFormat="false" ht="14.25" hidden="false" customHeight="true" outlineLevel="0" collapsed="false">
      <c r="A125" s="16"/>
      <c r="B125" s="16"/>
      <c r="C125" s="16"/>
      <c r="D125" s="77"/>
      <c r="E125" s="16"/>
    </row>
    <row r="126" customFormat="false" ht="14.25" hidden="false" customHeight="true" outlineLevel="0" collapsed="false">
      <c r="A126" s="16"/>
      <c r="B126" s="16"/>
      <c r="C126" s="16"/>
      <c r="D126" s="77"/>
      <c r="E126" s="16"/>
    </row>
    <row r="127" customFormat="false" ht="14.25" hidden="false" customHeight="true" outlineLevel="0" collapsed="false">
      <c r="A127" s="16"/>
      <c r="B127" s="16"/>
      <c r="C127" s="16"/>
      <c r="D127" s="77"/>
      <c r="E127" s="16"/>
    </row>
    <row r="128" customFormat="false" ht="14.25" hidden="false" customHeight="true" outlineLevel="0" collapsed="false">
      <c r="A128" s="16"/>
      <c r="B128" s="16"/>
      <c r="C128" s="16"/>
      <c r="D128" s="77"/>
      <c r="E128" s="16"/>
    </row>
    <row r="129" customFormat="false" ht="14.25" hidden="false" customHeight="true" outlineLevel="0" collapsed="false">
      <c r="A129" s="16"/>
      <c r="B129" s="16"/>
      <c r="C129" s="16"/>
      <c r="D129" s="77"/>
      <c r="E129" s="16"/>
    </row>
    <row r="130" customFormat="false" ht="14.25" hidden="false" customHeight="true" outlineLevel="0" collapsed="false">
      <c r="A130" s="16"/>
      <c r="B130" s="16"/>
      <c r="C130" s="16"/>
      <c r="D130" s="77"/>
      <c r="E130" s="16"/>
    </row>
    <row r="131" customFormat="false" ht="14.25" hidden="false" customHeight="true" outlineLevel="0" collapsed="false">
      <c r="A131" s="16"/>
      <c r="B131" s="16"/>
      <c r="C131" s="16"/>
      <c r="D131" s="77"/>
      <c r="E131" s="16"/>
    </row>
    <row r="132" customFormat="false" ht="14.25" hidden="false" customHeight="true" outlineLevel="0" collapsed="false">
      <c r="A132" s="16"/>
      <c r="B132" s="16"/>
      <c r="C132" s="16"/>
      <c r="D132" s="77"/>
      <c r="E132" s="16"/>
    </row>
    <row r="133" customFormat="false" ht="14.25" hidden="false" customHeight="true" outlineLevel="0" collapsed="false">
      <c r="A133" s="16"/>
      <c r="B133" s="16"/>
      <c r="C133" s="16"/>
      <c r="D133" s="77"/>
      <c r="E133" s="16"/>
    </row>
    <row r="134" customFormat="false" ht="14.25" hidden="false" customHeight="true" outlineLevel="0" collapsed="false">
      <c r="A134" s="16"/>
      <c r="B134" s="16"/>
      <c r="C134" s="16"/>
      <c r="D134" s="77"/>
      <c r="E134" s="16"/>
    </row>
    <row r="135" customFormat="false" ht="14.25" hidden="false" customHeight="true" outlineLevel="0" collapsed="false">
      <c r="A135" s="16"/>
      <c r="B135" s="16"/>
      <c r="C135" s="16"/>
      <c r="D135" s="77"/>
      <c r="E135" s="16"/>
    </row>
    <row r="136" customFormat="false" ht="14.25" hidden="false" customHeight="true" outlineLevel="0" collapsed="false">
      <c r="A136" s="16"/>
      <c r="B136" s="16"/>
      <c r="C136" s="16"/>
      <c r="D136" s="77"/>
      <c r="E136" s="16"/>
    </row>
    <row r="137" customFormat="false" ht="14.25" hidden="false" customHeight="true" outlineLevel="0" collapsed="false">
      <c r="A137" s="16"/>
      <c r="B137" s="16"/>
      <c r="C137" s="16"/>
      <c r="D137" s="77"/>
      <c r="E137" s="16"/>
    </row>
    <row r="138" customFormat="false" ht="14.25" hidden="false" customHeight="true" outlineLevel="0" collapsed="false">
      <c r="A138" s="16"/>
      <c r="B138" s="16"/>
      <c r="C138" s="16"/>
      <c r="D138" s="77"/>
      <c r="E138" s="16"/>
    </row>
    <row r="139" customFormat="false" ht="14.25" hidden="false" customHeight="true" outlineLevel="0" collapsed="false">
      <c r="A139" s="16"/>
      <c r="B139" s="16"/>
      <c r="C139" s="16"/>
      <c r="D139" s="77"/>
      <c r="E139" s="16"/>
    </row>
    <row r="140" customFormat="false" ht="14.25" hidden="false" customHeight="true" outlineLevel="0" collapsed="false">
      <c r="A140" s="16"/>
      <c r="B140" s="16"/>
      <c r="C140" s="16"/>
      <c r="D140" s="77"/>
      <c r="E140" s="16"/>
    </row>
    <row r="141" customFormat="false" ht="14.25" hidden="false" customHeight="true" outlineLevel="0" collapsed="false">
      <c r="A141" s="16"/>
      <c r="B141" s="16"/>
      <c r="C141" s="16"/>
      <c r="D141" s="77"/>
      <c r="E141" s="16"/>
    </row>
    <row r="142" customFormat="false" ht="14.25" hidden="false" customHeight="true" outlineLevel="0" collapsed="false">
      <c r="A142" s="16"/>
      <c r="B142" s="16"/>
      <c r="C142" s="16"/>
      <c r="D142" s="77"/>
      <c r="E142" s="16"/>
    </row>
    <row r="143" customFormat="false" ht="14.25" hidden="false" customHeight="true" outlineLevel="0" collapsed="false">
      <c r="A143" s="16"/>
      <c r="B143" s="16"/>
      <c r="C143" s="16"/>
      <c r="D143" s="77"/>
      <c r="E143" s="16"/>
    </row>
    <row r="144" customFormat="false" ht="14.25" hidden="false" customHeight="true" outlineLevel="0" collapsed="false">
      <c r="A144" s="16"/>
      <c r="B144" s="16"/>
      <c r="C144" s="16"/>
      <c r="D144" s="77"/>
      <c r="E144" s="16"/>
    </row>
    <row r="145" customFormat="false" ht="14.25" hidden="false" customHeight="true" outlineLevel="0" collapsed="false">
      <c r="A145" s="16"/>
      <c r="B145" s="16"/>
      <c r="C145" s="16"/>
      <c r="D145" s="77"/>
      <c r="E145" s="16"/>
    </row>
    <row r="146" customFormat="false" ht="14.25" hidden="false" customHeight="true" outlineLevel="0" collapsed="false">
      <c r="A146" s="16"/>
      <c r="B146" s="16"/>
      <c r="C146" s="16"/>
      <c r="D146" s="77"/>
      <c r="E146" s="16"/>
    </row>
    <row r="147" customFormat="false" ht="14.25" hidden="false" customHeight="true" outlineLevel="0" collapsed="false">
      <c r="A147" s="16"/>
      <c r="B147" s="16"/>
      <c r="C147" s="16"/>
      <c r="D147" s="77"/>
      <c r="E147" s="16"/>
    </row>
    <row r="148" customFormat="false" ht="14.25" hidden="false" customHeight="true" outlineLevel="0" collapsed="false">
      <c r="A148" s="16"/>
      <c r="B148" s="16"/>
      <c r="C148" s="16"/>
      <c r="D148" s="77"/>
      <c r="E148" s="16"/>
    </row>
    <row r="149" customFormat="false" ht="14.25" hidden="false" customHeight="true" outlineLevel="0" collapsed="false">
      <c r="A149" s="16"/>
      <c r="B149" s="16"/>
      <c r="C149" s="16"/>
      <c r="D149" s="77"/>
      <c r="E149" s="16"/>
    </row>
    <row r="150" customFormat="false" ht="14.25" hidden="false" customHeight="true" outlineLevel="0" collapsed="false">
      <c r="A150" s="16"/>
      <c r="B150" s="16"/>
      <c r="C150" s="16"/>
      <c r="D150" s="77"/>
      <c r="E150" s="16"/>
    </row>
    <row r="151" customFormat="false" ht="14.25" hidden="false" customHeight="true" outlineLevel="0" collapsed="false">
      <c r="A151" s="16"/>
      <c r="B151" s="16"/>
      <c r="C151" s="16"/>
      <c r="D151" s="77"/>
      <c r="E151" s="16"/>
    </row>
    <row r="152" customFormat="false" ht="14.25" hidden="false" customHeight="true" outlineLevel="0" collapsed="false">
      <c r="A152" s="16"/>
      <c r="B152" s="16"/>
      <c r="C152" s="16"/>
      <c r="D152" s="77"/>
      <c r="E152" s="16"/>
    </row>
    <row r="153" customFormat="false" ht="14.25" hidden="false" customHeight="true" outlineLevel="0" collapsed="false">
      <c r="A153" s="16"/>
      <c r="B153" s="16"/>
      <c r="C153" s="16"/>
      <c r="D153" s="77"/>
      <c r="E153" s="16"/>
    </row>
    <row r="154" customFormat="false" ht="14.25" hidden="false" customHeight="true" outlineLevel="0" collapsed="false">
      <c r="A154" s="16"/>
      <c r="B154" s="16"/>
      <c r="C154" s="16"/>
      <c r="D154" s="77"/>
      <c r="E154" s="16"/>
    </row>
    <row r="155" customFormat="false" ht="14.25" hidden="false" customHeight="true" outlineLevel="0" collapsed="false">
      <c r="A155" s="16"/>
      <c r="B155" s="16"/>
      <c r="C155" s="16"/>
      <c r="D155" s="77"/>
      <c r="E155" s="16"/>
    </row>
    <row r="156" customFormat="false" ht="14.25" hidden="false" customHeight="true" outlineLevel="0" collapsed="false">
      <c r="A156" s="16"/>
      <c r="B156" s="16"/>
      <c r="C156" s="16"/>
      <c r="D156" s="77"/>
      <c r="E156" s="16"/>
    </row>
    <row r="157" customFormat="false" ht="14.25" hidden="false" customHeight="true" outlineLevel="0" collapsed="false">
      <c r="A157" s="16"/>
      <c r="B157" s="16"/>
      <c r="C157" s="16"/>
      <c r="D157" s="77"/>
      <c r="E157" s="16"/>
    </row>
    <row r="158" customFormat="false" ht="14.25" hidden="false" customHeight="true" outlineLevel="0" collapsed="false">
      <c r="A158" s="16"/>
      <c r="B158" s="16"/>
      <c r="C158" s="16"/>
      <c r="D158" s="77"/>
      <c r="E158" s="16"/>
    </row>
    <row r="159" customFormat="false" ht="14.25" hidden="false" customHeight="true" outlineLevel="0" collapsed="false">
      <c r="A159" s="16"/>
      <c r="B159" s="16"/>
      <c r="C159" s="16"/>
      <c r="D159" s="77"/>
      <c r="E159" s="16"/>
    </row>
    <row r="160" customFormat="false" ht="14.25" hidden="false" customHeight="true" outlineLevel="0" collapsed="false">
      <c r="A160" s="16"/>
      <c r="B160" s="16"/>
      <c r="C160" s="16"/>
      <c r="D160" s="77"/>
      <c r="E160" s="16"/>
    </row>
    <row r="161" customFormat="false" ht="14.25" hidden="false" customHeight="true" outlineLevel="0" collapsed="false">
      <c r="A161" s="16"/>
      <c r="B161" s="16"/>
      <c r="C161" s="16"/>
      <c r="D161" s="77"/>
      <c r="E161" s="16"/>
    </row>
    <row r="162" customFormat="false" ht="14.25" hidden="false" customHeight="true" outlineLevel="0" collapsed="false">
      <c r="A162" s="16"/>
      <c r="B162" s="16"/>
      <c r="C162" s="16"/>
      <c r="D162" s="77"/>
      <c r="E162" s="16"/>
    </row>
    <row r="163" customFormat="false" ht="14.25" hidden="false" customHeight="true" outlineLevel="0" collapsed="false">
      <c r="A163" s="16"/>
      <c r="B163" s="16"/>
      <c r="C163" s="16"/>
      <c r="D163" s="77"/>
      <c r="E163" s="16"/>
    </row>
    <row r="164" customFormat="false" ht="14.25" hidden="false" customHeight="true" outlineLevel="0" collapsed="false">
      <c r="A164" s="16"/>
      <c r="B164" s="16"/>
      <c r="C164" s="16"/>
      <c r="D164" s="77"/>
      <c r="E164" s="16"/>
    </row>
    <row r="165" customFormat="false" ht="14.25" hidden="false" customHeight="true" outlineLevel="0" collapsed="false">
      <c r="A165" s="16"/>
      <c r="B165" s="16"/>
      <c r="C165" s="16"/>
      <c r="D165" s="77"/>
      <c r="E165" s="16"/>
    </row>
    <row r="166" customFormat="false" ht="14.25" hidden="false" customHeight="true" outlineLevel="0" collapsed="false">
      <c r="A166" s="16"/>
      <c r="B166" s="16"/>
      <c r="C166" s="16"/>
      <c r="D166" s="77"/>
      <c r="E166" s="16"/>
    </row>
    <row r="167" customFormat="false" ht="14.25" hidden="false" customHeight="true" outlineLevel="0" collapsed="false">
      <c r="A167" s="16"/>
      <c r="B167" s="16"/>
      <c r="C167" s="16"/>
      <c r="D167" s="77"/>
      <c r="E167" s="16"/>
    </row>
    <row r="168" customFormat="false" ht="14.25" hidden="false" customHeight="true" outlineLevel="0" collapsed="false">
      <c r="A168" s="16"/>
      <c r="B168" s="16"/>
      <c r="C168" s="16"/>
      <c r="D168" s="77"/>
      <c r="E168" s="16"/>
    </row>
    <row r="169" customFormat="false" ht="14.25" hidden="false" customHeight="true" outlineLevel="0" collapsed="false">
      <c r="A169" s="16"/>
      <c r="B169" s="16"/>
      <c r="C169" s="16"/>
      <c r="D169" s="77"/>
      <c r="E169" s="16"/>
    </row>
    <row r="170" customFormat="false" ht="14.25" hidden="false" customHeight="true" outlineLevel="0" collapsed="false">
      <c r="A170" s="16"/>
      <c r="B170" s="16"/>
      <c r="C170" s="16"/>
      <c r="D170" s="77"/>
      <c r="E170" s="16"/>
    </row>
    <row r="171" customFormat="false" ht="14.25" hidden="false" customHeight="true" outlineLevel="0" collapsed="false">
      <c r="A171" s="16"/>
      <c r="B171" s="16"/>
      <c r="C171" s="16"/>
      <c r="D171" s="77"/>
      <c r="E171" s="16"/>
    </row>
    <row r="172" customFormat="false" ht="14.25" hidden="false" customHeight="true" outlineLevel="0" collapsed="false">
      <c r="A172" s="16"/>
      <c r="B172" s="16"/>
      <c r="C172" s="16"/>
      <c r="D172" s="77"/>
      <c r="E172" s="16"/>
    </row>
    <row r="173" customFormat="false" ht="14.25" hidden="false" customHeight="true" outlineLevel="0" collapsed="false">
      <c r="A173" s="16"/>
      <c r="B173" s="16"/>
      <c r="C173" s="16"/>
      <c r="D173" s="77"/>
      <c r="E173" s="16"/>
    </row>
    <row r="174" customFormat="false" ht="14.25" hidden="false" customHeight="true" outlineLevel="0" collapsed="false">
      <c r="A174" s="16"/>
      <c r="B174" s="16"/>
      <c r="C174" s="16"/>
      <c r="D174" s="77"/>
      <c r="E174" s="16"/>
    </row>
    <row r="175" customFormat="false" ht="14.25" hidden="false" customHeight="true" outlineLevel="0" collapsed="false">
      <c r="A175" s="16"/>
      <c r="B175" s="16"/>
      <c r="C175" s="16"/>
      <c r="D175" s="77"/>
      <c r="E175" s="16"/>
    </row>
    <row r="176" customFormat="false" ht="14.25" hidden="false" customHeight="true" outlineLevel="0" collapsed="false">
      <c r="A176" s="16"/>
      <c r="B176" s="16"/>
      <c r="C176" s="16"/>
      <c r="D176" s="77"/>
      <c r="E176" s="16"/>
    </row>
    <row r="177" customFormat="false" ht="14.25" hidden="false" customHeight="true" outlineLevel="0" collapsed="false">
      <c r="A177" s="16"/>
      <c r="B177" s="16"/>
      <c r="C177" s="16"/>
      <c r="D177" s="77"/>
      <c r="E177" s="16"/>
    </row>
    <row r="178" customFormat="false" ht="14.25" hidden="false" customHeight="true" outlineLevel="0" collapsed="false">
      <c r="A178" s="16"/>
      <c r="B178" s="16"/>
      <c r="C178" s="16"/>
      <c r="D178" s="77"/>
      <c r="E178" s="16"/>
    </row>
    <row r="179" customFormat="false" ht="14.25" hidden="false" customHeight="true" outlineLevel="0" collapsed="false">
      <c r="A179" s="16"/>
      <c r="B179" s="16"/>
      <c r="C179" s="16"/>
      <c r="D179" s="77"/>
      <c r="E179" s="16"/>
    </row>
    <row r="180" customFormat="false" ht="14.25" hidden="false" customHeight="true" outlineLevel="0" collapsed="false">
      <c r="A180" s="16"/>
      <c r="B180" s="16"/>
      <c r="C180" s="16"/>
      <c r="D180" s="77"/>
      <c r="E180" s="16"/>
    </row>
    <row r="181" customFormat="false" ht="14.25" hidden="false" customHeight="true" outlineLevel="0" collapsed="false">
      <c r="A181" s="16"/>
      <c r="B181" s="16"/>
      <c r="C181" s="16"/>
      <c r="D181" s="77"/>
      <c r="E181" s="16"/>
    </row>
    <row r="182" customFormat="false" ht="14.25" hidden="false" customHeight="true" outlineLevel="0" collapsed="false">
      <c r="A182" s="16"/>
      <c r="B182" s="16"/>
      <c r="C182" s="16"/>
      <c r="D182" s="77"/>
      <c r="E182" s="16"/>
    </row>
    <row r="183" customFormat="false" ht="14.25" hidden="false" customHeight="true" outlineLevel="0" collapsed="false">
      <c r="A183" s="16"/>
      <c r="B183" s="16"/>
      <c r="C183" s="16"/>
      <c r="D183" s="77"/>
      <c r="E183" s="16"/>
    </row>
    <row r="184" customFormat="false" ht="14.25" hidden="false" customHeight="true" outlineLevel="0" collapsed="false">
      <c r="A184" s="16"/>
      <c r="B184" s="16"/>
      <c r="C184" s="16"/>
      <c r="D184" s="77"/>
      <c r="E184" s="16"/>
    </row>
    <row r="185" customFormat="false" ht="14.25" hidden="false" customHeight="true" outlineLevel="0" collapsed="false">
      <c r="A185" s="16"/>
      <c r="B185" s="16"/>
      <c r="C185" s="16"/>
      <c r="D185" s="77"/>
      <c r="E185" s="16"/>
    </row>
    <row r="186" customFormat="false" ht="14.25" hidden="false" customHeight="true" outlineLevel="0" collapsed="false">
      <c r="A186" s="16"/>
      <c r="B186" s="16"/>
      <c r="C186" s="16"/>
      <c r="D186" s="77"/>
      <c r="E186" s="16"/>
    </row>
    <row r="187" customFormat="false" ht="14.25" hidden="false" customHeight="true" outlineLevel="0" collapsed="false">
      <c r="A187" s="16"/>
      <c r="B187" s="16"/>
      <c r="C187" s="16"/>
      <c r="D187" s="77"/>
      <c r="E187" s="16"/>
    </row>
    <row r="188" customFormat="false" ht="14.25" hidden="false" customHeight="true" outlineLevel="0" collapsed="false">
      <c r="A188" s="16"/>
      <c r="B188" s="16"/>
      <c r="C188" s="16"/>
      <c r="D188" s="77"/>
      <c r="E188" s="16"/>
    </row>
    <row r="189" customFormat="false" ht="14.25" hidden="false" customHeight="true" outlineLevel="0" collapsed="false">
      <c r="A189" s="16"/>
      <c r="B189" s="16"/>
      <c r="C189" s="16"/>
      <c r="D189" s="77"/>
      <c r="E189" s="16"/>
    </row>
    <row r="190" customFormat="false" ht="14.25" hidden="false" customHeight="true" outlineLevel="0" collapsed="false">
      <c r="A190" s="16"/>
      <c r="B190" s="16"/>
      <c r="C190" s="16"/>
      <c r="D190" s="77"/>
      <c r="E190" s="16"/>
    </row>
    <row r="191" customFormat="false" ht="14.25" hidden="false" customHeight="true" outlineLevel="0" collapsed="false">
      <c r="A191" s="16"/>
      <c r="B191" s="16"/>
      <c r="C191" s="16"/>
      <c r="D191" s="77"/>
      <c r="E191" s="16"/>
    </row>
    <row r="192" customFormat="false" ht="14.25" hidden="false" customHeight="true" outlineLevel="0" collapsed="false">
      <c r="A192" s="16"/>
      <c r="B192" s="16"/>
      <c r="C192" s="16"/>
      <c r="D192" s="77"/>
      <c r="E192" s="16"/>
    </row>
    <row r="193" customFormat="false" ht="14.25" hidden="false" customHeight="true" outlineLevel="0" collapsed="false">
      <c r="A193" s="16"/>
      <c r="B193" s="16"/>
      <c r="C193" s="16"/>
      <c r="D193" s="77"/>
      <c r="E193" s="16"/>
    </row>
    <row r="194" customFormat="false" ht="14.25" hidden="false" customHeight="true" outlineLevel="0" collapsed="false">
      <c r="A194" s="16"/>
      <c r="B194" s="16"/>
      <c r="C194" s="16"/>
      <c r="D194" s="77"/>
      <c r="E194" s="16"/>
    </row>
    <row r="195" customFormat="false" ht="14.25" hidden="false" customHeight="true" outlineLevel="0" collapsed="false">
      <c r="A195" s="16"/>
      <c r="B195" s="16"/>
      <c r="C195" s="16"/>
      <c r="D195" s="77"/>
      <c r="E195" s="16"/>
    </row>
    <row r="196" customFormat="false" ht="14.25" hidden="false" customHeight="true" outlineLevel="0" collapsed="false">
      <c r="A196" s="16"/>
      <c r="B196" s="16"/>
      <c r="C196" s="16"/>
      <c r="D196" s="77"/>
      <c r="E196" s="16"/>
    </row>
    <row r="197" customFormat="false" ht="14.25" hidden="false" customHeight="true" outlineLevel="0" collapsed="false">
      <c r="A197" s="16"/>
      <c r="B197" s="16"/>
      <c r="C197" s="16"/>
      <c r="D197" s="77"/>
      <c r="E197" s="16"/>
    </row>
    <row r="198" customFormat="false" ht="14.25" hidden="false" customHeight="true" outlineLevel="0" collapsed="false">
      <c r="A198" s="16"/>
      <c r="B198" s="16"/>
      <c r="C198" s="16"/>
      <c r="D198" s="77"/>
      <c r="E198" s="16"/>
    </row>
    <row r="199" customFormat="false" ht="14.25" hidden="false" customHeight="true" outlineLevel="0" collapsed="false">
      <c r="A199" s="16"/>
      <c r="B199" s="16"/>
      <c r="C199" s="16"/>
      <c r="D199" s="77"/>
      <c r="E199" s="16"/>
    </row>
    <row r="200" customFormat="false" ht="14.25" hidden="false" customHeight="true" outlineLevel="0" collapsed="false">
      <c r="A200" s="16"/>
      <c r="B200" s="16"/>
      <c r="C200" s="16"/>
      <c r="D200" s="77"/>
      <c r="E200" s="16"/>
    </row>
    <row r="201" customFormat="false" ht="14.25" hidden="false" customHeight="true" outlineLevel="0" collapsed="false">
      <c r="A201" s="16"/>
      <c r="B201" s="16"/>
      <c r="C201" s="16"/>
      <c r="D201" s="77"/>
      <c r="E201" s="16"/>
    </row>
    <row r="202" customFormat="false" ht="14.25" hidden="false" customHeight="true" outlineLevel="0" collapsed="false">
      <c r="A202" s="16"/>
      <c r="B202" s="16"/>
      <c r="C202" s="16"/>
      <c r="D202" s="77"/>
      <c r="E202" s="16"/>
    </row>
    <row r="203" customFormat="false" ht="14.25" hidden="false" customHeight="true" outlineLevel="0" collapsed="false">
      <c r="A203" s="16"/>
      <c r="B203" s="16"/>
      <c r="C203" s="16"/>
      <c r="D203" s="77"/>
      <c r="E203" s="16"/>
    </row>
    <row r="204" customFormat="false" ht="14.25" hidden="false" customHeight="true" outlineLevel="0" collapsed="false">
      <c r="A204" s="16"/>
      <c r="B204" s="16"/>
      <c r="C204" s="16"/>
      <c r="D204" s="77"/>
      <c r="E204" s="16"/>
    </row>
    <row r="205" customFormat="false" ht="14.25" hidden="false" customHeight="true" outlineLevel="0" collapsed="false">
      <c r="A205" s="16"/>
      <c r="B205" s="16"/>
      <c r="C205" s="16"/>
      <c r="D205" s="77"/>
      <c r="E205" s="16"/>
    </row>
    <row r="206" customFormat="false" ht="14.25" hidden="false" customHeight="true" outlineLevel="0" collapsed="false">
      <c r="A206" s="16"/>
      <c r="B206" s="16"/>
      <c r="C206" s="16"/>
      <c r="D206" s="77"/>
      <c r="E206" s="16"/>
    </row>
    <row r="207" customFormat="false" ht="14.25" hidden="false" customHeight="true" outlineLevel="0" collapsed="false">
      <c r="A207" s="16"/>
      <c r="B207" s="16"/>
      <c r="C207" s="16"/>
      <c r="D207" s="77"/>
      <c r="E207" s="16"/>
    </row>
    <row r="208" customFormat="false" ht="14.25" hidden="false" customHeight="true" outlineLevel="0" collapsed="false">
      <c r="A208" s="16"/>
      <c r="B208" s="16"/>
      <c r="C208" s="16"/>
      <c r="D208" s="77"/>
      <c r="E208" s="16"/>
    </row>
    <row r="209" customFormat="false" ht="14.25" hidden="false" customHeight="true" outlineLevel="0" collapsed="false">
      <c r="A209" s="16"/>
      <c r="B209" s="16"/>
      <c r="C209" s="16"/>
      <c r="D209" s="77"/>
      <c r="E209" s="16"/>
    </row>
    <row r="210" customFormat="false" ht="14.25" hidden="false" customHeight="true" outlineLevel="0" collapsed="false">
      <c r="A210" s="16"/>
      <c r="B210" s="16"/>
      <c r="C210" s="16"/>
      <c r="D210" s="77"/>
      <c r="E210" s="16"/>
    </row>
    <row r="211" customFormat="false" ht="14.25" hidden="false" customHeight="true" outlineLevel="0" collapsed="false">
      <c r="A211" s="16"/>
      <c r="B211" s="16"/>
      <c r="C211" s="16"/>
      <c r="D211" s="77"/>
      <c r="E211" s="16"/>
    </row>
    <row r="212" customFormat="false" ht="14.25" hidden="false" customHeight="true" outlineLevel="0" collapsed="false">
      <c r="A212" s="16"/>
      <c r="B212" s="16"/>
      <c r="C212" s="16"/>
      <c r="D212" s="77"/>
      <c r="E212" s="16"/>
    </row>
    <row r="213" customFormat="false" ht="14.25" hidden="false" customHeight="true" outlineLevel="0" collapsed="false">
      <c r="A213" s="16"/>
      <c r="B213" s="16"/>
      <c r="C213" s="16"/>
      <c r="D213" s="77"/>
      <c r="E213" s="16"/>
    </row>
    <row r="214" customFormat="false" ht="14.25" hidden="false" customHeight="true" outlineLevel="0" collapsed="false">
      <c r="A214" s="16"/>
      <c r="B214" s="16"/>
      <c r="C214" s="16"/>
      <c r="D214" s="77"/>
      <c r="E214" s="16"/>
    </row>
    <row r="215" customFormat="false" ht="14.25" hidden="false" customHeight="true" outlineLevel="0" collapsed="false">
      <c r="A215" s="16"/>
      <c r="B215" s="16"/>
      <c r="C215" s="16"/>
      <c r="D215" s="77"/>
      <c r="E215" s="16"/>
    </row>
    <row r="216" customFormat="false" ht="14.25" hidden="false" customHeight="true" outlineLevel="0" collapsed="false">
      <c r="A216" s="16"/>
      <c r="B216" s="16"/>
      <c r="C216" s="16"/>
      <c r="D216" s="77"/>
      <c r="E216" s="16"/>
    </row>
    <row r="217" customFormat="false" ht="14.25" hidden="false" customHeight="true" outlineLevel="0" collapsed="false">
      <c r="A217" s="16"/>
      <c r="B217" s="16"/>
      <c r="C217" s="16"/>
      <c r="D217" s="77"/>
      <c r="E217" s="16"/>
    </row>
    <row r="218" customFormat="false" ht="14.25" hidden="false" customHeight="true" outlineLevel="0" collapsed="false">
      <c r="A218" s="16"/>
      <c r="B218" s="16"/>
      <c r="C218" s="16"/>
      <c r="D218" s="77"/>
      <c r="E218" s="16"/>
    </row>
    <row r="219" customFormat="false" ht="14.25" hidden="false" customHeight="true" outlineLevel="0" collapsed="false">
      <c r="A219" s="16"/>
      <c r="B219" s="16"/>
      <c r="C219" s="16"/>
      <c r="D219" s="77"/>
      <c r="E219" s="16"/>
    </row>
    <row r="220" customFormat="false" ht="14.25" hidden="false" customHeight="true" outlineLevel="0" collapsed="false">
      <c r="A220" s="16"/>
      <c r="B220" s="16"/>
      <c r="C220" s="16"/>
      <c r="D220" s="77"/>
      <c r="E220" s="16"/>
    </row>
    <row r="221" customFormat="false" ht="14.25" hidden="false" customHeight="true" outlineLevel="0" collapsed="false">
      <c r="A221" s="16"/>
      <c r="B221" s="16"/>
      <c r="C221" s="16"/>
      <c r="D221" s="77"/>
      <c r="E221" s="16"/>
    </row>
    <row r="222" customFormat="false" ht="14.25" hidden="false" customHeight="true" outlineLevel="0" collapsed="false">
      <c r="A222" s="16"/>
      <c r="B222" s="16"/>
      <c r="C222" s="16"/>
      <c r="D222" s="77"/>
      <c r="E222" s="16"/>
    </row>
    <row r="223" customFormat="false" ht="14.25" hidden="false" customHeight="true" outlineLevel="0" collapsed="false">
      <c r="A223" s="16"/>
      <c r="B223" s="16"/>
      <c r="C223" s="16"/>
      <c r="D223" s="77"/>
      <c r="E223" s="16"/>
    </row>
    <row r="224" customFormat="false" ht="14.25" hidden="false" customHeight="true" outlineLevel="0" collapsed="false">
      <c r="A224" s="16"/>
      <c r="B224" s="16"/>
      <c r="C224" s="16"/>
      <c r="D224" s="77"/>
      <c r="E224" s="16"/>
    </row>
    <row r="225" customFormat="false" ht="14.25" hidden="false" customHeight="true" outlineLevel="0" collapsed="false">
      <c r="A225" s="16"/>
      <c r="B225" s="16"/>
      <c r="C225" s="16"/>
      <c r="D225" s="77"/>
      <c r="E225" s="16"/>
    </row>
    <row r="226" customFormat="false" ht="14.25" hidden="false" customHeight="true" outlineLevel="0" collapsed="false">
      <c r="A226" s="16"/>
      <c r="B226" s="16"/>
      <c r="C226" s="16"/>
      <c r="D226" s="77"/>
      <c r="E226" s="16"/>
    </row>
    <row r="227" customFormat="false" ht="14.25" hidden="false" customHeight="true" outlineLevel="0" collapsed="false">
      <c r="A227" s="16"/>
      <c r="B227" s="16"/>
      <c r="C227" s="16"/>
      <c r="D227" s="77"/>
      <c r="E227" s="16"/>
    </row>
    <row r="228" customFormat="false" ht="14.25" hidden="false" customHeight="true" outlineLevel="0" collapsed="false">
      <c r="A228" s="16"/>
      <c r="B228" s="16"/>
      <c r="C228" s="16"/>
      <c r="D228" s="77"/>
      <c r="E228" s="16"/>
    </row>
    <row r="229" customFormat="false" ht="14.25" hidden="false" customHeight="true" outlineLevel="0" collapsed="false">
      <c r="A229" s="16"/>
      <c r="B229" s="16"/>
      <c r="C229" s="16"/>
      <c r="D229" s="77"/>
      <c r="E229" s="16"/>
    </row>
    <row r="230" customFormat="false" ht="14.25" hidden="false" customHeight="true" outlineLevel="0" collapsed="false">
      <c r="A230" s="16"/>
      <c r="B230" s="16"/>
      <c r="C230" s="16"/>
      <c r="D230" s="77"/>
      <c r="E230" s="16"/>
    </row>
    <row r="231" customFormat="false" ht="14.25" hidden="false" customHeight="true" outlineLevel="0" collapsed="false">
      <c r="A231" s="16"/>
      <c r="B231" s="16"/>
      <c r="C231" s="16"/>
      <c r="D231" s="77"/>
      <c r="E231" s="16"/>
    </row>
    <row r="232" customFormat="false" ht="14.25" hidden="false" customHeight="true" outlineLevel="0" collapsed="false">
      <c r="A232" s="16"/>
      <c r="B232" s="16"/>
      <c r="C232" s="16"/>
      <c r="D232" s="77"/>
      <c r="E232" s="16"/>
    </row>
    <row r="233" customFormat="false" ht="14.25" hidden="false" customHeight="true" outlineLevel="0" collapsed="false">
      <c r="A233" s="16"/>
      <c r="B233" s="16"/>
      <c r="C233" s="16"/>
      <c r="D233" s="77"/>
      <c r="E233" s="16"/>
    </row>
    <row r="234" customFormat="false" ht="14.25" hidden="false" customHeight="true" outlineLevel="0" collapsed="false">
      <c r="A234" s="16"/>
      <c r="B234" s="16"/>
      <c r="C234" s="16"/>
      <c r="D234" s="77"/>
      <c r="E234" s="16"/>
    </row>
    <row r="235" customFormat="false" ht="14.25" hidden="false" customHeight="true" outlineLevel="0" collapsed="false">
      <c r="A235" s="16"/>
      <c r="B235" s="16"/>
      <c r="C235" s="16"/>
      <c r="D235" s="77"/>
      <c r="E235" s="16"/>
    </row>
    <row r="236" customFormat="false" ht="14.25" hidden="false" customHeight="true" outlineLevel="0" collapsed="false">
      <c r="A236" s="16"/>
      <c r="B236" s="16"/>
      <c r="C236" s="16"/>
      <c r="D236" s="77"/>
      <c r="E236" s="16"/>
    </row>
    <row r="237" customFormat="false" ht="14.25" hidden="false" customHeight="true" outlineLevel="0" collapsed="false">
      <c r="A237" s="16"/>
      <c r="B237" s="16"/>
      <c r="C237" s="16"/>
      <c r="D237" s="77"/>
      <c r="E237" s="16"/>
    </row>
    <row r="238" customFormat="false" ht="14.25" hidden="false" customHeight="true" outlineLevel="0" collapsed="false">
      <c r="A238" s="16"/>
      <c r="B238" s="16"/>
      <c r="C238" s="16"/>
      <c r="D238" s="77"/>
      <c r="E238" s="16"/>
    </row>
    <row r="239" customFormat="false" ht="14.25" hidden="false" customHeight="true" outlineLevel="0" collapsed="false">
      <c r="A239" s="16"/>
      <c r="B239" s="16"/>
      <c r="C239" s="16"/>
      <c r="D239" s="77"/>
      <c r="E239" s="16"/>
    </row>
    <row r="240" customFormat="false" ht="14.25" hidden="false" customHeight="true" outlineLevel="0" collapsed="false">
      <c r="A240" s="16"/>
      <c r="B240" s="16"/>
      <c r="C240" s="16"/>
      <c r="D240" s="77"/>
      <c r="E240" s="16"/>
    </row>
    <row r="241" customFormat="false" ht="14.25" hidden="false" customHeight="true" outlineLevel="0" collapsed="false">
      <c r="A241" s="16"/>
      <c r="B241" s="16"/>
      <c r="C241" s="16"/>
      <c r="D241" s="77"/>
      <c r="E241" s="16"/>
    </row>
    <row r="242" customFormat="false" ht="14.25" hidden="false" customHeight="true" outlineLevel="0" collapsed="false">
      <c r="A242" s="16"/>
      <c r="B242" s="16"/>
      <c r="C242" s="16"/>
      <c r="D242" s="77"/>
      <c r="E242" s="16"/>
    </row>
    <row r="243" customFormat="false" ht="14.25" hidden="false" customHeight="true" outlineLevel="0" collapsed="false">
      <c r="A243" s="16"/>
      <c r="B243" s="16"/>
      <c r="C243" s="16"/>
      <c r="D243" s="77"/>
      <c r="E243" s="16"/>
    </row>
    <row r="244" customFormat="false" ht="14.25" hidden="false" customHeight="true" outlineLevel="0" collapsed="false">
      <c r="A244" s="16"/>
      <c r="B244" s="16"/>
      <c r="C244" s="16"/>
      <c r="D244" s="77"/>
      <c r="E244" s="16"/>
    </row>
    <row r="245" customFormat="false" ht="14.25" hidden="false" customHeight="true" outlineLevel="0" collapsed="false">
      <c r="A245" s="16"/>
      <c r="B245" s="16"/>
      <c r="C245" s="16"/>
      <c r="D245" s="77"/>
      <c r="E245" s="16"/>
    </row>
    <row r="246" customFormat="false" ht="14.25" hidden="false" customHeight="true" outlineLevel="0" collapsed="false">
      <c r="A246" s="16"/>
      <c r="B246" s="16"/>
      <c r="C246" s="16"/>
      <c r="D246" s="77"/>
      <c r="E246" s="16"/>
    </row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sheet="true" password="c982" objects="true" scenarios="true"/>
  <mergeCells count="5">
    <mergeCell ref="B1:D1"/>
    <mergeCell ref="B2:D2"/>
    <mergeCell ref="B3:D3"/>
    <mergeCell ref="B5:C5"/>
    <mergeCell ref="A6:D6"/>
  </mergeCells>
  <dataValidations count="1">
    <dataValidation allowBlank="true" errorStyle="stop" operator="between" showDropDown="false" showErrorMessage="true" showInputMessage="false" sqref="D5" type="list">
      <formula1>"Ja,Nee"</formula1>
      <formula2>0</formula2>
    </dataValidation>
  </dataValidations>
  <printOptions headings="false" gridLines="false" gridLinesSet="true" horizontalCentered="true" verticalCentered="true"/>
  <pageMargins left="0.433333333333333" right="0.315277777777778" top="0.472222222222222" bottom="0.179861111111111" header="0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&amp;CDeelnemers</oddHeader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H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46.86"/>
    <col collapsed="false" customWidth="true" hidden="false" outlineLevel="0" max="6" min="3" style="78" width="6.71"/>
    <col collapsed="false" customWidth="true" hidden="false" outlineLevel="0" max="7" min="7" style="1" width="6.71"/>
    <col collapsed="false" customWidth="true" hidden="false" outlineLevel="0" max="8" min="8" style="1" width="4.43"/>
    <col collapsed="false" customWidth="true" hidden="false" outlineLevel="0" max="9" min="9" style="1" width="28.57"/>
    <col collapsed="false" customWidth="true" hidden="false" outlineLevel="0" max="10" min="10" style="1" width="8.14"/>
    <col collapsed="false" customWidth="true" hidden="false" outlineLevel="0" max="24" min="11" style="1" width="3.28"/>
    <col collapsed="false" customWidth="true" hidden="false" outlineLevel="0" max="25" min="25" style="1" width="5.57"/>
    <col collapsed="false" customWidth="true" hidden="false" outlineLevel="0" max="26" min="26" style="1" width="8.14"/>
    <col collapsed="false" customWidth="true" hidden="false" outlineLevel="0" max="27" min="27" style="1" width="6.43"/>
    <col collapsed="false" customWidth="false" hidden="false" outlineLevel="0" max="28" min="28" style="1" width="14.43"/>
    <col collapsed="false" customWidth="false" hidden="true" outlineLevel="0" max="29" min="29" style="1" width="14.43"/>
    <col collapsed="false" customWidth="true" hidden="true" outlineLevel="0" max="30" min="30" style="1" width="26.57"/>
    <col collapsed="false" customWidth="true" hidden="true" outlineLevel="0" max="34" min="31" style="1" width="6.28"/>
    <col collapsed="false" customWidth="false" hidden="false" outlineLevel="0" max="16384" min="35" style="1" width="14.43"/>
  </cols>
  <sheetData>
    <row r="1" customFormat="false" ht="14.25" hidden="false" customHeight="true" outlineLevel="0" collapsed="false">
      <c r="B1" s="79"/>
      <c r="C1" s="79"/>
      <c r="D1" s="79"/>
      <c r="E1" s="79"/>
      <c r="F1" s="79"/>
      <c r="G1" s="2"/>
      <c r="H1" s="2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2"/>
      <c r="AA1" s="2"/>
    </row>
    <row r="2" customFormat="false" ht="14.25" hidden="false" customHeight="true" outlineLevel="0" collapsed="false">
      <c r="A2" s="80"/>
      <c r="B2" s="81" t="s">
        <v>92</v>
      </c>
      <c r="C2" s="81"/>
      <c r="D2" s="81"/>
      <c r="E2" s="81"/>
      <c r="F2" s="81"/>
      <c r="G2" s="2"/>
      <c r="H2" s="82"/>
      <c r="I2" s="83" t="s">
        <v>93</v>
      </c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4"/>
      <c r="AA2" s="84"/>
    </row>
    <row r="3" customFormat="false" ht="14.25" hidden="false" customHeight="true" outlineLevel="0" collapsed="false">
      <c r="A3" s="85"/>
      <c r="B3" s="86"/>
      <c r="C3" s="87"/>
      <c r="D3" s="87"/>
      <c r="F3" s="88"/>
      <c r="H3" s="18"/>
      <c r="I3" s="89"/>
      <c r="J3" s="79"/>
      <c r="K3" s="79"/>
      <c r="L3" s="79"/>
      <c r="M3" s="79"/>
      <c r="N3" s="79"/>
      <c r="O3" s="79"/>
      <c r="P3" s="79"/>
      <c r="Q3" s="79"/>
      <c r="R3" s="79"/>
      <c r="S3" s="79"/>
      <c r="T3" s="79"/>
      <c r="U3" s="79"/>
      <c r="V3" s="79"/>
      <c r="W3" s="79"/>
      <c r="X3" s="79"/>
      <c r="Y3" s="79"/>
      <c r="Z3" s="90"/>
      <c r="AA3" s="90"/>
    </row>
    <row r="4" customFormat="false" ht="14.25" hidden="false" customHeight="true" outlineLevel="0" collapsed="false">
      <c r="A4" s="91" t="s">
        <v>94</v>
      </c>
      <c r="C4" s="92" t="s">
        <v>95</v>
      </c>
      <c r="D4" s="92"/>
      <c r="E4" s="88" t="s">
        <v>96</v>
      </c>
      <c r="F4" s="88"/>
      <c r="G4" s="78"/>
      <c r="H4" s="18"/>
      <c r="I4" s="18"/>
      <c r="J4" s="1" t="s">
        <v>97</v>
      </c>
      <c r="K4" s="93" t="n">
        <v>1</v>
      </c>
      <c r="L4" s="93"/>
      <c r="M4" s="93" t="n">
        <v>2</v>
      </c>
      <c r="N4" s="93"/>
      <c r="O4" s="93" t="n">
        <v>3</v>
      </c>
      <c r="P4" s="93"/>
      <c r="Q4" s="93" t="n">
        <v>4</v>
      </c>
      <c r="R4" s="93"/>
      <c r="S4" s="93" t="n">
        <v>5</v>
      </c>
      <c r="T4" s="93"/>
      <c r="U4" s="93" t="n">
        <v>6</v>
      </c>
      <c r="V4" s="93"/>
      <c r="W4" s="93" t="n">
        <v>7</v>
      </c>
      <c r="X4" s="93"/>
      <c r="Y4" s="85" t="s">
        <v>98</v>
      </c>
      <c r="Z4" s="94" t="s">
        <v>98</v>
      </c>
      <c r="AA4" s="90" t="s">
        <v>99</v>
      </c>
    </row>
    <row r="5" customFormat="false" ht="14.25" hidden="false" customHeight="true" outlineLevel="0" collapsed="false">
      <c r="A5" s="95"/>
      <c r="B5" s="1" t="str">
        <f aca="false">CONCATENATE(Deelnemers!B8," - ",Deelnemers!B13)</f>
        <v>Team 1 - Team 2</v>
      </c>
      <c r="C5" s="96"/>
      <c r="D5" s="97"/>
      <c r="E5" s="78" t="n">
        <f aca="false">IF(C5="",0,IF(C5=D5,1,IF(C5&gt;D5,2,0)))</f>
        <v>0</v>
      </c>
      <c r="F5" s="88" t="n">
        <f aca="false">IF(C5="",0,IF(C5=D5,1,IF(C5&lt;D5,2,0)))</f>
        <v>0</v>
      </c>
      <c r="H5" s="18" t="s">
        <v>100</v>
      </c>
      <c r="I5" s="80" t="s">
        <v>79</v>
      </c>
      <c r="J5" s="98" t="s">
        <v>80</v>
      </c>
      <c r="K5" s="99" t="s">
        <v>101</v>
      </c>
      <c r="L5" s="100" t="s">
        <v>102</v>
      </c>
      <c r="M5" s="99" t="s">
        <v>101</v>
      </c>
      <c r="N5" s="100" t="s">
        <v>102</v>
      </c>
      <c r="O5" s="99" t="s">
        <v>101</v>
      </c>
      <c r="P5" s="100" t="s">
        <v>102</v>
      </c>
      <c r="Q5" s="99" t="s">
        <v>101</v>
      </c>
      <c r="R5" s="100" t="s">
        <v>102</v>
      </c>
      <c r="S5" s="99" t="s">
        <v>101</v>
      </c>
      <c r="T5" s="100" t="s">
        <v>102</v>
      </c>
      <c r="U5" s="99" t="s">
        <v>101</v>
      </c>
      <c r="V5" s="100" t="s">
        <v>102</v>
      </c>
      <c r="W5" s="101" t="s">
        <v>101</v>
      </c>
      <c r="X5" s="100" t="s">
        <v>102</v>
      </c>
      <c r="Y5" s="102" t="s">
        <v>103</v>
      </c>
      <c r="Z5" s="103" t="s">
        <v>104</v>
      </c>
      <c r="AA5" s="90"/>
      <c r="AC5" s="104"/>
      <c r="AD5" s="5"/>
      <c r="AE5" s="5"/>
      <c r="AF5" s="5"/>
      <c r="AG5" s="5"/>
      <c r="AH5" s="8"/>
    </row>
    <row r="6" customFormat="false" ht="14.25" hidden="false" customHeight="true" outlineLevel="0" collapsed="false">
      <c r="A6" s="105"/>
      <c r="B6" s="1" t="str">
        <f aca="false">CONCATENATE(Deelnemers!B18," - ",Deelnemers!B23)</f>
        <v>Team 3 - Team 4</v>
      </c>
      <c r="C6" s="106"/>
      <c r="D6" s="107"/>
      <c r="E6" s="78" t="n">
        <f aca="false">IF(C6="",0,IF(C6=D6,1,IF(C6&gt;D6,2,0)))</f>
        <v>0</v>
      </c>
      <c r="F6" s="88" t="n">
        <f aca="false">IF(C6="",0,IF(C6=D6,1,IF(C6&lt;D6,2,0)))</f>
        <v>0</v>
      </c>
      <c r="H6" s="108" t="str">
        <f aca="false">IF(C$5&lt;&gt;"",RANK(Z6,Z$6:Z$13),"")</f>
        <v/>
      </c>
      <c r="I6" s="109" t="str">
        <f aca="false">Deelnemers!B8</f>
        <v>Team 1</v>
      </c>
      <c r="J6" s="110" t="str">
        <f aca="false">IF(Deelnemers!C8&lt;&gt;"",Deelnemers!C8,"")</f>
        <v/>
      </c>
      <c r="K6" s="111" t="n">
        <f aca="false">C5</f>
        <v>0</v>
      </c>
      <c r="L6" s="112" t="n">
        <f aca="false">IF(C5&lt;&gt;"",E5,0)</f>
        <v>0</v>
      </c>
      <c r="M6" s="111" t="n">
        <f aca="false">C11</f>
        <v>0</v>
      </c>
      <c r="N6" s="112" t="n">
        <f aca="false">IF(C11&lt;&gt;"",E11,0)</f>
        <v>0</v>
      </c>
      <c r="O6" s="111" t="n">
        <f aca="false">C17</f>
        <v>0</v>
      </c>
      <c r="P6" s="112" t="n">
        <f aca="false">IF(C17&lt;&gt;"",E17,0)</f>
        <v>0</v>
      </c>
      <c r="Q6" s="111" t="n">
        <f aca="false">IF(Deelnemers!D5="Nee",C23,C23)</f>
        <v>0</v>
      </c>
      <c r="R6" s="112" t="n">
        <f aca="false">IF(Deelnemers!D5="Nee",IF(C23&lt;&gt;"",E23),IF(C23&lt;&gt;"",E23,0))</f>
        <v>0</v>
      </c>
      <c r="S6" s="113" t="n">
        <f aca="false">C29</f>
        <v>0</v>
      </c>
      <c r="T6" s="114" t="n">
        <f aca="false">IF(Deelnemers!D5="Nee",IF(C29&lt;&gt;"",E29),IF(C29&lt;&gt;"",E29,0))</f>
        <v>0</v>
      </c>
      <c r="U6" s="113" t="n">
        <f aca="false">C35</f>
        <v>0</v>
      </c>
      <c r="V6" s="114" t="n">
        <f aca="false">IF(Deelnemers!D5="Nee",IF(C35&lt;&gt;"",E35),IF(C35&lt;&gt;"",E35,0))</f>
        <v>0</v>
      </c>
      <c r="W6" s="115" t="n">
        <f aca="false">IF(Deelnemers!D5="Nee",0,C41)</f>
        <v>0</v>
      </c>
      <c r="X6" s="114" t="n">
        <f aca="false">IF(Deelnemers!D5="Nee",0,IF(C41&lt;&gt;"",E41,0))</f>
        <v>0</v>
      </c>
      <c r="Y6" s="116" t="n">
        <f aca="false">IF(C$5&lt;&gt;"",K6+M6+O6+Q6+S6+U6+W6,0)</f>
        <v>0</v>
      </c>
      <c r="Z6" s="117" t="n">
        <f aca="false">IF(C$5&lt;&gt;"",L6+N6+P6+R6+T6+V6+X6+(AA6/100),0)</f>
        <v>0</v>
      </c>
      <c r="AA6" s="118"/>
      <c r="AC6" s="119" t="str">
        <f aca="false">IF(C$5&lt;&gt;"",RANK(AG6,AG$6:AG$13),"")</f>
        <v/>
      </c>
      <c r="AD6" s="1" t="str">
        <f aca="false">Deelnemers!B8</f>
        <v>Team 1</v>
      </c>
      <c r="AE6" s="1" t="str">
        <f aca="false">IF(Deelnemers!C8&lt;&gt;"",Deelnemers!C8,"")</f>
        <v/>
      </c>
      <c r="AF6" s="1" t="n">
        <f aca="false">IF(C$5&lt;&gt;"",K6+M6+O6+Q6+S6+U6+W6,0)</f>
        <v>0</v>
      </c>
      <c r="AG6" s="120" t="n">
        <f aca="false">IF(C$5&lt;&gt;"",L6+N6+P6+R6+T6+V6+X6+(Y6/10000)+(AA6/100),0)</f>
        <v>0</v>
      </c>
      <c r="AH6" s="121" t="str">
        <f aca="false">IF(AA6="","",AA6)</f>
        <v/>
      </c>
    </row>
    <row r="7" customFormat="false" ht="14.25" hidden="false" customHeight="true" outlineLevel="0" collapsed="false">
      <c r="A7" s="122"/>
      <c r="B7" s="1" t="str">
        <f aca="false">IF(Deelnemers!D5="Nee","",CONCATENATE(Deelnemers!B28," - ",Deelnemers!B33))</f>
        <v>Team 5 - Team 6</v>
      </c>
      <c r="C7" s="106"/>
      <c r="D7" s="107"/>
      <c r="E7" s="78" t="n">
        <f aca="false">IF(C7="",0,IF(C7=D7,1,IF(C7&gt;D7,2,0)))</f>
        <v>0</v>
      </c>
      <c r="F7" s="88" t="n">
        <f aca="false">IF(C7="",0,IF(C7=D7,1,IF(C7&lt;D7,2,0)))</f>
        <v>0</v>
      </c>
      <c r="H7" s="108" t="str">
        <f aca="false">IF(C$5&lt;&gt;"",RANK(Z7,Z$6:Z$13),"")</f>
        <v/>
      </c>
      <c r="I7" s="123" t="str">
        <f aca="false">Deelnemers!B13</f>
        <v>Team 2</v>
      </c>
      <c r="J7" s="124" t="str">
        <f aca="false">IF(Deelnemers!C13&lt;&gt;"",Deelnemers!C13,"")</f>
        <v/>
      </c>
      <c r="K7" s="125" t="n">
        <f aca="false">D5</f>
        <v>0</v>
      </c>
      <c r="L7" s="126" t="n">
        <f aca="false">IF(C5&lt;&gt;"",F5,0)</f>
        <v>0</v>
      </c>
      <c r="M7" s="125" t="n">
        <f aca="false">C12</f>
        <v>0</v>
      </c>
      <c r="N7" s="126" t="n">
        <f aca="false">IF(C11&lt;&gt;"",E12,0)</f>
        <v>0</v>
      </c>
      <c r="O7" s="125" t="n">
        <f aca="false">C18</f>
        <v>0</v>
      </c>
      <c r="P7" s="126" t="n">
        <f aca="false">IF(C17&lt;&gt;"",E18,0)</f>
        <v>0</v>
      </c>
      <c r="Q7" s="125" t="n">
        <f aca="false">IF(Deelnemers!D5="Nee",D23,C24)</f>
        <v>0</v>
      </c>
      <c r="R7" s="126" t="n">
        <f aca="false">IF(Deelnemers!D5="Nee",IF(C23&lt;&gt;"",F23),IF(C23&lt;&gt;"",E24,0))</f>
        <v>0</v>
      </c>
      <c r="S7" s="127" t="n">
        <f aca="false">C30</f>
        <v>0</v>
      </c>
      <c r="T7" s="128" t="n">
        <f aca="false">IF(Deelnemers!D5="Nee",IF(C29&lt;&gt;"",E30),IF(C29&lt;&gt;"",E30,0))</f>
        <v>0</v>
      </c>
      <c r="U7" s="127" t="n">
        <f aca="false">C36</f>
        <v>0</v>
      </c>
      <c r="V7" s="128" t="n">
        <f aca="false">IF(Deelnemers!D5="Nee",IF(C35&lt;&gt;"",E36),IF(C35&lt;&gt;"",E36,0))</f>
        <v>0</v>
      </c>
      <c r="W7" s="129" t="n">
        <f aca="false">IF(Deelnemers!D5="Nee",0,C42)</f>
        <v>0</v>
      </c>
      <c r="X7" s="128" t="n">
        <f aca="false">IF(Deelnemers!D5="Nee",0,IF(C41&lt;&gt;"",E42,0))</f>
        <v>0</v>
      </c>
      <c r="Y7" s="130" t="n">
        <f aca="false">IF(C$5&lt;&gt;"",K7+M7+O7+Q7+S7+U7+W7,0)</f>
        <v>0</v>
      </c>
      <c r="Z7" s="131" t="n">
        <f aca="false">IF(C$5&lt;&gt;"",L7+N7+P7+R7+T7+V7+X7+(AA7/100),0)</f>
        <v>0</v>
      </c>
      <c r="AA7" s="132"/>
      <c r="AC7" s="119" t="str">
        <f aca="false">IF(C$5&lt;&gt;"",RANK(AG7,AG$6:AG$13),"")</f>
        <v/>
      </c>
      <c r="AD7" s="1" t="str">
        <f aca="false">Deelnemers!B13</f>
        <v>Team 2</v>
      </c>
      <c r="AE7" s="1" t="str">
        <f aca="false">IF(Deelnemers!C13&lt;&gt;"",Deelnemers!C13,"")</f>
        <v/>
      </c>
      <c r="AF7" s="1" t="n">
        <f aca="false">IF(C$5&lt;&gt;"",K7+M7+O7+Q7+S7+U7+W7,0)</f>
        <v>0</v>
      </c>
      <c r="AG7" s="120" t="n">
        <f aca="false">IF(C$5&lt;&gt;"",L7+N7+P7+R7+T7+V7+X7+(Y7/10000)+(AA7/100),0)</f>
        <v>0</v>
      </c>
      <c r="AH7" s="121" t="str">
        <f aca="false">IF(AA7="","",AA7)</f>
        <v/>
      </c>
    </row>
    <row r="8" customFormat="false" ht="14.25" hidden="false" customHeight="true" outlineLevel="0" collapsed="false">
      <c r="A8" s="133"/>
      <c r="B8" s="1" t="str">
        <f aca="false">IF(Deelnemers!D5="Nee","",CONCATENATE(Deelnemers!B38," - ",Deelnemers!B43))</f>
        <v>Team 7 - Team 8</v>
      </c>
      <c r="C8" s="134"/>
      <c r="D8" s="135"/>
      <c r="E8" s="78" t="n">
        <f aca="false">IF(C8="",0,IF(C8=D8,1,IF(C8&gt;D8,2,0)))</f>
        <v>0</v>
      </c>
      <c r="F8" s="88" t="n">
        <f aca="false">IF(C8="",0,IF(C8=D8,1,IF(C8&lt;D8,2,0)))</f>
        <v>0</v>
      </c>
      <c r="H8" s="108" t="str">
        <f aca="false">IF(C$5&lt;&gt;"",RANK(Z8,Z$6:Z$13),"")</f>
        <v/>
      </c>
      <c r="I8" s="123" t="str">
        <f aca="false">Deelnemers!B18</f>
        <v>Team 3</v>
      </c>
      <c r="J8" s="124" t="str">
        <f aca="false">IF(Deelnemers!C18&lt;&gt;"",Deelnemers!C18,"")</f>
        <v/>
      </c>
      <c r="K8" s="125" t="n">
        <f aca="false">C6</f>
        <v>0</v>
      </c>
      <c r="L8" s="126" t="n">
        <f aca="false">IF(C5&lt;&gt;"",E6,0)</f>
        <v>0</v>
      </c>
      <c r="M8" s="125" t="n">
        <f aca="false">D11</f>
        <v>0</v>
      </c>
      <c r="N8" s="126" t="n">
        <f aca="false">IF(C11&lt;&gt;"",F11,0)</f>
        <v>0</v>
      </c>
      <c r="O8" s="125" t="n">
        <f aca="false">D18</f>
        <v>0</v>
      </c>
      <c r="P8" s="126" t="n">
        <f aca="false">IF(C17&lt;&gt;"",F18,0)</f>
        <v>0</v>
      </c>
      <c r="Q8" s="125" t="n">
        <f aca="false">IF(Deelnemers!D5="Nee",C24,C25)</f>
        <v>0</v>
      </c>
      <c r="R8" s="126" t="n">
        <f aca="false">IF(Deelnemers!D5="Nee",IF(C23&lt;&gt;"",E24),IF(C23&lt;&gt;"",E25,0))</f>
        <v>0</v>
      </c>
      <c r="S8" s="127" t="n">
        <f aca="false">IF(Deelnemers!D5="Nee",D29,C31)</f>
        <v>0</v>
      </c>
      <c r="T8" s="128" t="n">
        <f aca="false">IF(Deelnemers!D5="Nee",IF(C29&lt;&gt;"",F29),IF(C29&lt;&gt;"",E31,0))</f>
        <v>0</v>
      </c>
      <c r="U8" s="127" t="n">
        <f aca="false">IF(Deelnemers!D5="Nee",D36,C37)</f>
        <v>0</v>
      </c>
      <c r="V8" s="128" t="n">
        <f aca="false">IF(Deelnemers!D5="Nee",IF(C35&lt;&gt;"",F36),IF(C35&lt;&gt;"",E37,0))</f>
        <v>0</v>
      </c>
      <c r="W8" s="129" t="n">
        <f aca="false">IF(Deelnemers!D5="Nee",0,C43)</f>
        <v>0</v>
      </c>
      <c r="X8" s="128" t="n">
        <f aca="false">IF(Deelnemers!D5="Nee",0,IF(C41&lt;&gt;"",E43,0))</f>
        <v>0</v>
      </c>
      <c r="Y8" s="130" t="n">
        <f aca="false">IF(C$5&lt;&gt;"",K8+M8+O8+Q8+S8+U8+W8,0)</f>
        <v>0</v>
      </c>
      <c r="Z8" s="131" t="n">
        <f aca="false">IF(C$5&lt;&gt;"",L8+N8+P8+R8+T8+V8+X8+(AA8/100),0)</f>
        <v>0</v>
      </c>
      <c r="AA8" s="132"/>
      <c r="AC8" s="119" t="str">
        <f aca="false">IF(C$5&lt;&gt;"",RANK(AG8,AG$6:AG$13),"")</f>
        <v/>
      </c>
      <c r="AD8" s="1" t="str">
        <f aca="false">Deelnemers!B18</f>
        <v>Team 3</v>
      </c>
      <c r="AE8" s="1" t="str">
        <f aca="false">IF(Deelnemers!C18&lt;&gt;"",Deelnemers!C18,"")</f>
        <v/>
      </c>
      <c r="AF8" s="1" t="n">
        <f aca="false">IF(C$5&lt;&gt;"",K8+M8+O8+Q8+S8+U8+W8,0)</f>
        <v>0</v>
      </c>
      <c r="AG8" s="120" t="n">
        <f aca="false">IF(C$5&lt;&gt;"",L8+N8+P8+R8+T8+V8+X8+(Y8/10000)+(AA8/100),0)</f>
        <v>0</v>
      </c>
      <c r="AH8" s="121" t="str">
        <f aca="false">IF(AA8="","",AA8)</f>
        <v/>
      </c>
    </row>
    <row r="9" customFormat="false" ht="14.25" hidden="false" customHeight="true" outlineLevel="0" collapsed="false">
      <c r="A9" s="91"/>
      <c r="C9" s="87"/>
      <c r="D9" s="87"/>
      <c r="F9" s="88"/>
      <c r="H9" s="108" t="str">
        <f aca="false">IF(C$5&lt;&gt;"",RANK(Z9,Z$6:Z$13),"")</f>
        <v/>
      </c>
      <c r="I9" s="123" t="str">
        <f aca="false">Deelnemers!B23</f>
        <v>Team 4</v>
      </c>
      <c r="J9" s="124" t="str">
        <f aca="false">IF(Deelnemers!C23&lt;&gt;"",Deelnemers!C23,"")</f>
        <v/>
      </c>
      <c r="K9" s="125" t="n">
        <f aca="false">D6</f>
        <v>0</v>
      </c>
      <c r="L9" s="126" t="n">
        <f aca="false">IF(C5&lt;&gt;"",F6,0)</f>
        <v>0</v>
      </c>
      <c r="M9" s="125" t="n">
        <f aca="false">D12</f>
        <v>0</v>
      </c>
      <c r="N9" s="126" t="n">
        <f aca="false">IF(C11&lt;&gt;"",F12,0)</f>
        <v>0</v>
      </c>
      <c r="O9" s="125" t="n">
        <f aca="false">D17</f>
        <v>0</v>
      </c>
      <c r="P9" s="126" t="n">
        <f aca="false">IF(C17&lt;&gt;"",F17,0)</f>
        <v>0</v>
      </c>
      <c r="Q9" s="125" t="n">
        <f aca="false">IF(Deelnemers!D5="Nee",D24,C26)</f>
        <v>0</v>
      </c>
      <c r="R9" s="126" t="n">
        <f aca="false">IF(Deelnemers!D5="Nee",IF(C23&lt;&gt;"",F24),IF(C23&lt;&gt;"",E26,0))</f>
        <v>0</v>
      </c>
      <c r="S9" s="127" t="n">
        <f aca="false">IF(Deelnemers!D5="Nee",D30,C32)</f>
        <v>0</v>
      </c>
      <c r="T9" s="128" t="n">
        <f aca="false">IF(Deelnemers!D5="Nee",IF(C29&lt;&gt;"",F30),IF(C29&lt;&gt;"",E32,0))</f>
        <v>0</v>
      </c>
      <c r="U9" s="127" t="n">
        <f aca="false">IF(Deelnemers!D5="Nee",D35,C38)</f>
        <v>0</v>
      </c>
      <c r="V9" s="128" t="n">
        <f aca="false">IF(Deelnemers!D5="Nee",IF(C35&lt;&gt;"",F35),IF(C35&lt;&gt;"",E38,0))</f>
        <v>0</v>
      </c>
      <c r="W9" s="129" t="n">
        <f aca="false">IF(Deelnemers!D5="Nee",0,C44)</f>
        <v>0</v>
      </c>
      <c r="X9" s="128" t="n">
        <f aca="false">IF(Deelnemers!D5="Nee",0,IF(C41&lt;&gt;"",E44,0))</f>
        <v>0</v>
      </c>
      <c r="Y9" s="130" t="n">
        <f aca="false">IF(C$5&lt;&gt;"",K9+M9+O9+Q9+S9+U9+W9,0)</f>
        <v>0</v>
      </c>
      <c r="Z9" s="131" t="n">
        <f aca="false">IF(C$5&lt;&gt;"",L9+N9+P9+R9+T9+V9+X9+(AA9/100),0)</f>
        <v>0</v>
      </c>
      <c r="AA9" s="132"/>
      <c r="AC9" s="119" t="str">
        <f aca="false">IF(C$5&lt;&gt;"",RANK(AG9,AG$6:AG$13),"")</f>
        <v/>
      </c>
      <c r="AD9" s="1" t="str">
        <f aca="false">Deelnemers!B23</f>
        <v>Team 4</v>
      </c>
      <c r="AE9" s="1" t="str">
        <f aca="false">IF(Deelnemers!C23&lt;&gt;"",Deelnemers!C23,"")</f>
        <v/>
      </c>
      <c r="AF9" s="1" t="n">
        <f aca="false">IF(C$5&lt;&gt;"",K9+M9+O9+Q9+S9+U9+W9,0)</f>
        <v>0</v>
      </c>
      <c r="AG9" s="120" t="n">
        <f aca="false">IF(C$5&lt;&gt;"",L9+N9+P9+R9+T9+V9+X9+(Y9/10000)+(AA9/100),0)</f>
        <v>0</v>
      </c>
      <c r="AH9" s="121" t="str">
        <f aca="false">IF(AA9="","",AA9)</f>
        <v/>
      </c>
    </row>
    <row r="10" customFormat="false" ht="14.25" hidden="false" customHeight="true" outlineLevel="0" collapsed="false">
      <c r="A10" s="91" t="s">
        <v>105</v>
      </c>
      <c r="C10" s="87"/>
      <c r="D10" s="87"/>
      <c r="F10" s="88"/>
      <c r="H10" s="108" t="str">
        <f aca="false">IF(Deelnemers!D5="Nee","",IF(C$5&lt;&gt;"",RANK(Z10,Z$6:Z$13),""))</f>
        <v/>
      </c>
      <c r="I10" s="123" t="str">
        <f aca="false">IF(Deelnemers!D5="Ja",Deelnemers!B28,"")</f>
        <v>Team 5</v>
      </c>
      <c r="J10" s="124" t="str">
        <f aca="false">IF(Deelnemers!C28&lt;&gt;"",Deelnemers!C28,"")</f>
        <v/>
      </c>
      <c r="K10" s="125" t="n">
        <f aca="false">IF(Deelnemers!D5="Ja",C7,"")</f>
        <v>0</v>
      </c>
      <c r="L10" s="126" t="n">
        <f aca="false">IF(Deelnemers!D5="Nee","",IF(C5&lt;&gt;"",E7,0))</f>
        <v>0</v>
      </c>
      <c r="M10" s="125" t="n">
        <f aca="false">IF(Deelnemers!D5="Ja",C13,"")</f>
        <v>0</v>
      </c>
      <c r="N10" s="126" t="n">
        <f aca="false">IF(Deelnemers!D5="Nee","",IF(C11&lt;&gt;"",E13,0))</f>
        <v>0</v>
      </c>
      <c r="O10" s="125" t="n">
        <f aca="false">IF(Deelnemers!D5="Ja",C19,"")</f>
        <v>0</v>
      </c>
      <c r="P10" s="126" t="n">
        <f aca="false">IF(Deelnemers!D5="Nee","",IF(C17&lt;&gt;"",E19,0))</f>
        <v>0</v>
      </c>
      <c r="Q10" s="125" t="n">
        <f aca="false">IF(Deelnemers!D5="Ja",D23,"")</f>
        <v>0</v>
      </c>
      <c r="R10" s="126" t="n">
        <f aca="false">IF(Deelnemers!D5="Nee","",IF(C23&lt;&gt;"",F23,0))</f>
        <v>0</v>
      </c>
      <c r="S10" s="127" t="n">
        <f aca="false">IF(Deelnemers!D5="Ja",D30,"")</f>
        <v>0</v>
      </c>
      <c r="T10" s="128" t="n">
        <f aca="false">IF(Deelnemers!D5="Nee","",IF(C29&lt;&gt;"",F30,0))</f>
        <v>0</v>
      </c>
      <c r="U10" s="127" t="n">
        <f aca="false">IF(Deelnemers!D5="Ja",D37,"")</f>
        <v>0</v>
      </c>
      <c r="V10" s="128" t="n">
        <f aca="false">IF(Deelnemers!D5="Nee","",IF(C35&lt;&gt;"",F37,0))</f>
        <v>0</v>
      </c>
      <c r="W10" s="129" t="n">
        <f aca="false">IF(Deelnemers!D5="Ja",D44,"")</f>
        <v>0</v>
      </c>
      <c r="X10" s="128" t="n">
        <f aca="false">IF(Deelnemers!D5="Nee","",IF(C41&lt;&gt;"",F44,0))</f>
        <v>0</v>
      </c>
      <c r="Y10" s="130" t="n">
        <f aca="false">IF(Deelnemers!D5="Nee","",IF(C$5&lt;&gt;"",K10+M10+O10+Q10+S10+U10+W10,0))</f>
        <v>0</v>
      </c>
      <c r="Z10" s="131" t="n">
        <f aca="false">IF(Deelnemers!D5="Nee","",IF(C$5&lt;&gt;"",L10+N10+P10+R10+T10+V10+X10+(AA10/100),0))</f>
        <v>0</v>
      </c>
      <c r="AA10" s="132"/>
      <c r="AC10" s="119" t="str">
        <f aca="false">IF(Deelnemers!D5="Nee","",IF(C$5&lt;&gt;"",RANK(AG10,AG$6:AG$13),""))</f>
        <v/>
      </c>
      <c r="AD10" s="1" t="str">
        <f aca="false">IF(Deelnemers!D$5="Ja",Deelnemers!B28,"")</f>
        <v>Team 5</v>
      </c>
      <c r="AE10" s="1" t="str">
        <f aca="false">IF(Deelnemers!C28&lt;&gt;"",Deelnemers!C28,"")</f>
        <v/>
      </c>
      <c r="AF10" s="1" t="n">
        <f aca="false">IF(Deelnemers!D$5="Nee","",IF(C$5&lt;&gt;"",K10+M10+O10+Q10+S10+U10+W10,0))</f>
        <v>0</v>
      </c>
      <c r="AG10" s="120" t="n">
        <f aca="false">IF(Deelnemers!D$5="Nee","",IF(C$5&lt;&gt;"",L10+N10+P10+R10+T10+V10+X10+(Y10/10000)+(AA10/100),0))</f>
        <v>0</v>
      </c>
      <c r="AH10" s="121" t="str">
        <f aca="false">IF(AA10="","",AA10)</f>
        <v/>
      </c>
    </row>
    <row r="11" customFormat="false" ht="14.25" hidden="false" customHeight="true" outlineLevel="0" collapsed="false">
      <c r="A11" s="95"/>
      <c r="B11" s="1" t="str">
        <f aca="false">CONCATENATE(Deelnemers!B8," - ",Deelnemers!B18)</f>
        <v>Team 1 - Team 3</v>
      </c>
      <c r="C11" s="96"/>
      <c r="D11" s="97"/>
      <c r="E11" s="78" t="n">
        <f aca="false">IF(C11="",0,IF(C11=D11,1,IF(C11&gt;D11,2,0)))</f>
        <v>0</v>
      </c>
      <c r="F11" s="88" t="n">
        <f aca="false">IF(C11="",0,IF(C11=D11,1,IF(C11&lt;D11,2,0)))</f>
        <v>0</v>
      </c>
      <c r="H11" s="108" t="str">
        <f aca="false">IF(Deelnemers!D5="Nee"," ",IF(C$5&lt;&gt;"",RANK(Z11,Z$6:Z$13),""))</f>
        <v/>
      </c>
      <c r="I11" s="123" t="str">
        <f aca="false">IF(Deelnemers!D5="Ja",Deelnemers!B33,"")</f>
        <v>Team 6</v>
      </c>
      <c r="J11" s="124" t="str">
        <f aca="false">IF(Deelnemers!C33&lt;&gt;"",Deelnemers!C33,"")</f>
        <v/>
      </c>
      <c r="K11" s="125" t="n">
        <f aca="false">IF(Deelnemers!D5="Ja",D7,"")</f>
        <v>0</v>
      </c>
      <c r="L11" s="126" t="n">
        <f aca="false">IF(Deelnemers!D5="Nee","",IF(C5&lt;&gt;"",F7,0))</f>
        <v>0</v>
      </c>
      <c r="M11" s="125" t="n">
        <f aca="false">IF(Deelnemers!D5="Ja",C14,"")</f>
        <v>0</v>
      </c>
      <c r="N11" s="126" t="n">
        <f aca="false">IF(Deelnemers!D5="Nee","",IF(C11&lt;&gt;"",E14,0))</f>
        <v>0</v>
      </c>
      <c r="O11" s="125" t="n">
        <f aca="false">IF(Deelnemers!D5="Ja",C20,"")</f>
        <v>0</v>
      </c>
      <c r="P11" s="126" t="n">
        <f aca="false">IF(Deelnemers!D5="Nee","",IF(C17&lt;&gt;"",E20,0))</f>
        <v>0</v>
      </c>
      <c r="Q11" s="125" t="n">
        <f aca="false">IF(Deelnemers!D5="Ja",D24,"")</f>
        <v>0</v>
      </c>
      <c r="R11" s="126" t="n">
        <f aca="false">IF(Deelnemers!D5="Nee","",IF(C23&lt;&gt;"",F24,0))</f>
        <v>0</v>
      </c>
      <c r="S11" s="127" t="n">
        <f aca="false">IF(Deelnemers!D5="Ja",D29,"")</f>
        <v>0</v>
      </c>
      <c r="T11" s="128" t="n">
        <f aca="false">IF(Deelnemers!D5="Nee","",IF(C29&lt;&gt;"",F29,0))</f>
        <v>0</v>
      </c>
      <c r="U11" s="127" t="n">
        <f aca="false">IF(Deelnemers!D5="Ja",D38,"")</f>
        <v>0</v>
      </c>
      <c r="V11" s="128" t="n">
        <f aca="false">IF(Deelnemers!D5="Nee","",IF(C35&lt;&gt;"",F38,0))</f>
        <v>0</v>
      </c>
      <c r="W11" s="129" t="n">
        <f aca="false">IF(Deelnemers!D5="Ja",D43,"")</f>
        <v>0</v>
      </c>
      <c r="X11" s="128" t="n">
        <f aca="false">IF(Deelnemers!D5="Nee","",IF(C41&lt;&gt;"",F43,0))</f>
        <v>0</v>
      </c>
      <c r="Y11" s="130" t="n">
        <f aca="false">IF(Deelnemers!D5="Nee","",IF(C$5&lt;&gt;"",K11+M11+O11+Q11+S11+U11+W11,0))</f>
        <v>0</v>
      </c>
      <c r="Z11" s="131" t="n">
        <f aca="false">IF(Deelnemers!D5="Nee","",IF(C$5&lt;&gt;"",L11+N11+P11+R11+T11+V11+X11+(AA11/100),0))</f>
        <v>0</v>
      </c>
      <c r="AA11" s="132"/>
      <c r="AC11" s="119" t="str">
        <f aca="false">IF(Deelnemers!D5="Nee","",IF(C$5&lt;&gt;"",RANK(AG11,AG$6:AG$13),""))</f>
        <v/>
      </c>
      <c r="AD11" s="1" t="str">
        <f aca="false">IF(Deelnemers!D$5="Ja",Deelnemers!B33,"")</f>
        <v>Team 6</v>
      </c>
      <c r="AE11" s="1" t="str">
        <f aca="false">IF(Deelnemers!C33&lt;&gt;"",Deelnemers!C33,"")</f>
        <v/>
      </c>
      <c r="AF11" s="1" t="n">
        <f aca="false">IF(Deelnemers!D$5="Nee","",IF(C$5&lt;&gt;"",K11+M11+O11+Q11+S11+U11+W11,0))</f>
        <v>0</v>
      </c>
      <c r="AG11" s="120" t="n">
        <f aca="false">IF(Deelnemers!D$5="Nee","",IF(C$5&lt;&gt;"",L11+N11+P11+R11+T11+V11+X11+(Y11/10000)+(AA11/100),0))</f>
        <v>0</v>
      </c>
      <c r="AH11" s="121" t="str">
        <f aca="false">IF(AA11="","",AA11)</f>
        <v/>
      </c>
    </row>
    <row r="12" customFormat="false" ht="14.25" hidden="false" customHeight="true" outlineLevel="0" collapsed="false">
      <c r="A12" s="105"/>
      <c r="B12" s="1" t="str">
        <f aca="false">CONCATENATE(Deelnemers!B13," - ",Deelnemers!B23)</f>
        <v>Team 2 - Team 4</v>
      </c>
      <c r="C12" s="106"/>
      <c r="D12" s="107"/>
      <c r="E12" s="78" t="n">
        <f aca="false">IF(C12="",0,IF(C12=D12,1,IF(C12&gt;D12,2,0)))</f>
        <v>0</v>
      </c>
      <c r="F12" s="88" t="n">
        <f aca="false">IF(C12="",0,IF(C12=D12,1,IF(C12&lt;D12,2,0)))</f>
        <v>0</v>
      </c>
      <c r="H12" s="108" t="str">
        <f aca="false">IF(Deelnemers!D5="Nee","  ",IF(C$5&lt;&gt;"",RANK(Z12,Z$6:Z$13),""))</f>
        <v/>
      </c>
      <c r="I12" s="123" t="str">
        <f aca="false">IF(Deelnemers!D5="Ja",Deelnemers!B38,"")</f>
        <v>Team 7</v>
      </c>
      <c r="J12" s="124" t="str">
        <f aca="false">IF(Deelnemers!C38&lt;&gt;"",Deelnemers!C38,"")</f>
        <v/>
      </c>
      <c r="K12" s="125" t="n">
        <f aca="false">IF(Deelnemers!D5="Ja",C8,"")</f>
        <v>0</v>
      </c>
      <c r="L12" s="126" t="n">
        <f aca="false">IF(Deelnemers!D5="Nee","",IF(C5&lt;&gt;"",E8,0))</f>
        <v>0</v>
      </c>
      <c r="M12" s="125" t="n">
        <f aca="false">IF(Deelnemers!D5="Ja",D13,"")</f>
        <v>0</v>
      </c>
      <c r="N12" s="126" t="n">
        <f aca="false">IF(Deelnemers!D5="Nee","",IF(C11&lt;&gt;"",F13,0))</f>
        <v>0</v>
      </c>
      <c r="O12" s="125" t="n">
        <f aca="false">IF(Deelnemers!D5="Ja",D20,"")</f>
        <v>0</v>
      </c>
      <c r="P12" s="126" t="n">
        <f aca="false">IF(Deelnemers!D5="Nee","",IF(C17&lt;&gt;"",F20,0))</f>
        <v>0</v>
      </c>
      <c r="Q12" s="125" t="n">
        <f aca="false">IF(Deelnemers!D5="Ja",D25,"")</f>
        <v>0</v>
      </c>
      <c r="R12" s="126" t="n">
        <f aca="false">IF(Deelnemers!D5="Nee","",IF(C23&lt;&gt;"",F25,0))</f>
        <v>0</v>
      </c>
      <c r="S12" s="127" t="n">
        <f aca="false">IF(Deelnemers!D5="Ja",D32,"")</f>
        <v>0</v>
      </c>
      <c r="T12" s="128" t="n">
        <f aca="false">IF(Deelnemers!D5="Nee","",IF(C29&lt;&gt;"",F32,0))</f>
        <v>0</v>
      </c>
      <c r="U12" s="127" t="n">
        <f aca="false">IF(Deelnemers!D5="Ja",D35,"")</f>
        <v>0</v>
      </c>
      <c r="V12" s="128" t="n">
        <f aca="false">IF(Deelnemers!D5="Nee","",IF(C35&lt;&gt;"",F35,0))</f>
        <v>0</v>
      </c>
      <c r="W12" s="129" t="n">
        <f aca="false">IF(Deelnemers!D5="Ja",D42,"")</f>
        <v>0</v>
      </c>
      <c r="X12" s="128" t="n">
        <f aca="false">IF(Deelnemers!D5="Nee","",IF(C41&lt;&gt;"",F42,0))</f>
        <v>0</v>
      </c>
      <c r="Y12" s="130" t="n">
        <f aca="false">IF(Deelnemers!D5="Nee","",IF(C$5&lt;&gt;"",K12+M12+O12+Q12+S12+U12+W12,0))</f>
        <v>0</v>
      </c>
      <c r="Z12" s="131" t="n">
        <f aca="false">IF(Deelnemers!D5="Nee","",IF(C$5&lt;&gt;"",L12+N12+P12+R12+T12+V12+X12+(AA12/100),0))</f>
        <v>0</v>
      </c>
      <c r="AA12" s="132"/>
      <c r="AC12" s="119" t="str">
        <f aca="false">IF(Deelnemers!D5="Nee","",IF(C$5&lt;&gt;"",RANK(AG12,AG$6:AG$13),""))</f>
        <v/>
      </c>
      <c r="AD12" s="1" t="str">
        <f aca="false">IF(Deelnemers!D$5="Ja",Deelnemers!B38,"")</f>
        <v>Team 7</v>
      </c>
      <c r="AE12" s="1" t="str">
        <f aca="false">IF(Deelnemers!C38&lt;&gt;"",Deelnemers!C38,"")</f>
        <v/>
      </c>
      <c r="AF12" s="1" t="n">
        <f aca="false">IF(Deelnemers!D$5="Nee","",IF(C$5&lt;&gt;"",K12+M12+O12+Q12+S12+U12+W12,0))</f>
        <v>0</v>
      </c>
      <c r="AG12" s="120" t="n">
        <f aca="false">IF(Deelnemers!D$5="Nee","",IF(C$5&lt;&gt;"",L12+N12+P12+R12+T12+V12+X12+(Y12/10000)+(AA12/100),0))</f>
        <v>0</v>
      </c>
      <c r="AH12" s="121" t="str">
        <f aca="false">IF(AA12="","",AA12)</f>
        <v/>
      </c>
    </row>
    <row r="13" customFormat="false" ht="14.25" hidden="false" customHeight="true" outlineLevel="0" collapsed="false">
      <c r="A13" s="122"/>
      <c r="B13" s="1" t="str">
        <f aca="false">IF(Deelnemers!D5="Nee","",CONCATENATE(Deelnemers!B28," - ",Deelnemers!B38))</f>
        <v>Team 5 - Team 7</v>
      </c>
      <c r="C13" s="106"/>
      <c r="D13" s="107"/>
      <c r="E13" s="78" t="n">
        <f aca="false">IF(C13="",0,IF(C13=D13,1,IF(C13&gt;D13,2,0)))</f>
        <v>0</v>
      </c>
      <c r="F13" s="88" t="n">
        <f aca="false">IF(C13="",0,IF(C13=D13,1,IF(C13&lt;D13,2,0)))</f>
        <v>0</v>
      </c>
      <c r="H13" s="108" t="str">
        <f aca="false">IF(Deelnemers!D5="Nee","   ",IF(C$5&lt;&gt;"",RANK(Z13,Z$6:Z$13),""))</f>
        <v/>
      </c>
      <c r="I13" s="136" t="str">
        <f aca="false">IF(Deelnemers!D5="Ja",Deelnemers!B43,"")</f>
        <v>Team 8</v>
      </c>
      <c r="J13" s="137" t="str">
        <f aca="false">IF(Deelnemers!C43&lt;&gt;"",Deelnemers!C43,"")</f>
        <v/>
      </c>
      <c r="K13" s="138" t="n">
        <f aca="false">IF(Deelnemers!D5="Ja",D8,"")</f>
        <v>0</v>
      </c>
      <c r="L13" s="139" t="n">
        <f aca="false">IF(Deelnemers!D5="Nee","",IF(C5&lt;&gt;"",F8,0))</f>
        <v>0</v>
      </c>
      <c r="M13" s="138" t="n">
        <f aca="false">IF(Deelnemers!D5="Ja",D14,"")</f>
        <v>0</v>
      </c>
      <c r="N13" s="139" t="n">
        <f aca="false">IF(Deelnemers!D5="Nee","",IF(C11&lt;&gt;"",F14,0))</f>
        <v>0</v>
      </c>
      <c r="O13" s="138" t="n">
        <f aca="false">IF(Deelnemers!D5="Ja",D19,"")</f>
        <v>0</v>
      </c>
      <c r="P13" s="139" t="n">
        <f aca="false">IF(Deelnemers!D5="Nee","",IF(C17&lt;&gt;"",F19,0))</f>
        <v>0</v>
      </c>
      <c r="Q13" s="138" t="n">
        <f aca="false">IF(Deelnemers!D5="Ja",D26,"")</f>
        <v>0</v>
      </c>
      <c r="R13" s="139" t="n">
        <f aca="false">IF(Deelnemers!D5="Nee","",IF(C23&lt;&gt;"",F26,0))</f>
        <v>0</v>
      </c>
      <c r="S13" s="140" t="n">
        <f aca="false">IF(Deelnemers!D5="Ja",D31,"")</f>
        <v>0</v>
      </c>
      <c r="T13" s="141" t="n">
        <f aca="false">IF(Deelnemers!D5="Nee","",IF(C29&lt;&gt;"",F31,0))</f>
        <v>0</v>
      </c>
      <c r="U13" s="140" t="n">
        <f aca="false">IF(Deelnemers!D5="Ja",D36,"")</f>
        <v>0</v>
      </c>
      <c r="V13" s="141" t="n">
        <f aca="false">IF(Deelnemers!D5="Nee","",IF(C35&lt;&gt;"",F36,0))</f>
        <v>0</v>
      </c>
      <c r="W13" s="142" t="n">
        <f aca="false">IF(Deelnemers!D5="Ja",D41,"")</f>
        <v>0</v>
      </c>
      <c r="X13" s="141" t="n">
        <f aca="false">IF(Deelnemers!D5="Nee","",IF(C41&lt;&gt;"",F41,0))</f>
        <v>0</v>
      </c>
      <c r="Y13" s="143" t="n">
        <f aca="false">IF(Deelnemers!D5="Nee","",IF(C$5&lt;&gt;"",K13+M13+O13+Q13+S13+U13+W13,0))</f>
        <v>0</v>
      </c>
      <c r="Z13" s="144" t="n">
        <f aca="false">IF(Deelnemers!D5="Nee","",IF(C$5&lt;&gt;"",L13+N13+P13+R13+T13+V13+X13+(AA13/100),0))</f>
        <v>0</v>
      </c>
      <c r="AA13" s="145"/>
      <c r="AC13" s="146" t="str">
        <f aca="false">IF(Deelnemers!D5="Nee","",IF(C$5&lt;&gt;"",RANK(AG13,AG$6:AG$13),""))</f>
        <v/>
      </c>
      <c r="AD13" s="13" t="str">
        <f aca="false">IF(Deelnemers!D$5="Ja",Deelnemers!B43,"")</f>
        <v>Team 8</v>
      </c>
      <c r="AE13" s="13" t="str">
        <f aca="false">IF(Deelnemers!C43&lt;&gt;"",Deelnemers!C43,"")</f>
        <v/>
      </c>
      <c r="AF13" s="13" t="n">
        <f aca="false">IF(Deelnemers!D$5="Nee","",IF(C$5&lt;&gt;"",K13+M13+O13+Q13+S13+U13+W13,0))</f>
        <v>0</v>
      </c>
      <c r="AG13" s="147" t="n">
        <f aca="false">IF(Deelnemers!D$5="Nee","",IF(C$5&lt;&gt;"",L13+N13+P13+R13+T13+V13+X13+(Y13/10000)+(AA13/100),0))</f>
        <v>0</v>
      </c>
      <c r="AH13" s="148" t="str">
        <f aca="false">IF(AA13="","",AA13)</f>
        <v/>
      </c>
    </row>
    <row r="14" customFormat="false" ht="14.25" hidden="false" customHeight="true" outlineLevel="0" collapsed="false">
      <c r="A14" s="133"/>
      <c r="B14" s="1" t="str">
        <f aca="false">IF(Deelnemers!D5="Nee","",CONCATENATE(Deelnemers!B33," - ",Deelnemers!B43))</f>
        <v>Team 6 - Team 8</v>
      </c>
      <c r="C14" s="134"/>
      <c r="D14" s="135"/>
      <c r="E14" s="78" t="n">
        <f aca="false">IF(C14="",0,IF(C14=D14,1,IF(C14&gt;D14,2,0)))</f>
        <v>0</v>
      </c>
      <c r="F14" s="88" t="n">
        <f aca="false">IF(C14="",0,IF(C14=D14,1,IF(C14&lt;D14,2,0)))</f>
        <v>0</v>
      </c>
      <c r="H14" s="102"/>
      <c r="I14" s="102"/>
      <c r="J14" s="149"/>
      <c r="K14" s="149"/>
      <c r="L14" s="149"/>
      <c r="M14" s="149"/>
      <c r="N14" s="149"/>
      <c r="O14" s="149"/>
      <c r="P14" s="149"/>
      <c r="Q14" s="149"/>
      <c r="R14" s="149"/>
      <c r="S14" s="149"/>
      <c r="T14" s="149"/>
      <c r="U14" s="149"/>
      <c r="V14" s="149"/>
      <c r="W14" s="149"/>
      <c r="X14" s="149"/>
      <c r="Y14" s="149"/>
      <c r="Z14" s="103"/>
      <c r="AA14" s="103"/>
    </row>
    <row r="15" customFormat="false" ht="14.25" hidden="false" customHeight="true" outlineLevel="0" collapsed="false">
      <c r="A15" s="91"/>
      <c r="C15" s="87"/>
      <c r="D15" s="87"/>
      <c r="F15" s="88"/>
    </row>
    <row r="16" customFormat="false" ht="14.25" hidden="false" customHeight="true" outlineLevel="0" collapsed="false">
      <c r="A16" s="91" t="s">
        <v>106</v>
      </c>
      <c r="C16" s="87"/>
      <c r="D16" s="87"/>
      <c r="F16" s="88"/>
      <c r="I16" s="1" t="s">
        <v>107</v>
      </c>
    </row>
    <row r="17" customFormat="false" ht="14.25" hidden="false" customHeight="true" outlineLevel="0" collapsed="false">
      <c r="A17" s="95"/>
      <c r="B17" s="1" t="str">
        <f aca="false">CONCATENATE(Deelnemers!B8," - ",Deelnemers!B23)</f>
        <v>Team 1 - Team 4</v>
      </c>
      <c r="C17" s="96"/>
      <c r="D17" s="97"/>
      <c r="E17" s="78" t="n">
        <f aca="false">IF(C17="",0,IF(C17=D17,1,IF(C17&gt;D17,2,0)))</f>
        <v>0</v>
      </c>
      <c r="F17" s="88" t="n">
        <f aca="false">IF(C17="",0,IF(C17=D17,1,IF(C17&lt;D17,2,0)))</f>
        <v>0</v>
      </c>
    </row>
    <row r="18" customFormat="false" ht="14.25" hidden="false" customHeight="true" outlineLevel="0" collapsed="false">
      <c r="A18" s="105"/>
      <c r="B18" s="1" t="str">
        <f aca="false">CONCATENATE(Deelnemers!B13," - ",Deelnemers!B18)</f>
        <v>Team 2 - Team 3</v>
      </c>
      <c r="C18" s="106"/>
      <c r="D18" s="107"/>
      <c r="E18" s="78" t="n">
        <f aca="false">IF(C18="",0,IF(C18=D18,1,IF(C18&gt;D18,2,0)))</f>
        <v>0</v>
      </c>
      <c r="F18" s="88" t="n">
        <f aca="false">IF(C18="",0,IF(C18=D18,1,IF(C18&lt;D18,2,0)))</f>
        <v>0</v>
      </c>
      <c r="T18" s="150"/>
      <c r="V18" s="150"/>
      <c r="X18" s="150"/>
    </row>
    <row r="19" customFormat="false" ht="14.25" hidden="false" customHeight="true" outlineLevel="0" collapsed="false">
      <c r="A19" s="122"/>
      <c r="B19" s="1" t="str">
        <f aca="false">IF(Deelnemers!D5="Nee","",CONCATENATE(Deelnemers!B28," - ",Deelnemers!B43))</f>
        <v>Team 5 - Team 8</v>
      </c>
      <c r="C19" s="106"/>
      <c r="D19" s="107"/>
      <c r="E19" s="78" t="n">
        <f aca="false">IF(C19="",0,IF(C19=D19,1,IF(C19&gt;D19,2,0)))</f>
        <v>0</v>
      </c>
      <c r="F19" s="88" t="n">
        <f aca="false">IF(C19="",0,IF(C19=D19,1,IF(C19&lt;D19,2,0)))</f>
        <v>0</v>
      </c>
      <c r="T19" s="150"/>
      <c r="V19" s="150"/>
      <c r="X19" s="150"/>
    </row>
    <row r="20" customFormat="false" ht="14.25" hidden="false" customHeight="true" outlineLevel="0" collapsed="false">
      <c r="A20" s="133"/>
      <c r="B20" s="1" t="str">
        <f aca="false">IF(Deelnemers!D5="Nee","",CONCATENATE(Deelnemers!B33," - ",Deelnemers!B38))</f>
        <v>Team 6 - Team 7</v>
      </c>
      <c r="C20" s="134"/>
      <c r="D20" s="135"/>
      <c r="E20" s="78" t="n">
        <f aca="false">IF(C20="",0,IF(C20=D20,1,IF(C20&gt;D20,2,0)))</f>
        <v>0</v>
      </c>
      <c r="F20" s="88" t="n">
        <f aca="false">IF(C20="",0,IF(C20=D20,1,IF(C20&lt;D20,2,0)))</f>
        <v>0</v>
      </c>
      <c r="T20" s="150"/>
      <c r="V20" s="150"/>
      <c r="X20" s="150"/>
    </row>
    <row r="21" customFormat="false" ht="14.25" hidden="false" customHeight="true" outlineLevel="0" collapsed="false">
      <c r="A21" s="91"/>
      <c r="C21" s="87"/>
      <c r="D21" s="87"/>
      <c r="F21" s="88"/>
      <c r="T21" s="150"/>
      <c r="V21" s="150"/>
      <c r="X21" s="150"/>
    </row>
    <row r="22" customFormat="false" ht="14.25" hidden="false" customHeight="true" outlineLevel="0" collapsed="false">
      <c r="A22" s="91" t="s">
        <v>108</v>
      </c>
      <c r="C22" s="87"/>
      <c r="D22" s="87"/>
      <c r="F22" s="88"/>
      <c r="T22" s="150"/>
      <c r="V22" s="150"/>
      <c r="X22" s="150"/>
    </row>
    <row r="23" customFormat="false" ht="14.25" hidden="false" customHeight="true" outlineLevel="0" collapsed="false">
      <c r="A23" s="95"/>
      <c r="B23" s="1" t="str">
        <f aca="false">IF(Deelnemers!D5="Nee",B5,CONCATENATE(Deelnemers!B8," - ",Deelnemers!B28))</f>
        <v>Team 1 - Team 5</v>
      </c>
      <c r="C23" s="96"/>
      <c r="D23" s="97"/>
      <c r="E23" s="78" t="n">
        <f aca="false">IF(C23="",0,IF(C23=D23,1,IF(C23&gt;D23,2,0)))</f>
        <v>0</v>
      </c>
      <c r="F23" s="88" t="n">
        <f aca="false">IF(C23="",0,IF(C23=D23,1,IF(C23&lt;D23,2,0)))</f>
        <v>0</v>
      </c>
      <c r="T23" s="150"/>
      <c r="V23" s="150"/>
      <c r="X23" s="150"/>
    </row>
    <row r="24" customFormat="false" ht="14.25" hidden="false" customHeight="true" outlineLevel="0" collapsed="false">
      <c r="A24" s="105"/>
      <c r="B24" s="1" t="str">
        <f aca="false">IF(Deelnemers!D5="Nee",B6,CONCATENATE(Deelnemers!B13," - ",Deelnemers!B33))</f>
        <v>Team 2 - Team 6</v>
      </c>
      <c r="C24" s="106"/>
      <c r="D24" s="107"/>
      <c r="E24" s="78" t="n">
        <f aca="false">IF(C24="",0,IF(C24=D24,1,IF(C24&gt;D24,2,0)))</f>
        <v>0</v>
      </c>
      <c r="F24" s="88" t="n">
        <f aca="false">IF(C24="",0,IF(C24=D24,1,IF(C24&lt;D24,2,0)))</f>
        <v>0</v>
      </c>
      <c r="T24" s="150"/>
      <c r="V24" s="150"/>
      <c r="X24" s="150"/>
    </row>
    <row r="25" customFormat="false" ht="14.25" hidden="false" customHeight="true" outlineLevel="0" collapsed="false">
      <c r="A25" s="122"/>
      <c r="B25" s="1" t="str">
        <f aca="false">IF(Deelnemers!D5="Nee","",CONCATENATE(Deelnemers!B18," - ",Deelnemers!B38))</f>
        <v>Team 3 - Team 7</v>
      </c>
      <c r="C25" s="106"/>
      <c r="D25" s="107"/>
      <c r="E25" s="78" t="n">
        <f aca="false">IF(C25="",0,IF(C25=D25,1,IF(C25&gt;D25,2,0)))</f>
        <v>0</v>
      </c>
      <c r="F25" s="88" t="n">
        <f aca="false">IF(C25="",0,IF(C25=D25,1,IF(C25&lt;D25,2,0)))</f>
        <v>0</v>
      </c>
      <c r="T25" s="150"/>
      <c r="V25" s="150"/>
      <c r="X25" s="150"/>
    </row>
    <row r="26" customFormat="false" ht="14.25" hidden="false" customHeight="true" outlineLevel="0" collapsed="false">
      <c r="A26" s="133"/>
      <c r="B26" s="1" t="str">
        <f aca="false">IF(Deelnemers!D5="Nee","",CONCATENATE(Deelnemers!B23," - ",Deelnemers!B43))</f>
        <v>Team 4 - Team 8</v>
      </c>
      <c r="C26" s="134"/>
      <c r="D26" s="135"/>
      <c r="E26" s="78" t="n">
        <f aca="false">IF(C26="",0,IF(C26=D26,1,IF(C26&gt;D26,2,0)))</f>
        <v>0</v>
      </c>
      <c r="F26" s="88" t="n">
        <f aca="false">IF(C26="",0,IF(C26=D26,1,IF(C26&lt;D26,2,0)))</f>
        <v>0</v>
      </c>
    </row>
    <row r="27" customFormat="false" ht="14.25" hidden="false" customHeight="true" outlineLevel="0" collapsed="false">
      <c r="A27" s="91"/>
      <c r="C27" s="87"/>
      <c r="D27" s="87"/>
      <c r="F27" s="88"/>
    </row>
    <row r="28" customFormat="false" ht="14.25" hidden="false" customHeight="true" outlineLevel="0" collapsed="false">
      <c r="A28" s="91" t="s">
        <v>109</v>
      </c>
      <c r="C28" s="87"/>
      <c r="D28" s="87"/>
      <c r="F28" s="88"/>
    </row>
    <row r="29" customFormat="false" ht="14.25" hidden="false" customHeight="true" outlineLevel="0" collapsed="false">
      <c r="A29" s="95"/>
      <c r="B29" s="1" t="str">
        <f aca="false">IF(Deelnemers!D5="Nee",B11,CONCATENATE(Deelnemers!B8," - ",Deelnemers!B33))</f>
        <v>Team 1 - Team 6</v>
      </c>
      <c r="C29" s="96"/>
      <c r="D29" s="97"/>
      <c r="E29" s="78" t="n">
        <f aca="false">IF(C29="",0,IF(C29=D29,1,IF(C29&gt;D29,2,0)))</f>
        <v>0</v>
      </c>
      <c r="F29" s="88" t="n">
        <f aca="false">IF(C29="",0,IF(C29=D29,1,IF(C29&lt;D29,2,0)))</f>
        <v>0</v>
      </c>
    </row>
    <row r="30" customFormat="false" ht="14.25" hidden="false" customHeight="true" outlineLevel="0" collapsed="false">
      <c r="A30" s="105"/>
      <c r="B30" s="1" t="str">
        <f aca="false">IF(Deelnemers!D5="Nee",B12,CONCATENATE(Deelnemers!B13," - ",Deelnemers!B28))</f>
        <v>Team 2 - Team 5</v>
      </c>
      <c r="C30" s="106"/>
      <c r="D30" s="107"/>
      <c r="E30" s="78" t="n">
        <f aca="false">IF(C30="",0,IF(C30=D30,1,IF(C30&gt;D30,2,0)))</f>
        <v>0</v>
      </c>
      <c r="F30" s="88" t="n">
        <f aca="false">IF(C30="",0,IF(C30=D30,1,IF(C30&lt;D30,2,0)))</f>
        <v>0</v>
      </c>
    </row>
    <row r="31" customFormat="false" ht="14.25" hidden="false" customHeight="true" outlineLevel="0" collapsed="false">
      <c r="A31" s="122"/>
      <c r="B31" s="1" t="str">
        <f aca="false">IF(Deelnemers!D5="Nee","",CONCATENATE(Deelnemers!B18," - ",Deelnemers!B43))</f>
        <v>Team 3 - Team 8</v>
      </c>
      <c r="C31" s="106"/>
      <c r="D31" s="107"/>
      <c r="E31" s="78" t="n">
        <f aca="false">IF(C31="",0,IF(C31=D31,1,IF(C31&gt;D31,2,0)))</f>
        <v>0</v>
      </c>
      <c r="F31" s="88" t="n">
        <f aca="false">IF(C31="",0,IF(C31=D31,1,IF(C31&lt;D31,2,0)))</f>
        <v>0</v>
      </c>
    </row>
    <row r="32" customFormat="false" ht="14.25" hidden="false" customHeight="true" outlineLevel="0" collapsed="false">
      <c r="A32" s="133"/>
      <c r="B32" s="1" t="str">
        <f aca="false">IF(Deelnemers!D5="Nee","",CONCATENATE(Deelnemers!B23," - ",Deelnemers!B38))</f>
        <v>Team 4 - Team 7</v>
      </c>
      <c r="C32" s="134"/>
      <c r="D32" s="135"/>
      <c r="E32" s="78" t="n">
        <f aca="false">IF(C32="",0,IF(C32=D32,1,IF(C32&gt;D32,2,0)))</f>
        <v>0</v>
      </c>
      <c r="F32" s="88" t="n">
        <f aca="false">IF(C32="",0,IF(C32=D32,1,IF(C32&lt;D32,2,0)))</f>
        <v>0</v>
      </c>
    </row>
    <row r="33" customFormat="false" ht="14.25" hidden="false" customHeight="true" outlineLevel="0" collapsed="false">
      <c r="A33" s="91"/>
      <c r="C33" s="87"/>
      <c r="D33" s="87"/>
      <c r="F33" s="88"/>
    </row>
    <row r="34" customFormat="false" ht="14.25" hidden="false" customHeight="true" outlineLevel="0" collapsed="false">
      <c r="A34" s="91" t="s">
        <v>110</v>
      </c>
      <c r="C34" s="87"/>
      <c r="D34" s="87"/>
      <c r="F34" s="88"/>
    </row>
    <row r="35" customFormat="false" ht="14.25" hidden="false" customHeight="true" outlineLevel="0" collapsed="false">
      <c r="A35" s="95"/>
      <c r="B35" s="1" t="str">
        <f aca="false">IF(Deelnemers!D5="Nee",B17,CONCATENATE(Deelnemers!B8," - ",Deelnemers!B38))</f>
        <v>Team 1 - Team 7</v>
      </c>
      <c r="C35" s="96"/>
      <c r="D35" s="97"/>
      <c r="E35" s="78" t="n">
        <f aca="false">IF(C35="",0,IF(C35=D35,1,IF(C35&gt;D35,2,0)))</f>
        <v>0</v>
      </c>
      <c r="F35" s="88" t="n">
        <f aca="false">IF(C35="",0,IF(C35=D35,1,IF(C35&lt;D35,2,0)))</f>
        <v>0</v>
      </c>
    </row>
    <row r="36" customFormat="false" ht="14.25" hidden="false" customHeight="true" outlineLevel="0" collapsed="false">
      <c r="A36" s="105"/>
      <c r="B36" s="1" t="str">
        <f aca="false">IF(Deelnemers!D5="Nee",B18,CONCATENATE(Deelnemers!B13," - ",Deelnemers!B43))</f>
        <v>Team 2 - Team 8</v>
      </c>
      <c r="C36" s="106"/>
      <c r="D36" s="107"/>
      <c r="E36" s="78" t="n">
        <f aca="false">IF(C36="",0,IF(C36=D36,1,IF(C36&gt;D36,2,0)))</f>
        <v>0</v>
      </c>
      <c r="F36" s="88" t="n">
        <f aca="false">IF(C36="",0,IF(C36=D36,1,IF(C36&lt;D36,2,0)))</f>
        <v>0</v>
      </c>
    </row>
    <row r="37" customFormat="false" ht="14.25" hidden="false" customHeight="true" outlineLevel="0" collapsed="false">
      <c r="A37" s="122"/>
      <c r="B37" s="1" t="str">
        <f aca="false">IF(Deelnemers!D5="Nee","",CONCATENATE(Deelnemers!B18," - ",Deelnemers!B28))</f>
        <v>Team 3 - Team 5</v>
      </c>
      <c r="C37" s="106"/>
      <c r="D37" s="107"/>
      <c r="E37" s="78" t="n">
        <f aca="false">IF(C37="",0,IF(C37=D37,1,IF(C37&gt;D37,2,0)))</f>
        <v>0</v>
      </c>
      <c r="F37" s="88" t="n">
        <f aca="false">IF(C37="",0,IF(C37=D37,1,IF(C37&lt;D37,2,0)))</f>
        <v>0</v>
      </c>
    </row>
    <row r="38" customFormat="false" ht="14.25" hidden="false" customHeight="true" outlineLevel="0" collapsed="false">
      <c r="A38" s="133"/>
      <c r="B38" s="1" t="str">
        <f aca="false">IF(Deelnemers!D5="Nee","",CONCATENATE(Deelnemers!B23," - ",Deelnemers!B33))</f>
        <v>Team 4 - Team 6</v>
      </c>
      <c r="C38" s="134"/>
      <c r="D38" s="135"/>
      <c r="E38" s="78" t="n">
        <f aca="false">IF(C38="",0,IF(C38=D38,1,IF(C38&gt;D38,2,0)))</f>
        <v>0</v>
      </c>
      <c r="F38" s="88" t="n">
        <f aca="false">IF(C38="",0,IF(C38=D38,1,IF(C38&lt;D38,2,0)))</f>
        <v>0</v>
      </c>
    </row>
    <row r="39" customFormat="false" ht="14.25" hidden="false" customHeight="true" outlineLevel="0" collapsed="false">
      <c r="A39" s="91"/>
      <c r="C39" s="87"/>
      <c r="D39" s="87"/>
      <c r="F39" s="88"/>
    </row>
    <row r="40" customFormat="false" ht="14.25" hidden="false" customHeight="true" outlineLevel="0" collapsed="false">
      <c r="A40" s="91" t="s">
        <v>111</v>
      </c>
      <c r="C40" s="87"/>
      <c r="D40" s="87"/>
      <c r="F40" s="88"/>
    </row>
    <row r="41" customFormat="false" ht="14.25" hidden="false" customHeight="true" outlineLevel="0" collapsed="false">
      <c r="A41" s="95"/>
      <c r="B41" s="1" t="str">
        <f aca="false">IF(Deelnemers!D5="Nee","",CONCATENATE(Deelnemers!B8," - ",Deelnemers!B43))</f>
        <v>Team 1 - Team 8</v>
      </c>
      <c r="C41" s="96"/>
      <c r="D41" s="97"/>
      <c r="E41" s="78" t="n">
        <f aca="false">IF(C41="",0,IF(C41=D41,1,IF(C41&gt;D41,2,0)))</f>
        <v>0</v>
      </c>
      <c r="F41" s="88" t="n">
        <f aca="false">IF(C41="",0,IF(C41=D41,1,IF(C41&lt;D41,2,0)))</f>
        <v>0</v>
      </c>
    </row>
    <row r="42" customFormat="false" ht="14.25" hidden="false" customHeight="true" outlineLevel="0" collapsed="false">
      <c r="A42" s="105"/>
      <c r="B42" s="1" t="str">
        <f aca="false">IF(Deelnemers!D5="Nee","",CONCATENATE(Deelnemers!B13," - ",Deelnemers!B38))</f>
        <v>Team 2 - Team 7</v>
      </c>
      <c r="C42" s="106"/>
      <c r="D42" s="107"/>
      <c r="E42" s="78" t="n">
        <f aca="false">IF(C42="",0,IF(C42=D42,1,IF(C42&gt;D42,2,0)))</f>
        <v>0</v>
      </c>
      <c r="F42" s="88" t="n">
        <f aca="false">IF(C42="",0,IF(C42=D42,1,IF(C42&lt;D42,2,0)))</f>
        <v>0</v>
      </c>
    </row>
    <row r="43" customFormat="false" ht="14.25" hidden="false" customHeight="true" outlineLevel="0" collapsed="false">
      <c r="A43" s="122"/>
      <c r="B43" s="1" t="str">
        <f aca="false">IF(Deelnemers!D5="Nee","",CONCATENATE(Deelnemers!B18," - ",Deelnemers!B33))</f>
        <v>Team 3 - Team 6</v>
      </c>
      <c r="C43" s="106"/>
      <c r="D43" s="107"/>
      <c r="E43" s="78" t="n">
        <f aca="false">IF(C43="",0,IF(C43=D43,1,IF(C43&gt;D43,2,0)))</f>
        <v>0</v>
      </c>
      <c r="F43" s="88" t="n">
        <f aca="false">IF(C43="",0,IF(C43=D43,1,IF(C43&lt;D43,2,0)))</f>
        <v>0</v>
      </c>
    </row>
    <row r="44" customFormat="false" ht="14.25" hidden="false" customHeight="true" outlineLevel="0" collapsed="false">
      <c r="A44" s="133"/>
      <c r="B44" s="1" t="str">
        <f aca="false">IF(Deelnemers!D5="Nee","",CONCATENATE(Deelnemers!B23," - ",Deelnemers!B28))</f>
        <v>Team 4 - Team 5</v>
      </c>
      <c r="C44" s="134"/>
      <c r="D44" s="135"/>
      <c r="E44" s="78" t="n">
        <f aca="false">IF(C44="",0,IF(C44=D44,1,IF(C44&gt;D44,2,0)))</f>
        <v>0</v>
      </c>
      <c r="F44" s="88" t="n">
        <f aca="false">IF(C44="",0,IF(C44=D44,1,IF(C44&lt;D44,2,0)))</f>
        <v>0</v>
      </c>
    </row>
    <row r="45" customFormat="false" ht="14.25" hidden="false" customHeight="true" outlineLevel="0" collapsed="false">
      <c r="A45" s="102"/>
      <c r="B45" s="149"/>
      <c r="C45" s="151"/>
      <c r="D45" s="151"/>
      <c r="E45" s="152"/>
      <c r="F45" s="153"/>
    </row>
    <row r="46" customFormat="false" ht="14.25" hidden="false" customHeight="true" outlineLevel="0" collapsed="false">
      <c r="C46" s="87"/>
      <c r="D46" s="87"/>
    </row>
    <row r="47" customFormat="false" ht="14.25" hidden="false" customHeight="true" outlineLevel="0" collapsed="false">
      <c r="C47" s="87"/>
      <c r="D47" s="87"/>
    </row>
    <row r="48" customFormat="false" ht="14.25" hidden="false" customHeight="true" outlineLevel="0" collapsed="false">
      <c r="C48" s="87"/>
      <c r="D48" s="87"/>
    </row>
    <row r="49" customFormat="false" ht="14.25" hidden="false" customHeight="true" outlineLevel="0" collapsed="false">
      <c r="C49" s="87"/>
      <c r="D49" s="87"/>
    </row>
    <row r="50" customFormat="false" ht="14.25" hidden="false" customHeight="true" outlineLevel="0" collapsed="false">
      <c r="C50" s="87"/>
      <c r="D50" s="87"/>
    </row>
    <row r="51" customFormat="false" ht="14.25" hidden="false" customHeight="true" outlineLevel="0" collapsed="false">
      <c r="C51" s="87"/>
      <c r="D51" s="87"/>
    </row>
    <row r="52" customFormat="false" ht="14.25" hidden="false" customHeight="true" outlineLevel="0" collapsed="false">
      <c r="C52" s="87"/>
      <c r="D52" s="87"/>
    </row>
    <row r="53" customFormat="false" ht="14.25" hidden="false" customHeight="true" outlineLevel="0" collapsed="false">
      <c r="C53" s="87"/>
      <c r="D53" s="87"/>
    </row>
    <row r="54" customFormat="false" ht="14.25" hidden="false" customHeight="true" outlineLevel="0" collapsed="false">
      <c r="C54" s="87"/>
      <c r="D54" s="87"/>
    </row>
    <row r="55" customFormat="false" ht="14.25" hidden="false" customHeight="true" outlineLevel="0" collapsed="false">
      <c r="C55" s="87"/>
      <c r="D55" s="87"/>
    </row>
    <row r="56" customFormat="false" ht="14.25" hidden="false" customHeight="true" outlineLevel="0" collapsed="false">
      <c r="C56" s="87"/>
      <c r="D56" s="87"/>
    </row>
    <row r="57" customFormat="false" ht="14.25" hidden="false" customHeight="true" outlineLevel="0" collapsed="false">
      <c r="C57" s="87"/>
      <c r="D57" s="87"/>
    </row>
    <row r="58" customFormat="false" ht="14.25" hidden="false" customHeight="true" outlineLevel="0" collapsed="false">
      <c r="C58" s="87"/>
      <c r="D58" s="87"/>
    </row>
    <row r="59" customFormat="false" ht="14.25" hidden="false" customHeight="true" outlineLevel="0" collapsed="false">
      <c r="C59" s="87"/>
      <c r="D59" s="87"/>
    </row>
    <row r="60" customFormat="false" ht="14.25" hidden="false" customHeight="true" outlineLevel="0" collapsed="false">
      <c r="C60" s="87"/>
      <c r="D60" s="87"/>
    </row>
    <row r="61" customFormat="false" ht="14.25" hidden="false" customHeight="true" outlineLevel="0" collapsed="false">
      <c r="C61" s="87"/>
      <c r="D61" s="87"/>
    </row>
    <row r="62" customFormat="false" ht="14.25" hidden="false" customHeight="true" outlineLevel="0" collapsed="false">
      <c r="C62" s="87"/>
      <c r="D62" s="87"/>
    </row>
    <row r="63" customFormat="false" ht="14.25" hidden="false" customHeight="true" outlineLevel="0" collapsed="false">
      <c r="C63" s="87"/>
      <c r="D63" s="87"/>
    </row>
    <row r="64" customFormat="false" ht="14.25" hidden="false" customHeight="true" outlineLevel="0" collapsed="false">
      <c r="C64" s="87"/>
      <c r="D64" s="87"/>
    </row>
    <row r="65" customFormat="false" ht="14.25" hidden="false" customHeight="true" outlineLevel="0" collapsed="false">
      <c r="C65" s="87"/>
      <c r="D65" s="87"/>
    </row>
    <row r="66" customFormat="false" ht="14.25" hidden="false" customHeight="true" outlineLevel="0" collapsed="false">
      <c r="C66" s="87"/>
      <c r="D66" s="87"/>
    </row>
    <row r="67" customFormat="false" ht="14.25" hidden="false" customHeight="true" outlineLevel="0" collapsed="false">
      <c r="C67" s="87"/>
      <c r="D67" s="87"/>
    </row>
    <row r="68" customFormat="false" ht="14.25" hidden="false" customHeight="true" outlineLevel="0" collapsed="false">
      <c r="C68" s="87"/>
      <c r="D68" s="87"/>
    </row>
    <row r="69" customFormat="false" ht="14.25" hidden="false" customHeight="true" outlineLevel="0" collapsed="false">
      <c r="C69" s="87"/>
      <c r="D69" s="87"/>
    </row>
    <row r="70" customFormat="false" ht="14.25" hidden="false" customHeight="true" outlineLevel="0" collapsed="false">
      <c r="C70" s="87"/>
      <c r="D70" s="87"/>
    </row>
    <row r="71" customFormat="false" ht="14.25" hidden="false" customHeight="true" outlineLevel="0" collapsed="false">
      <c r="C71" s="87"/>
      <c r="D71" s="87"/>
    </row>
    <row r="72" customFormat="false" ht="14.25" hidden="false" customHeight="true" outlineLevel="0" collapsed="false">
      <c r="C72" s="87"/>
      <c r="D72" s="87"/>
    </row>
    <row r="73" customFormat="false" ht="14.25" hidden="false" customHeight="true" outlineLevel="0" collapsed="false">
      <c r="C73" s="87"/>
      <c r="D73" s="87"/>
    </row>
    <row r="74" customFormat="false" ht="14.25" hidden="false" customHeight="true" outlineLevel="0" collapsed="false">
      <c r="C74" s="87"/>
      <c r="D74" s="87"/>
    </row>
    <row r="75" customFormat="false" ht="14.25" hidden="false" customHeight="true" outlineLevel="0" collapsed="false">
      <c r="C75" s="87"/>
      <c r="D75" s="87"/>
    </row>
    <row r="76" customFormat="false" ht="14.25" hidden="false" customHeight="true" outlineLevel="0" collapsed="false">
      <c r="C76" s="87"/>
      <c r="D76" s="87"/>
    </row>
    <row r="77" customFormat="false" ht="14.25" hidden="false" customHeight="true" outlineLevel="0" collapsed="false">
      <c r="C77" s="87"/>
      <c r="D77" s="87"/>
    </row>
    <row r="78" customFormat="false" ht="14.25" hidden="false" customHeight="true" outlineLevel="0" collapsed="false">
      <c r="C78" s="87"/>
      <c r="D78" s="87"/>
    </row>
    <row r="79" customFormat="false" ht="14.25" hidden="false" customHeight="true" outlineLevel="0" collapsed="false">
      <c r="C79" s="87"/>
      <c r="D79" s="87"/>
    </row>
    <row r="80" customFormat="false" ht="14.25" hidden="false" customHeight="true" outlineLevel="0" collapsed="false">
      <c r="C80" s="87"/>
      <c r="D80" s="87"/>
    </row>
    <row r="81" customFormat="false" ht="14.25" hidden="false" customHeight="true" outlineLevel="0" collapsed="false">
      <c r="C81" s="87"/>
      <c r="D81" s="87"/>
    </row>
    <row r="82" customFormat="false" ht="14.25" hidden="false" customHeight="true" outlineLevel="0" collapsed="false">
      <c r="C82" s="87"/>
      <c r="D82" s="87"/>
    </row>
    <row r="83" customFormat="false" ht="14.25" hidden="false" customHeight="true" outlineLevel="0" collapsed="false">
      <c r="C83" s="87"/>
      <c r="D83" s="87"/>
    </row>
    <row r="84" customFormat="false" ht="14.25" hidden="false" customHeight="true" outlineLevel="0" collapsed="false">
      <c r="C84" s="87"/>
      <c r="D84" s="87"/>
    </row>
    <row r="85" customFormat="false" ht="14.25" hidden="false" customHeight="true" outlineLevel="0" collapsed="false">
      <c r="C85" s="87"/>
      <c r="D85" s="87"/>
    </row>
    <row r="86" customFormat="false" ht="14.25" hidden="false" customHeight="true" outlineLevel="0" collapsed="false">
      <c r="C86" s="87"/>
      <c r="D86" s="87"/>
    </row>
    <row r="87" customFormat="false" ht="14.25" hidden="false" customHeight="true" outlineLevel="0" collapsed="false">
      <c r="C87" s="87"/>
      <c r="D87" s="87"/>
    </row>
    <row r="88" customFormat="false" ht="14.25" hidden="false" customHeight="true" outlineLevel="0" collapsed="false">
      <c r="C88" s="87"/>
      <c r="D88" s="87"/>
    </row>
    <row r="89" customFormat="false" ht="14.25" hidden="false" customHeight="true" outlineLevel="0" collapsed="false">
      <c r="C89" s="87"/>
      <c r="D89" s="87"/>
    </row>
    <row r="90" customFormat="false" ht="14.25" hidden="false" customHeight="true" outlineLevel="0" collapsed="false">
      <c r="C90" s="87"/>
      <c r="D90" s="87"/>
    </row>
    <row r="91" customFormat="false" ht="14.25" hidden="false" customHeight="true" outlineLevel="0" collapsed="false">
      <c r="C91" s="87"/>
      <c r="D91" s="87"/>
    </row>
    <row r="92" customFormat="false" ht="14.25" hidden="false" customHeight="true" outlineLevel="0" collapsed="false">
      <c r="C92" s="87"/>
      <c r="D92" s="87"/>
    </row>
    <row r="93" customFormat="false" ht="14.25" hidden="false" customHeight="true" outlineLevel="0" collapsed="false">
      <c r="C93" s="87"/>
      <c r="D93" s="87"/>
    </row>
    <row r="94" customFormat="false" ht="14.25" hidden="false" customHeight="true" outlineLevel="0" collapsed="false">
      <c r="C94" s="87"/>
      <c r="D94" s="87"/>
    </row>
    <row r="95" customFormat="false" ht="14.25" hidden="false" customHeight="true" outlineLevel="0" collapsed="false">
      <c r="C95" s="87"/>
      <c r="D95" s="87"/>
    </row>
    <row r="96" customFormat="false" ht="14.25" hidden="false" customHeight="true" outlineLevel="0" collapsed="false">
      <c r="C96" s="87"/>
      <c r="D96" s="87"/>
    </row>
    <row r="97" customFormat="false" ht="14.25" hidden="false" customHeight="true" outlineLevel="0" collapsed="false">
      <c r="C97" s="87"/>
      <c r="D97" s="87"/>
    </row>
    <row r="98" customFormat="false" ht="14.25" hidden="false" customHeight="true" outlineLevel="0" collapsed="false">
      <c r="C98" s="87"/>
      <c r="D98" s="87"/>
    </row>
    <row r="99" customFormat="false" ht="14.25" hidden="false" customHeight="true" outlineLevel="0" collapsed="false">
      <c r="C99" s="87"/>
      <c r="D99" s="87"/>
    </row>
    <row r="100" customFormat="false" ht="14.25" hidden="false" customHeight="true" outlineLevel="0" collapsed="false">
      <c r="C100" s="87"/>
      <c r="D100" s="87"/>
    </row>
    <row r="101" customFormat="false" ht="14.25" hidden="false" customHeight="true" outlineLevel="0" collapsed="false">
      <c r="C101" s="87"/>
      <c r="D101" s="87"/>
    </row>
    <row r="102" customFormat="false" ht="14.25" hidden="false" customHeight="true" outlineLevel="0" collapsed="false">
      <c r="C102" s="87"/>
      <c r="D102" s="87"/>
    </row>
    <row r="103" customFormat="false" ht="14.25" hidden="false" customHeight="true" outlineLevel="0" collapsed="false">
      <c r="C103" s="87"/>
      <c r="D103" s="87"/>
    </row>
    <row r="104" customFormat="false" ht="14.25" hidden="false" customHeight="true" outlineLevel="0" collapsed="false">
      <c r="C104" s="87"/>
      <c r="D104" s="87"/>
    </row>
    <row r="105" customFormat="false" ht="14.25" hidden="false" customHeight="true" outlineLevel="0" collapsed="false">
      <c r="C105" s="87"/>
      <c r="D105" s="87"/>
    </row>
    <row r="106" customFormat="false" ht="14.25" hidden="false" customHeight="true" outlineLevel="0" collapsed="false">
      <c r="C106" s="87"/>
      <c r="D106" s="87"/>
    </row>
    <row r="107" customFormat="false" ht="14.25" hidden="false" customHeight="true" outlineLevel="0" collapsed="false">
      <c r="C107" s="87"/>
      <c r="D107" s="87"/>
    </row>
    <row r="108" customFormat="false" ht="14.25" hidden="false" customHeight="true" outlineLevel="0" collapsed="false">
      <c r="C108" s="87"/>
      <c r="D108" s="87"/>
    </row>
    <row r="109" customFormat="false" ht="14.25" hidden="false" customHeight="true" outlineLevel="0" collapsed="false">
      <c r="C109" s="87"/>
      <c r="D109" s="87"/>
    </row>
    <row r="110" customFormat="false" ht="14.25" hidden="false" customHeight="true" outlineLevel="0" collapsed="false">
      <c r="C110" s="87"/>
      <c r="D110" s="87"/>
    </row>
    <row r="111" customFormat="false" ht="14.25" hidden="false" customHeight="true" outlineLevel="0" collapsed="false">
      <c r="C111" s="87"/>
      <c r="D111" s="87"/>
    </row>
    <row r="112" customFormat="false" ht="14.25" hidden="false" customHeight="true" outlineLevel="0" collapsed="false">
      <c r="C112" s="87"/>
      <c r="D112" s="87"/>
    </row>
    <row r="113" customFormat="false" ht="14.25" hidden="false" customHeight="true" outlineLevel="0" collapsed="false">
      <c r="C113" s="87"/>
      <c r="D113" s="87"/>
    </row>
    <row r="114" customFormat="false" ht="14.25" hidden="false" customHeight="true" outlineLevel="0" collapsed="false">
      <c r="C114" s="87"/>
      <c r="D114" s="87"/>
    </row>
    <row r="115" customFormat="false" ht="14.25" hidden="false" customHeight="true" outlineLevel="0" collapsed="false">
      <c r="C115" s="87"/>
      <c r="D115" s="87"/>
    </row>
    <row r="116" customFormat="false" ht="14.25" hidden="false" customHeight="true" outlineLevel="0" collapsed="false">
      <c r="C116" s="87"/>
      <c r="D116" s="87"/>
    </row>
    <row r="117" customFormat="false" ht="14.25" hidden="false" customHeight="true" outlineLevel="0" collapsed="false">
      <c r="C117" s="87"/>
      <c r="D117" s="87"/>
    </row>
    <row r="118" customFormat="false" ht="14.25" hidden="false" customHeight="true" outlineLevel="0" collapsed="false">
      <c r="C118" s="87"/>
      <c r="D118" s="87"/>
    </row>
    <row r="119" customFormat="false" ht="14.25" hidden="false" customHeight="true" outlineLevel="0" collapsed="false">
      <c r="C119" s="87"/>
      <c r="D119" s="87"/>
    </row>
    <row r="120" customFormat="false" ht="14.25" hidden="false" customHeight="true" outlineLevel="0" collapsed="false">
      <c r="C120" s="87"/>
      <c r="D120" s="87"/>
    </row>
    <row r="121" customFormat="false" ht="14.25" hidden="false" customHeight="true" outlineLevel="0" collapsed="false">
      <c r="C121" s="87"/>
      <c r="D121" s="87"/>
    </row>
    <row r="122" customFormat="false" ht="14.25" hidden="false" customHeight="true" outlineLevel="0" collapsed="false">
      <c r="C122" s="87"/>
      <c r="D122" s="87"/>
    </row>
    <row r="123" customFormat="false" ht="14.25" hidden="false" customHeight="true" outlineLevel="0" collapsed="false">
      <c r="C123" s="87"/>
      <c r="D123" s="87"/>
    </row>
    <row r="124" customFormat="false" ht="14.25" hidden="false" customHeight="true" outlineLevel="0" collapsed="false">
      <c r="C124" s="87"/>
      <c r="D124" s="87"/>
    </row>
    <row r="125" customFormat="false" ht="14.25" hidden="false" customHeight="true" outlineLevel="0" collapsed="false">
      <c r="C125" s="87"/>
      <c r="D125" s="87"/>
    </row>
    <row r="126" customFormat="false" ht="14.25" hidden="false" customHeight="true" outlineLevel="0" collapsed="false">
      <c r="C126" s="87"/>
      <c r="D126" s="87"/>
    </row>
    <row r="127" customFormat="false" ht="14.25" hidden="false" customHeight="true" outlineLevel="0" collapsed="false">
      <c r="C127" s="87"/>
      <c r="D127" s="87"/>
    </row>
    <row r="128" customFormat="false" ht="14.25" hidden="false" customHeight="true" outlineLevel="0" collapsed="false">
      <c r="C128" s="87"/>
      <c r="D128" s="87"/>
    </row>
    <row r="129" customFormat="false" ht="14.25" hidden="false" customHeight="true" outlineLevel="0" collapsed="false">
      <c r="C129" s="87"/>
      <c r="D129" s="87"/>
    </row>
    <row r="130" customFormat="false" ht="14.25" hidden="false" customHeight="true" outlineLevel="0" collapsed="false">
      <c r="C130" s="87"/>
      <c r="D130" s="87"/>
    </row>
    <row r="131" customFormat="false" ht="14.25" hidden="false" customHeight="true" outlineLevel="0" collapsed="false">
      <c r="C131" s="87"/>
      <c r="D131" s="87"/>
    </row>
    <row r="132" customFormat="false" ht="14.25" hidden="false" customHeight="true" outlineLevel="0" collapsed="false">
      <c r="C132" s="87"/>
      <c r="D132" s="87"/>
    </row>
    <row r="133" customFormat="false" ht="14.25" hidden="false" customHeight="true" outlineLevel="0" collapsed="false">
      <c r="C133" s="87"/>
      <c r="D133" s="87"/>
    </row>
    <row r="134" customFormat="false" ht="14.25" hidden="false" customHeight="true" outlineLevel="0" collapsed="false">
      <c r="C134" s="87"/>
      <c r="D134" s="87"/>
    </row>
    <row r="135" customFormat="false" ht="14.25" hidden="false" customHeight="true" outlineLevel="0" collapsed="false">
      <c r="C135" s="87"/>
      <c r="D135" s="87"/>
    </row>
    <row r="136" customFormat="false" ht="14.25" hidden="false" customHeight="true" outlineLevel="0" collapsed="false">
      <c r="C136" s="87"/>
      <c r="D136" s="87"/>
    </row>
    <row r="137" customFormat="false" ht="14.25" hidden="false" customHeight="true" outlineLevel="0" collapsed="false">
      <c r="C137" s="87"/>
      <c r="D137" s="87"/>
    </row>
    <row r="138" customFormat="false" ht="14.25" hidden="false" customHeight="true" outlineLevel="0" collapsed="false">
      <c r="C138" s="87"/>
      <c r="D138" s="87"/>
    </row>
    <row r="139" customFormat="false" ht="14.25" hidden="false" customHeight="true" outlineLevel="0" collapsed="false">
      <c r="C139" s="87"/>
      <c r="D139" s="87"/>
    </row>
    <row r="140" customFormat="false" ht="14.25" hidden="false" customHeight="true" outlineLevel="0" collapsed="false">
      <c r="C140" s="87"/>
      <c r="D140" s="87"/>
    </row>
    <row r="141" customFormat="false" ht="14.25" hidden="false" customHeight="true" outlineLevel="0" collapsed="false">
      <c r="C141" s="87"/>
      <c r="D141" s="87"/>
    </row>
    <row r="142" customFormat="false" ht="14.25" hidden="false" customHeight="true" outlineLevel="0" collapsed="false">
      <c r="C142" s="87"/>
      <c r="D142" s="87"/>
    </row>
    <row r="143" customFormat="false" ht="14.25" hidden="false" customHeight="true" outlineLevel="0" collapsed="false">
      <c r="C143" s="87"/>
      <c r="D143" s="87"/>
    </row>
    <row r="144" customFormat="false" ht="14.25" hidden="false" customHeight="true" outlineLevel="0" collapsed="false">
      <c r="C144" s="87"/>
      <c r="D144" s="87"/>
    </row>
    <row r="145" customFormat="false" ht="14.25" hidden="false" customHeight="true" outlineLevel="0" collapsed="false">
      <c r="C145" s="87"/>
      <c r="D145" s="87"/>
    </row>
    <row r="146" customFormat="false" ht="14.25" hidden="false" customHeight="true" outlineLevel="0" collapsed="false">
      <c r="C146" s="87"/>
      <c r="D146" s="87"/>
    </row>
    <row r="147" customFormat="false" ht="14.25" hidden="false" customHeight="true" outlineLevel="0" collapsed="false">
      <c r="C147" s="87"/>
      <c r="D147" s="87"/>
    </row>
    <row r="148" customFormat="false" ht="14.25" hidden="false" customHeight="true" outlineLevel="0" collapsed="false">
      <c r="C148" s="87"/>
      <c r="D148" s="87"/>
    </row>
    <row r="149" customFormat="false" ht="14.25" hidden="false" customHeight="true" outlineLevel="0" collapsed="false">
      <c r="C149" s="87"/>
      <c r="D149" s="87"/>
    </row>
    <row r="150" customFormat="false" ht="14.25" hidden="false" customHeight="true" outlineLevel="0" collapsed="false">
      <c r="C150" s="87"/>
      <c r="D150" s="87"/>
    </row>
    <row r="151" customFormat="false" ht="14.25" hidden="false" customHeight="true" outlineLevel="0" collapsed="false">
      <c r="C151" s="87"/>
      <c r="D151" s="87"/>
    </row>
    <row r="152" customFormat="false" ht="14.25" hidden="false" customHeight="true" outlineLevel="0" collapsed="false">
      <c r="C152" s="87"/>
      <c r="D152" s="87"/>
    </row>
    <row r="153" customFormat="false" ht="14.25" hidden="false" customHeight="true" outlineLevel="0" collapsed="false">
      <c r="C153" s="87"/>
      <c r="D153" s="87"/>
    </row>
    <row r="154" customFormat="false" ht="14.25" hidden="false" customHeight="true" outlineLevel="0" collapsed="false">
      <c r="C154" s="87"/>
      <c r="D154" s="87"/>
    </row>
    <row r="155" customFormat="false" ht="14.25" hidden="false" customHeight="true" outlineLevel="0" collapsed="false">
      <c r="C155" s="87"/>
      <c r="D155" s="87"/>
    </row>
    <row r="156" customFormat="false" ht="14.25" hidden="false" customHeight="true" outlineLevel="0" collapsed="false">
      <c r="C156" s="87"/>
      <c r="D156" s="87"/>
    </row>
    <row r="157" customFormat="false" ht="14.25" hidden="false" customHeight="true" outlineLevel="0" collapsed="false">
      <c r="C157" s="87"/>
      <c r="D157" s="87"/>
    </row>
    <row r="158" customFormat="false" ht="14.25" hidden="false" customHeight="true" outlineLevel="0" collapsed="false">
      <c r="C158" s="87"/>
      <c r="D158" s="87"/>
    </row>
    <row r="159" customFormat="false" ht="14.25" hidden="false" customHeight="true" outlineLevel="0" collapsed="false">
      <c r="C159" s="87"/>
      <c r="D159" s="87"/>
    </row>
    <row r="160" customFormat="false" ht="14.25" hidden="false" customHeight="true" outlineLevel="0" collapsed="false">
      <c r="C160" s="87"/>
      <c r="D160" s="87"/>
    </row>
    <row r="161" customFormat="false" ht="14.25" hidden="false" customHeight="true" outlineLevel="0" collapsed="false">
      <c r="C161" s="87"/>
      <c r="D161" s="87"/>
    </row>
    <row r="162" customFormat="false" ht="14.25" hidden="false" customHeight="true" outlineLevel="0" collapsed="false">
      <c r="C162" s="87"/>
      <c r="D162" s="87"/>
    </row>
    <row r="163" customFormat="false" ht="14.25" hidden="false" customHeight="true" outlineLevel="0" collapsed="false">
      <c r="C163" s="87"/>
      <c r="D163" s="87"/>
    </row>
    <row r="164" customFormat="false" ht="14.25" hidden="false" customHeight="true" outlineLevel="0" collapsed="false">
      <c r="C164" s="87"/>
      <c r="D164" s="87"/>
    </row>
    <row r="165" customFormat="false" ht="14.25" hidden="false" customHeight="true" outlineLevel="0" collapsed="false">
      <c r="C165" s="87"/>
      <c r="D165" s="87"/>
    </row>
    <row r="166" customFormat="false" ht="14.25" hidden="false" customHeight="true" outlineLevel="0" collapsed="false">
      <c r="C166" s="87"/>
      <c r="D166" s="87"/>
    </row>
    <row r="167" customFormat="false" ht="14.25" hidden="false" customHeight="true" outlineLevel="0" collapsed="false">
      <c r="C167" s="87"/>
      <c r="D167" s="87"/>
    </row>
    <row r="168" customFormat="false" ht="14.25" hidden="false" customHeight="true" outlineLevel="0" collapsed="false">
      <c r="C168" s="87"/>
      <c r="D168" s="87"/>
    </row>
    <row r="169" customFormat="false" ht="14.25" hidden="false" customHeight="true" outlineLevel="0" collapsed="false">
      <c r="C169" s="87"/>
      <c r="D169" s="87"/>
    </row>
    <row r="170" customFormat="false" ht="14.25" hidden="false" customHeight="true" outlineLevel="0" collapsed="false">
      <c r="C170" s="87"/>
      <c r="D170" s="87"/>
    </row>
    <row r="171" customFormat="false" ht="14.25" hidden="false" customHeight="true" outlineLevel="0" collapsed="false">
      <c r="C171" s="87"/>
      <c r="D171" s="87"/>
    </row>
    <row r="172" customFormat="false" ht="14.25" hidden="false" customHeight="true" outlineLevel="0" collapsed="false">
      <c r="C172" s="87"/>
      <c r="D172" s="87"/>
    </row>
    <row r="173" customFormat="false" ht="14.25" hidden="false" customHeight="true" outlineLevel="0" collapsed="false">
      <c r="C173" s="87"/>
      <c r="D173" s="87"/>
    </row>
    <row r="174" customFormat="false" ht="14.25" hidden="false" customHeight="true" outlineLevel="0" collapsed="false">
      <c r="C174" s="87"/>
      <c r="D174" s="87"/>
    </row>
    <row r="175" customFormat="false" ht="14.25" hidden="false" customHeight="true" outlineLevel="0" collapsed="false">
      <c r="C175" s="87"/>
      <c r="D175" s="87"/>
    </row>
    <row r="176" customFormat="false" ht="14.25" hidden="false" customHeight="true" outlineLevel="0" collapsed="false">
      <c r="C176" s="87"/>
      <c r="D176" s="87"/>
    </row>
    <row r="177" customFormat="false" ht="14.25" hidden="false" customHeight="true" outlineLevel="0" collapsed="false">
      <c r="C177" s="87"/>
      <c r="D177" s="87"/>
    </row>
    <row r="178" customFormat="false" ht="14.25" hidden="false" customHeight="true" outlineLevel="0" collapsed="false">
      <c r="C178" s="87"/>
      <c r="D178" s="87"/>
    </row>
    <row r="179" customFormat="false" ht="14.25" hidden="false" customHeight="true" outlineLevel="0" collapsed="false">
      <c r="C179" s="87"/>
      <c r="D179" s="87"/>
    </row>
    <row r="180" customFormat="false" ht="14.25" hidden="false" customHeight="true" outlineLevel="0" collapsed="false">
      <c r="C180" s="87"/>
      <c r="D180" s="87"/>
    </row>
    <row r="181" customFormat="false" ht="14.25" hidden="false" customHeight="true" outlineLevel="0" collapsed="false">
      <c r="C181" s="87"/>
      <c r="D181" s="87"/>
    </row>
    <row r="182" customFormat="false" ht="14.25" hidden="false" customHeight="true" outlineLevel="0" collapsed="false">
      <c r="C182" s="87"/>
      <c r="D182" s="87"/>
    </row>
    <row r="183" customFormat="false" ht="14.25" hidden="false" customHeight="true" outlineLevel="0" collapsed="false">
      <c r="C183" s="87"/>
      <c r="D183" s="87"/>
    </row>
    <row r="184" customFormat="false" ht="14.25" hidden="false" customHeight="true" outlineLevel="0" collapsed="false">
      <c r="C184" s="87"/>
      <c r="D184" s="87"/>
    </row>
    <row r="185" customFormat="false" ht="14.25" hidden="false" customHeight="true" outlineLevel="0" collapsed="false">
      <c r="C185" s="87"/>
      <c r="D185" s="87"/>
    </row>
    <row r="186" customFormat="false" ht="14.25" hidden="false" customHeight="true" outlineLevel="0" collapsed="false">
      <c r="C186" s="87"/>
      <c r="D186" s="87"/>
    </row>
    <row r="187" customFormat="false" ht="14.25" hidden="false" customHeight="true" outlineLevel="0" collapsed="false">
      <c r="C187" s="87"/>
      <c r="D187" s="87"/>
    </row>
    <row r="188" customFormat="false" ht="14.25" hidden="false" customHeight="true" outlineLevel="0" collapsed="false">
      <c r="C188" s="87"/>
      <c r="D188" s="87"/>
    </row>
    <row r="189" customFormat="false" ht="14.25" hidden="false" customHeight="true" outlineLevel="0" collapsed="false">
      <c r="C189" s="87"/>
      <c r="D189" s="87"/>
    </row>
    <row r="190" customFormat="false" ht="14.25" hidden="false" customHeight="true" outlineLevel="0" collapsed="false">
      <c r="C190" s="87"/>
      <c r="D190" s="87"/>
    </row>
    <row r="191" customFormat="false" ht="14.25" hidden="false" customHeight="true" outlineLevel="0" collapsed="false">
      <c r="C191" s="87"/>
      <c r="D191" s="87"/>
    </row>
    <row r="192" customFormat="false" ht="14.25" hidden="false" customHeight="true" outlineLevel="0" collapsed="false">
      <c r="C192" s="87"/>
      <c r="D192" s="87"/>
    </row>
    <row r="193" customFormat="false" ht="14.25" hidden="false" customHeight="true" outlineLevel="0" collapsed="false">
      <c r="C193" s="87"/>
      <c r="D193" s="87"/>
    </row>
    <row r="194" customFormat="false" ht="14.25" hidden="false" customHeight="true" outlineLevel="0" collapsed="false">
      <c r="C194" s="87"/>
      <c r="D194" s="87"/>
    </row>
    <row r="195" customFormat="false" ht="14.25" hidden="false" customHeight="true" outlineLevel="0" collapsed="false">
      <c r="C195" s="87"/>
      <c r="D195" s="87"/>
    </row>
    <row r="196" customFormat="false" ht="14.25" hidden="false" customHeight="true" outlineLevel="0" collapsed="false">
      <c r="C196" s="87"/>
      <c r="D196" s="87"/>
    </row>
    <row r="197" customFormat="false" ht="14.25" hidden="false" customHeight="true" outlineLevel="0" collapsed="false">
      <c r="C197" s="87"/>
      <c r="D197" s="87"/>
    </row>
    <row r="198" customFormat="false" ht="14.25" hidden="false" customHeight="true" outlineLevel="0" collapsed="false">
      <c r="C198" s="87"/>
      <c r="D198" s="87"/>
    </row>
    <row r="199" customFormat="false" ht="14.25" hidden="false" customHeight="true" outlineLevel="0" collapsed="false">
      <c r="C199" s="87"/>
      <c r="D199" s="87"/>
    </row>
    <row r="200" customFormat="false" ht="14.25" hidden="false" customHeight="true" outlineLevel="0" collapsed="false">
      <c r="C200" s="87"/>
      <c r="D200" s="87"/>
    </row>
    <row r="201" customFormat="false" ht="14.25" hidden="false" customHeight="true" outlineLevel="0" collapsed="false">
      <c r="C201" s="87"/>
      <c r="D201" s="87"/>
    </row>
    <row r="202" customFormat="false" ht="14.25" hidden="false" customHeight="true" outlineLevel="0" collapsed="false">
      <c r="C202" s="87"/>
      <c r="D202" s="87"/>
    </row>
    <row r="203" customFormat="false" ht="14.25" hidden="false" customHeight="true" outlineLevel="0" collapsed="false">
      <c r="C203" s="87"/>
      <c r="D203" s="87"/>
    </row>
    <row r="204" customFormat="false" ht="14.25" hidden="false" customHeight="true" outlineLevel="0" collapsed="false">
      <c r="C204" s="87"/>
      <c r="D204" s="87"/>
    </row>
    <row r="205" customFormat="false" ht="14.25" hidden="false" customHeight="true" outlineLevel="0" collapsed="false">
      <c r="C205" s="87"/>
      <c r="D205" s="87"/>
    </row>
    <row r="206" customFormat="false" ht="14.25" hidden="false" customHeight="true" outlineLevel="0" collapsed="false">
      <c r="C206" s="87"/>
      <c r="D206" s="87"/>
    </row>
    <row r="207" customFormat="false" ht="14.25" hidden="false" customHeight="true" outlineLevel="0" collapsed="false">
      <c r="C207" s="87"/>
      <c r="D207" s="87"/>
    </row>
    <row r="208" customFormat="false" ht="14.25" hidden="false" customHeight="true" outlineLevel="0" collapsed="false">
      <c r="C208" s="87"/>
      <c r="D208" s="87"/>
    </row>
    <row r="209" customFormat="false" ht="14.25" hidden="false" customHeight="true" outlineLevel="0" collapsed="false">
      <c r="C209" s="87"/>
      <c r="D209" s="87"/>
    </row>
    <row r="210" customFormat="false" ht="14.25" hidden="false" customHeight="true" outlineLevel="0" collapsed="false">
      <c r="C210" s="87"/>
      <c r="D210" s="87"/>
    </row>
    <row r="211" customFormat="false" ht="14.25" hidden="false" customHeight="true" outlineLevel="0" collapsed="false">
      <c r="C211" s="87"/>
      <c r="D211" s="87"/>
    </row>
    <row r="212" customFormat="false" ht="14.25" hidden="false" customHeight="true" outlineLevel="0" collapsed="false">
      <c r="C212" s="87"/>
      <c r="D212" s="87"/>
    </row>
    <row r="213" customFormat="false" ht="14.25" hidden="false" customHeight="true" outlineLevel="0" collapsed="false">
      <c r="C213" s="87"/>
      <c r="D213" s="87"/>
    </row>
    <row r="214" customFormat="false" ht="14.25" hidden="false" customHeight="true" outlineLevel="0" collapsed="false">
      <c r="C214" s="87"/>
      <c r="D214" s="87"/>
    </row>
    <row r="215" customFormat="false" ht="14.25" hidden="false" customHeight="true" outlineLevel="0" collapsed="false">
      <c r="C215" s="87"/>
      <c r="D215" s="87"/>
    </row>
    <row r="216" customFormat="false" ht="14.25" hidden="false" customHeight="true" outlineLevel="0" collapsed="false">
      <c r="C216" s="87"/>
      <c r="D216" s="87"/>
    </row>
    <row r="217" customFormat="false" ht="14.25" hidden="false" customHeight="true" outlineLevel="0" collapsed="false">
      <c r="C217" s="87"/>
      <c r="D217" s="87"/>
    </row>
    <row r="218" customFormat="false" ht="14.25" hidden="false" customHeight="true" outlineLevel="0" collapsed="false">
      <c r="C218" s="87"/>
      <c r="D218" s="87"/>
    </row>
    <row r="219" customFormat="false" ht="14.25" hidden="false" customHeight="true" outlineLevel="0" collapsed="false">
      <c r="C219" s="87"/>
      <c r="D219" s="87"/>
    </row>
    <row r="220" customFormat="false" ht="14.25" hidden="false" customHeight="true" outlineLevel="0" collapsed="false">
      <c r="C220" s="87"/>
      <c r="D220" s="87"/>
    </row>
    <row r="221" customFormat="false" ht="14.25" hidden="false" customHeight="true" outlineLevel="0" collapsed="false">
      <c r="C221" s="87"/>
      <c r="D221" s="87"/>
    </row>
    <row r="222" customFormat="false" ht="14.25" hidden="false" customHeight="true" outlineLevel="0" collapsed="false">
      <c r="C222" s="87"/>
      <c r="D222" s="87"/>
    </row>
    <row r="223" customFormat="false" ht="14.25" hidden="false" customHeight="true" outlineLevel="0" collapsed="false">
      <c r="C223" s="87"/>
      <c r="D223" s="87"/>
    </row>
    <row r="224" customFormat="false" ht="14.25" hidden="false" customHeight="true" outlineLevel="0" collapsed="false">
      <c r="C224" s="87"/>
      <c r="D224" s="87"/>
    </row>
    <row r="225" customFormat="false" ht="14.25" hidden="false" customHeight="true" outlineLevel="0" collapsed="false">
      <c r="C225" s="87"/>
      <c r="D225" s="87"/>
    </row>
    <row r="226" customFormat="false" ht="14.25" hidden="false" customHeight="true" outlineLevel="0" collapsed="false">
      <c r="C226" s="87"/>
      <c r="D226" s="87"/>
    </row>
    <row r="227" customFormat="false" ht="14.25" hidden="false" customHeight="true" outlineLevel="0" collapsed="false">
      <c r="C227" s="87"/>
      <c r="D227" s="87"/>
    </row>
    <row r="228" customFormat="false" ht="14.25" hidden="false" customHeight="true" outlineLevel="0" collapsed="false">
      <c r="C228" s="87"/>
      <c r="D228" s="87"/>
    </row>
    <row r="229" customFormat="false" ht="14.25" hidden="false" customHeight="true" outlineLevel="0" collapsed="false">
      <c r="C229" s="87"/>
      <c r="D229" s="87"/>
    </row>
    <row r="230" customFormat="false" ht="14.25" hidden="false" customHeight="true" outlineLevel="0" collapsed="false">
      <c r="C230" s="87"/>
      <c r="D230" s="87"/>
    </row>
    <row r="231" customFormat="false" ht="14.25" hidden="false" customHeight="true" outlineLevel="0" collapsed="false">
      <c r="C231" s="87"/>
      <c r="D231" s="87"/>
    </row>
    <row r="232" customFormat="false" ht="14.25" hidden="false" customHeight="true" outlineLevel="0" collapsed="false">
      <c r="C232" s="87"/>
      <c r="D232" s="87"/>
    </row>
    <row r="233" customFormat="false" ht="14.25" hidden="false" customHeight="true" outlineLevel="0" collapsed="false">
      <c r="C233" s="87"/>
      <c r="D233" s="87"/>
    </row>
    <row r="234" customFormat="false" ht="14.25" hidden="false" customHeight="true" outlineLevel="0" collapsed="false">
      <c r="C234" s="87"/>
      <c r="D234" s="87"/>
    </row>
    <row r="235" customFormat="false" ht="14.25" hidden="false" customHeight="true" outlineLevel="0" collapsed="false">
      <c r="C235" s="87"/>
      <c r="D235" s="87"/>
    </row>
    <row r="236" customFormat="false" ht="14.25" hidden="false" customHeight="true" outlineLevel="0" collapsed="false">
      <c r="C236" s="87"/>
      <c r="D236" s="87"/>
    </row>
    <row r="237" customFormat="false" ht="14.25" hidden="false" customHeight="true" outlineLevel="0" collapsed="false">
      <c r="C237" s="87"/>
      <c r="D237" s="87"/>
    </row>
    <row r="238" customFormat="false" ht="14.25" hidden="false" customHeight="true" outlineLevel="0" collapsed="false">
      <c r="C238" s="87"/>
      <c r="D238" s="87"/>
    </row>
    <row r="239" customFormat="false" ht="14.25" hidden="false" customHeight="true" outlineLevel="0" collapsed="false">
      <c r="C239" s="87"/>
      <c r="D239" s="87"/>
    </row>
    <row r="240" customFormat="false" ht="14.25" hidden="false" customHeight="true" outlineLevel="0" collapsed="false">
      <c r="C240" s="87"/>
      <c r="D240" s="87"/>
    </row>
    <row r="241" customFormat="false" ht="14.25" hidden="false" customHeight="true" outlineLevel="0" collapsed="false">
      <c r="C241" s="87"/>
      <c r="D241" s="87"/>
    </row>
    <row r="242" customFormat="false" ht="14.25" hidden="false" customHeight="true" outlineLevel="0" collapsed="false">
      <c r="C242" s="87"/>
      <c r="D242" s="87"/>
    </row>
    <row r="243" customFormat="false" ht="14.25" hidden="false" customHeight="true" outlineLevel="0" collapsed="false">
      <c r="C243" s="87"/>
      <c r="D243" s="87"/>
    </row>
    <row r="244" customFormat="false" ht="14.25" hidden="false" customHeight="true" outlineLevel="0" collapsed="false">
      <c r="C244" s="87"/>
      <c r="D244" s="87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sheet="true" password="c982" objects="true" scenarios="true"/>
  <mergeCells count="11">
    <mergeCell ref="B2:F2"/>
    <mergeCell ref="I2:Y2"/>
    <mergeCell ref="C4:D4"/>
    <mergeCell ref="E4:F4"/>
    <mergeCell ref="K4:L4"/>
    <mergeCell ref="M4:N4"/>
    <mergeCell ref="O4:P4"/>
    <mergeCell ref="Q4:R4"/>
    <mergeCell ref="S4:T4"/>
    <mergeCell ref="U4:V4"/>
    <mergeCell ref="W4:X4"/>
  </mergeCells>
  <printOptions headings="false" gridLines="false" gridLinesSet="true" horizontalCentered="true" verticalCentered="true"/>
  <pageMargins left="0.196527777777778" right="0.196527777777778" top="0.747916666666667" bottom="0.747916666666667" header="0" footer="0"/>
  <pageSetup paperSize="9" scale="125" fitToWidth="1" fitToHeight="1" pageOrder="downThenOver" orientation="landscape" blackAndWhite="false" draft="false" cellComments="none" horizontalDpi="300" verticalDpi="300" copies="1"/>
  <headerFooter differentFirst="false" differentOddEven="false">
    <oddHeader>&amp;CTussenstand</oddHeader>
    <oddFooter>&amp;C&amp;D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6.28"/>
    <col collapsed="false" customWidth="true" hidden="false" outlineLevel="0" max="2" min="2" style="1" width="38.43"/>
    <col collapsed="false" customWidth="true" hidden="false" outlineLevel="0" max="3" min="3" style="1" width="8.86"/>
    <col collapsed="false" customWidth="true" hidden="false" outlineLevel="0" max="5" min="4" style="1" width="12.86"/>
    <col collapsed="false" customWidth="true" hidden="false" outlineLevel="0" max="6" min="6" style="1" width="9.43"/>
    <col collapsed="false" customWidth="true" hidden="false" outlineLevel="0" max="7" min="7" style="1" width="11.14"/>
    <col collapsed="false" customWidth="false" hidden="false" outlineLevel="0" max="16384" min="8" style="1" width="14.43"/>
  </cols>
  <sheetData>
    <row r="1" customFormat="false" ht="15" hidden="false" customHeight="false" outlineLevel="0" collapsed="false"/>
    <row r="2" customFormat="false" ht="22.05" hidden="false" customHeight="false" outlineLevel="0" collapsed="false">
      <c r="A2" s="154" t="str">
        <f aca="false">"Uitslag "&amp;Deelnemers!B1</f>
        <v>Uitslag Bondscompetie Teams</v>
      </c>
      <c r="B2" s="154"/>
      <c r="C2" s="154"/>
      <c r="D2" s="154"/>
      <c r="E2" s="154"/>
      <c r="F2" s="154"/>
      <c r="G2" s="154"/>
    </row>
    <row r="3" customFormat="false" ht="22.05" hidden="false" customHeight="false" outlineLevel="0" collapsed="false">
      <c r="A3" s="154" t="str">
        <f aca="false">Deelnemers!B2</f>
        <v>klasse</v>
      </c>
      <c r="B3" s="154"/>
      <c r="C3" s="154"/>
      <c r="D3" s="154"/>
      <c r="E3" s="154"/>
      <c r="F3" s="154"/>
      <c r="G3" s="154"/>
    </row>
    <row r="4" customFormat="false" ht="19.7" hidden="false" customHeight="false" outlineLevel="0" collapsed="false">
      <c r="A4" s="155" t="str">
        <f aca="false">IF(Deelnemers!B3="","",Deelnemers!B3)</f>
        <v>Naam organisator, Plaats</v>
      </c>
      <c r="B4" s="155"/>
      <c r="C4" s="155"/>
      <c r="D4" s="155"/>
      <c r="E4" s="155"/>
      <c r="F4" s="155"/>
      <c r="G4" s="155"/>
    </row>
    <row r="5" customFormat="false" ht="19.7" hidden="false" customHeight="false" outlineLevel="0" collapsed="false">
      <c r="A5" s="156" t="str">
        <f aca="false">IF(Deelnemers!B4="","",Deelnemers!B4)</f>
        <v>jjjj-mm-dd</v>
      </c>
      <c r="B5" s="156"/>
      <c r="C5" s="156"/>
      <c r="D5" s="156"/>
      <c r="E5" s="156"/>
      <c r="F5" s="156"/>
      <c r="G5" s="156"/>
    </row>
    <row r="7" customFormat="false" ht="15" hidden="false" customHeight="false" outlineLevel="0" collapsed="false">
      <c r="A7" s="79" t="s">
        <v>112</v>
      </c>
      <c r="B7" s="2" t="s">
        <v>113</v>
      </c>
      <c r="C7" s="79" t="s">
        <v>80</v>
      </c>
      <c r="D7" s="79" t="s">
        <v>96</v>
      </c>
      <c r="E7" s="79" t="s">
        <v>114</v>
      </c>
      <c r="F7" s="79" t="s">
        <v>115</v>
      </c>
    </row>
    <row r="8" customFormat="false" ht="15" hidden="false" customHeight="false" outlineLevel="0" collapsed="false">
      <c r="A8" s="79" t="n">
        <v>1</v>
      </c>
      <c r="B8" s="1" t="str">
        <f aca="false">IF(Scores!C$5&lt;&gt;"",VLOOKUP($A8,Scores!AC$6:AG$13,2,FALSE()),"")</f>
        <v/>
      </c>
      <c r="C8" s="78" t="e">
        <f aca="false">IF(VLOOKUP($A8,Scores!AC$6:AG$13,3,FALSE())&lt;&gt;"",VLOOKUP($A8,Scores!AC$6:AG$13,3,FALSE()),"")</f>
        <v>#N/A</v>
      </c>
      <c r="D8" s="87" t="e">
        <f aca="false">VLOOKUP($A8,Scores!AC$6:AG$13,5,FALSE())</f>
        <v>#N/A</v>
      </c>
      <c r="E8" s="87" t="e">
        <f aca="false">VLOOKUP($A8,Scores!AC$6:AG$13,4,FALSE())</f>
        <v>#N/A</v>
      </c>
      <c r="F8" s="87" t="e">
        <f aca="false">IF(VLOOKUP($A8,Scores!AC$6:AH$13,6,FALSE())&lt;&gt;0,VLOOKUP($A8,Scores!AC$6:AH$13,6,FALSE()),"")</f>
        <v>#N/A</v>
      </c>
      <c r="G8" s="2" t="s">
        <v>116</v>
      </c>
    </row>
    <row r="9" customFormat="false" ht="15" hidden="false" customHeight="false" outlineLevel="0" collapsed="false">
      <c r="A9" s="79" t="n">
        <v>2</v>
      </c>
      <c r="B9" s="1" t="str">
        <f aca="false">IF(Scores!C$5&lt;&gt;"",VLOOKUP($A9,Scores!AC$6:AG$13,2,FALSE()),"")</f>
        <v/>
      </c>
      <c r="C9" s="78" t="e">
        <f aca="false">IF(VLOOKUP($A9,Scores!AC$6:AG$13,3,FALSE())&lt;&gt;"",VLOOKUP($A9,Scores!AC$6:AG$13,3,FALSE()),"")</f>
        <v>#N/A</v>
      </c>
      <c r="D9" s="87" t="e">
        <f aca="false">VLOOKUP($A9,Scores!AC$6:AG$13,5,FALSE())</f>
        <v>#N/A</v>
      </c>
      <c r="E9" s="87" t="e">
        <f aca="false">VLOOKUP($A9,Scores!AC$6:AG$13,4,FALSE())</f>
        <v>#N/A</v>
      </c>
      <c r="F9" s="87" t="e">
        <f aca="false">IF(VLOOKUP($A9,Scores!AC$6:AH$13,6,FALSE())&lt;&gt;0,VLOOKUP($A9,Scores!AC$6:AH$13,6,FALSE()),"")</f>
        <v>#N/A</v>
      </c>
      <c r="G9" s="1" t="s">
        <v>117</v>
      </c>
    </row>
    <row r="10" customFormat="false" ht="15" hidden="false" customHeight="false" outlineLevel="0" collapsed="false">
      <c r="A10" s="79" t="n">
        <v>3</v>
      </c>
      <c r="B10" s="1" t="str">
        <f aca="false">IF(Scores!C$5&lt;&gt;"",VLOOKUP($A10,Scores!AC$6:AG$13,2,FALSE()),"")</f>
        <v/>
      </c>
      <c r="C10" s="78" t="e">
        <f aca="false">IF(VLOOKUP($A10,Scores!AC$6:AG$13,3,FALSE())&lt;&gt;"",VLOOKUP($A10,Scores!AC$6:AG$13,3,FALSE()),"")</f>
        <v>#N/A</v>
      </c>
      <c r="D10" s="87" t="e">
        <f aca="false">VLOOKUP($A10,Scores!AC$6:AG$13,5,FALSE())</f>
        <v>#N/A</v>
      </c>
      <c r="E10" s="87" t="e">
        <f aca="false">VLOOKUP($A10,Scores!AC$6:AG$13,4,FALSE())</f>
        <v>#N/A</v>
      </c>
      <c r="F10" s="87" t="e">
        <f aca="false">IF(VLOOKUP($A10,Scores!AC$6:AH$13,6,FALSE())&lt;&gt;0,VLOOKUP($A10,Scores!AC$6:AH$13,6,FALSE()),"")</f>
        <v>#N/A</v>
      </c>
      <c r="G10" s="1" t="s">
        <v>118</v>
      </c>
    </row>
    <row r="11" customFormat="false" ht="15" hidden="false" customHeight="false" outlineLevel="0" collapsed="false">
      <c r="A11" s="79" t="n">
        <v>4</v>
      </c>
      <c r="B11" s="1" t="str">
        <f aca="false">IF(Scores!C$5&lt;&gt;"",VLOOKUP($A11,Scores!AC$6:AG$13,2,FALSE()),"")</f>
        <v/>
      </c>
      <c r="C11" s="78" t="e">
        <f aca="false">IF(VLOOKUP($A11,Scores!AC$6:AG$13,3,FALSE())&lt;&gt;"",VLOOKUP($A11,Scores!AC$6:AG$13,3,FALSE()),"")</f>
        <v>#N/A</v>
      </c>
      <c r="D11" s="87" t="e">
        <f aca="false">VLOOKUP($A11,Scores!AC$6:AG$13,5,FALSE())</f>
        <v>#N/A</v>
      </c>
      <c r="E11" s="87" t="e">
        <f aca="false">VLOOKUP($A11,Scores!AC$6:AG$13,4,FALSE())</f>
        <v>#N/A</v>
      </c>
      <c r="F11" s="87" t="e">
        <f aca="false">IF(VLOOKUP($A11,Scores!AC$6:AH$13,6,FALSE())&lt;&gt;0,VLOOKUP($A11,Scores!AC$6:AH$13,6,FALSE()),"")</f>
        <v>#N/A</v>
      </c>
    </row>
    <row r="12" customFormat="false" ht="15" hidden="false" customHeight="false" outlineLevel="0" collapsed="false">
      <c r="A12" s="79" t="n">
        <v>5</v>
      </c>
      <c r="B12" s="1" t="e">
        <f aca="false">IF(Deelnemers!D$5="Ja",VLOOKUP($A12,Scores!AC$6:AG$13,2,FALSE()),"")</f>
        <v>#N/A</v>
      </c>
      <c r="C12" s="78" t="e">
        <f aca="false">IF(B12="","",IF(VLOOKUP($A12,Scores!AC$6:AG$13,3,FALSE())&lt;&gt;"",VLOOKUP($A12,Scores!AC$6:AG$13,3,FALSE()),""))</f>
        <v>#N/A</v>
      </c>
      <c r="D12" s="87" t="e">
        <f aca="false">IF(B12="","",VLOOKUP($A12,Scores!AC$6:AG$13,5,FALSE()))</f>
        <v>#N/A</v>
      </c>
      <c r="E12" s="87" t="e">
        <f aca="false">IF(B12="","",VLOOKUP($A12,Scores!AC$6:AG$13,4,FALSE()))</f>
        <v>#N/A</v>
      </c>
      <c r="F12" s="87" t="e">
        <f aca="false">IF(B12="","",IF(VLOOKUP($A12,Scores!AC$6:AH$13,6,FALSE())&lt;&gt;0,VLOOKUP($A12,Scores!AC$6:AH$13,6,FALSE()),""))</f>
        <v>#N/A</v>
      </c>
    </row>
    <row r="13" customFormat="false" ht="15" hidden="false" customHeight="false" outlineLevel="0" collapsed="false">
      <c r="A13" s="79" t="n">
        <v>6</v>
      </c>
      <c r="B13" s="1" t="e">
        <f aca="false">IF(Deelnemers!D$5="Ja",VLOOKUP($A13,Scores!AC$6:AG$13,2,FALSE()),"")</f>
        <v>#N/A</v>
      </c>
      <c r="C13" s="78" t="e">
        <f aca="false">IF(B13="","",IF(VLOOKUP($A13,Scores!AC$6:AG$13,3,FALSE())&lt;&gt;"",VLOOKUP($A13,Scores!AC$6:AG$13,3,FALSE()),""))</f>
        <v>#N/A</v>
      </c>
      <c r="D13" s="87" t="e">
        <f aca="false">IF(B13="","",VLOOKUP($A13,Scores!AC$6:AG$13,5,FALSE()))</f>
        <v>#N/A</v>
      </c>
      <c r="E13" s="87" t="e">
        <f aca="false">IF(B13="","",VLOOKUP($A13,Scores!AC$6:AG$13,4,FALSE()))</f>
        <v>#N/A</v>
      </c>
      <c r="F13" s="87" t="e">
        <f aca="false">IF(B13="","",IF(VLOOKUP($A13,Scores!AC$6:AH$13,6,FALSE())&lt;&gt;0,VLOOKUP($A13,Scores!AC$6:AH$13,6,FALSE()),""))</f>
        <v>#N/A</v>
      </c>
    </row>
    <row r="14" customFormat="false" ht="15" hidden="false" customHeight="false" outlineLevel="0" collapsed="false">
      <c r="A14" s="79" t="n">
        <v>7</v>
      </c>
      <c r="B14" s="1" t="e">
        <f aca="false">IF(Deelnemers!D$5="Ja",VLOOKUP($A14,Scores!AC$6:AG$13,2,FALSE()),"")</f>
        <v>#N/A</v>
      </c>
      <c r="C14" s="78" t="e">
        <f aca="false">IF(B14="","",IF(VLOOKUP($A14,Scores!AC$6:AG$13,3,FALSE())&lt;&gt;"",VLOOKUP($A14,Scores!AC$6:AG$13,3,FALSE()),""))</f>
        <v>#N/A</v>
      </c>
      <c r="D14" s="87" t="e">
        <f aca="false">IF(B14="","",VLOOKUP($A14,Scores!AC$6:AG$13,5,FALSE()))</f>
        <v>#N/A</v>
      </c>
      <c r="E14" s="87" t="e">
        <f aca="false">IF(B14="","",VLOOKUP($A14,Scores!AC$6:AG$13,4,FALSE()))</f>
        <v>#N/A</v>
      </c>
      <c r="F14" s="87" t="e">
        <f aca="false">IF(B14="","",IF(VLOOKUP($A14,Scores!AC$6:AH$13,6,FALSE())&lt;&gt;0,VLOOKUP($A14,Scores!AC$6:AH$13,6,FALSE()),""))</f>
        <v>#N/A</v>
      </c>
    </row>
    <row r="15" customFormat="false" ht="15" hidden="false" customHeight="false" outlineLevel="0" collapsed="false">
      <c r="A15" s="79" t="n">
        <v>8</v>
      </c>
      <c r="B15" s="1" t="e">
        <f aca="false">IF(Deelnemers!D$5="Ja",VLOOKUP($A15,Scores!AC$6:AG$13,2,FALSE()),"")</f>
        <v>#N/A</v>
      </c>
      <c r="C15" s="78" t="e">
        <f aca="false">IF(B15="","",IF(VLOOKUP($A15,Scores!AC$6:AG$13,3,FALSE())&lt;&gt;"",VLOOKUP($A15,Scores!AC$6:AG$13,3,FALSE()),""))</f>
        <v>#N/A</v>
      </c>
      <c r="D15" s="87" t="e">
        <f aca="false">IF(B15="","",VLOOKUP($A15,Scores!AC$6:AG$13,5,FALSE()))</f>
        <v>#N/A</v>
      </c>
      <c r="E15" s="87" t="e">
        <f aca="false">IF(B15="","",VLOOKUP($A15,Scores!AC$6:AG$13,4,FALSE()))</f>
        <v>#N/A</v>
      </c>
      <c r="F15" s="87" t="e">
        <f aca="false">IF(B15="","",IF(VLOOKUP($A15,Scores!AC$6:AH$13,6,FALSE())&lt;&gt;0,VLOOKUP($A15,Scores!AC$6:AH$13,6,FALSE()),""))</f>
        <v>#N/A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sheet="true" password="c982" objects="true" scenarios="true"/>
  <mergeCells count="4">
    <mergeCell ref="A2:G2"/>
    <mergeCell ref="A3:G3"/>
    <mergeCell ref="A4:G4"/>
    <mergeCell ref="A5:G5"/>
  </mergeCells>
  <printOptions headings="false" gridLines="false" gridLinesSet="true" horizontalCentered="true" verticalCentered="false"/>
  <pageMargins left="0.157638888888889" right="0.157638888888889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7.57"/>
    <col collapsed="false" customWidth="true" hidden="false" outlineLevel="0" max="2" min="2" style="1" width="1.71"/>
    <col collapsed="false" customWidth="true" hidden="false" outlineLevel="0" max="3" min="3" style="1" width="7.57"/>
    <col collapsed="false" customWidth="true" hidden="false" outlineLevel="0" max="4" min="4" style="1" width="30.72"/>
    <col collapsed="false" customWidth="true" hidden="false" outlineLevel="0" max="5" min="5" style="1" width="1.71"/>
    <col collapsed="false" customWidth="true" hidden="false" outlineLevel="0" max="6" min="6" style="1" width="30.72"/>
    <col collapsed="false" customWidth="true" hidden="false" outlineLevel="0" max="10" min="7" style="1" width="8.71"/>
    <col collapsed="false" customWidth="false" hidden="false" outlineLevel="0" max="16384" min="11" style="1" width="14.43"/>
  </cols>
  <sheetData>
    <row r="1" customFormat="false" ht="19.7" hidden="false" customHeight="false" outlineLevel="0" collapsed="false">
      <c r="A1" s="157" t="s">
        <v>119</v>
      </c>
      <c r="B1" s="157"/>
      <c r="C1" s="157"/>
      <c r="D1" s="157"/>
      <c r="E1" s="157"/>
      <c r="F1" s="157"/>
    </row>
    <row r="2" customFormat="false" ht="15" hidden="false" customHeight="false" outlineLevel="0" collapsed="false">
      <c r="A2" s="158" t="str">
        <f aca="false">Deelnemers!B2</f>
        <v>klasse</v>
      </c>
      <c r="B2" s="158"/>
      <c r="C2" s="158"/>
      <c r="D2" s="158"/>
      <c r="E2" s="158"/>
      <c r="F2" s="158"/>
    </row>
    <row r="3" customFormat="false" ht="15" hidden="false" customHeight="false" outlineLevel="0" collapsed="false">
      <c r="A3" s="159"/>
      <c r="B3" s="159"/>
      <c r="C3" s="159"/>
      <c r="D3" s="159"/>
      <c r="E3" s="159"/>
      <c r="F3" s="159"/>
    </row>
    <row r="4" customFormat="false" ht="17.35" hidden="false" customHeight="false" outlineLevel="0" collapsed="false">
      <c r="A4" s="160" t="s">
        <v>94</v>
      </c>
      <c r="B4" s="160"/>
      <c r="C4" s="160"/>
      <c r="D4" s="160"/>
      <c r="E4" s="160"/>
      <c r="F4" s="160"/>
    </row>
    <row r="5" customFormat="false" ht="15" hidden="false" customHeight="false" outlineLevel="0" collapsed="false">
      <c r="A5" s="161" t="str">
        <f aca="false">'Score briefjes 25M1P'!AB11</f>
        <v>Baan 1</v>
      </c>
      <c r="B5" s="162" t="s">
        <v>120</v>
      </c>
      <c r="C5" s="162" t="str">
        <f aca="false">'Score briefjes 25M1P'!AC11</f>
        <v>Baan 2</v>
      </c>
      <c r="D5" s="163" t="str">
        <f aca="false">VLOOKUP(A5,Deelnemers!A:D,2,FALSE())</f>
        <v>Team 1</v>
      </c>
      <c r="E5" s="1" t="s">
        <v>120</v>
      </c>
      <c r="F5" s="164" t="str">
        <f aca="false">VLOOKUP(C5,Deelnemers!A:D,2,FALSE())</f>
        <v>Team 2</v>
      </c>
    </row>
    <row r="6" customFormat="false" ht="15" hidden="false" customHeight="false" outlineLevel="0" collapsed="false">
      <c r="A6" s="165" t="str">
        <f aca="false">'Score briefjes 25M1P'!AD11</f>
        <v>Baan 3</v>
      </c>
      <c r="B6" s="166" t="s">
        <v>120</v>
      </c>
      <c r="C6" s="166" t="str">
        <f aca="false">'Score briefjes 25M1P'!AE11</f>
        <v>Baan 4</v>
      </c>
      <c r="D6" s="163" t="str">
        <f aca="false">VLOOKUP(A6,Deelnemers!A:D,2,FALSE())</f>
        <v>Team 3</v>
      </c>
      <c r="E6" s="1" t="s">
        <v>120</v>
      </c>
      <c r="F6" s="164" t="str">
        <f aca="false">VLOOKUP(C6,Deelnemers!A:D,2,FALSE())</f>
        <v>Team 4</v>
      </c>
    </row>
    <row r="7" customFormat="false" ht="15" hidden="false" customHeight="false" outlineLevel="0" collapsed="false">
      <c r="A7" s="167" t="str">
        <f aca="false">'Score briefjes 25M1P'!AF11</f>
        <v>Baan 5</v>
      </c>
      <c r="B7" s="168" t="s">
        <v>120</v>
      </c>
      <c r="C7" s="168" t="str">
        <f aca="false">'Score briefjes 25M1P'!AG11</f>
        <v>Baan 6</v>
      </c>
      <c r="D7" s="163" t="str">
        <f aca="false">IF(Deelnemers!D5="Nee","",VLOOKUP(A7,Deelnemers!A:D,2,FALSE()))</f>
        <v>Team 5</v>
      </c>
      <c r="E7" s="1" t="s">
        <v>120</v>
      </c>
      <c r="F7" s="164" t="str">
        <f aca="false">IF(Deelnemers!D5="Nee","",VLOOKUP(C7,Deelnemers!A:D,2,FALSE()))</f>
        <v>Team 6</v>
      </c>
    </row>
    <row r="8" customFormat="false" ht="15" hidden="false" customHeight="false" outlineLevel="0" collapsed="false">
      <c r="A8" s="169" t="str">
        <f aca="false">'Score briefjes 25M1P'!AH11</f>
        <v>Baan 7</v>
      </c>
      <c r="B8" s="170" t="s">
        <v>120</v>
      </c>
      <c r="C8" s="170" t="str">
        <f aca="false">'Score briefjes 25M1P'!AI11</f>
        <v>Baan 8</v>
      </c>
      <c r="D8" s="163" t="str">
        <f aca="false">IF(Deelnemers!D5="Nee","",VLOOKUP(A8,Deelnemers!A:D,2,FALSE()))</f>
        <v>Team 7</v>
      </c>
      <c r="E8" s="1" t="s">
        <v>120</v>
      </c>
      <c r="F8" s="164" t="str">
        <f aca="false">IF(Deelnemers!D5="Nee","",VLOOKUP(C8,Deelnemers!A:D,2,FALSE()))</f>
        <v>Team 8</v>
      </c>
    </row>
    <row r="9" customFormat="false" ht="15" hidden="false" customHeight="false" outlineLevel="0" collapsed="false">
      <c r="A9" s="171"/>
      <c r="F9" s="164"/>
    </row>
    <row r="10" customFormat="false" ht="17.35" hidden="false" customHeight="false" outlineLevel="0" collapsed="false">
      <c r="A10" s="160" t="s">
        <v>105</v>
      </c>
      <c r="B10" s="160"/>
      <c r="C10" s="160"/>
      <c r="D10" s="160"/>
      <c r="E10" s="160"/>
      <c r="F10" s="160"/>
    </row>
    <row r="11" customFormat="false" ht="15" hidden="false" customHeight="false" outlineLevel="0" collapsed="false">
      <c r="A11" s="161" t="str">
        <f aca="false">'Score briefjes 25M1P'!AB12</f>
        <v>Baan 1</v>
      </c>
      <c r="B11" s="162" t="s">
        <v>120</v>
      </c>
      <c r="C11" s="162" t="str">
        <f aca="false">'Score briefjes 25M1P'!AC12</f>
        <v>Baan 3</v>
      </c>
      <c r="D11" s="163" t="str">
        <f aca="false">VLOOKUP(A11,Deelnemers!A:D,2,FALSE())</f>
        <v>Team 1</v>
      </c>
      <c r="E11" s="1" t="s">
        <v>120</v>
      </c>
      <c r="F11" s="164" t="str">
        <f aca="false">VLOOKUP(C11,Deelnemers!A:D,2,FALSE())</f>
        <v>Team 3</v>
      </c>
    </row>
    <row r="12" customFormat="false" ht="15" hidden="false" customHeight="false" outlineLevel="0" collapsed="false">
      <c r="A12" s="165" t="str">
        <f aca="false">'Score briefjes 25M1P'!AD12</f>
        <v>Baan 2</v>
      </c>
      <c r="B12" s="166" t="s">
        <v>120</v>
      </c>
      <c r="C12" s="166" t="str">
        <f aca="false">'Score briefjes 25M1P'!AE12</f>
        <v>Baan 4</v>
      </c>
      <c r="D12" s="163" t="str">
        <f aca="false">VLOOKUP(A12,Deelnemers!A:D,2,FALSE())</f>
        <v>Team 2</v>
      </c>
      <c r="E12" s="1" t="s">
        <v>120</v>
      </c>
      <c r="F12" s="164" t="str">
        <f aca="false">VLOOKUP(C12,Deelnemers!A:D,2,FALSE())</f>
        <v>Team 4</v>
      </c>
    </row>
    <row r="13" customFormat="false" ht="15" hidden="false" customHeight="false" outlineLevel="0" collapsed="false">
      <c r="A13" s="167" t="str">
        <f aca="false">'Score briefjes 25M1P'!AF12</f>
        <v>Baan 5</v>
      </c>
      <c r="B13" s="168" t="s">
        <v>120</v>
      </c>
      <c r="C13" s="168" t="str">
        <f aca="false">'Score briefjes 25M1P'!AG12</f>
        <v>Baan 7</v>
      </c>
      <c r="D13" s="163" t="str">
        <f aca="false">IF(Deelnemers!D5="Nee","",VLOOKUP(A13,Deelnemers!A:D,2,FALSE()))</f>
        <v>Team 5</v>
      </c>
      <c r="E13" s="1" t="s">
        <v>120</v>
      </c>
      <c r="F13" s="164" t="str">
        <f aca="false">IF(Deelnemers!D5="Nee","",VLOOKUP(C13,Deelnemers!A:D,2,FALSE()))</f>
        <v>Team 7</v>
      </c>
    </row>
    <row r="14" customFormat="false" ht="15" hidden="false" customHeight="false" outlineLevel="0" collapsed="false">
      <c r="A14" s="169" t="str">
        <f aca="false">'Score briefjes 25M1P'!AH12</f>
        <v>Baan 6</v>
      </c>
      <c r="B14" s="170" t="s">
        <v>120</v>
      </c>
      <c r="C14" s="170" t="str">
        <f aca="false">'Score briefjes 25M1P'!AI12</f>
        <v>Baan 8</v>
      </c>
      <c r="D14" s="163" t="str">
        <f aca="false">IF(Deelnemers!D5="Nee","",VLOOKUP(A14,Deelnemers!A:D,2,FALSE()))</f>
        <v>Team 6</v>
      </c>
      <c r="E14" s="1" t="s">
        <v>120</v>
      </c>
      <c r="F14" s="164" t="str">
        <f aca="false">IF(Deelnemers!D5="Nee","",VLOOKUP(C14,Deelnemers!A:D,2,FALSE()))</f>
        <v>Team 8</v>
      </c>
    </row>
    <row r="15" customFormat="false" ht="15" hidden="false" customHeight="false" outlineLevel="0" collapsed="false">
      <c r="A15" s="171"/>
      <c r="F15" s="164"/>
    </row>
    <row r="16" customFormat="false" ht="17.35" hidden="false" customHeight="false" outlineLevel="0" collapsed="false">
      <c r="A16" s="160" t="s">
        <v>106</v>
      </c>
      <c r="B16" s="160"/>
      <c r="C16" s="160"/>
      <c r="D16" s="160"/>
      <c r="E16" s="160"/>
      <c r="F16" s="160"/>
    </row>
    <row r="17" customFormat="false" ht="15" hidden="false" customHeight="false" outlineLevel="0" collapsed="false">
      <c r="A17" s="161" t="str">
        <f aca="false">'Score briefjes 25M1P'!AB13</f>
        <v>Baan 1</v>
      </c>
      <c r="B17" s="162" t="s">
        <v>120</v>
      </c>
      <c r="C17" s="162" t="str">
        <f aca="false">'Score briefjes 25M1P'!AC13</f>
        <v>Baan 4</v>
      </c>
      <c r="D17" s="163" t="str">
        <f aca="false">VLOOKUP(A17,Deelnemers!A:D,2,FALSE())</f>
        <v>Team 1</v>
      </c>
      <c r="E17" s="1" t="s">
        <v>120</v>
      </c>
      <c r="F17" s="164" t="str">
        <f aca="false">VLOOKUP(C17,Deelnemers!A:D,2,FALSE())</f>
        <v>Team 4</v>
      </c>
    </row>
    <row r="18" customFormat="false" ht="15" hidden="false" customHeight="false" outlineLevel="0" collapsed="false">
      <c r="A18" s="165" t="str">
        <f aca="false">'Score briefjes 25M1P'!AD13</f>
        <v>Baan 2</v>
      </c>
      <c r="B18" s="166" t="s">
        <v>120</v>
      </c>
      <c r="C18" s="166" t="str">
        <f aca="false">'Score briefjes 25M1P'!AE13</f>
        <v>Baan 3</v>
      </c>
      <c r="D18" s="163" t="str">
        <f aca="false">VLOOKUP(A18,Deelnemers!A:D,2,FALSE())</f>
        <v>Team 2</v>
      </c>
      <c r="E18" s="1" t="s">
        <v>120</v>
      </c>
      <c r="F18" s="164" t="str">
        <f aca="false">VLOOKUP(C18,Deelnemers!A:D,2,FALSE())</f>
        <v>Team 3</v>
      </c>
    </row>
    <row r="19" customFormat="false" ht="15" hidden="false" customHeight="false" outlineLevel="0" collapsed="false">
      <c r="A19" s="167" t="str">
        <f aca="false">'Score briefjes 25M1P'!AF13</f>
        <v>Baan 5</v>
      </c>
      <c r="B19" s="168" t="s">
        <v>120</v>
      </c>
      <c r="C19" s="168" t="str">
        <f aca="false">'Score briefjes 25M1P'!AG13</f>
        <v>Baan 8</v>
      </c>
      <c r="D19" s="163" t="str">
        <f aca="false">IF(Deelnemers!D5="Nee","",VLOOKUP(A19,Deelnemers!A:D,2,FALSE()))</f>
        <v>Team 5</v>
      </c>
      <c r="E19" s="1" t="s">
        <v>120</v>
      </c>
      <c r="F19" s="164" t="str">
        <f aca="false">IF(Deelnemers!D5="Nee","",VLOOKUP(C19,Deelnemers!A:D,2,FALSE()))</f>
        <v>Team 8</v>
      </c>
    </row>
    <row r="20" customFormat="false" ht="15" hidden="false" customHeight="false" outlineLevel="0" collapsed="false">
      <c r="A20" s="169" t="str">
        <f aca="false">'Score briefjes 25M1P'!AH13</f>
        <v>Baan 6</v>
      </c>
      <c r="B20" s="170" t="s">
        <v>120</v>
      </c>
      <c r="C20" s="170" t="str">
        <f aca="false">'Score briefjes 25M1P'!AI13</f>
        <v>Baan 7</v>
      </c>
      <c r="D20" s="163" t="str">
        <f aca="false">IF(Deelnemers!D5="Nee","",VLOOKUP(A20,Deelnemers!A:D,2,FALSE()))</f>
        <v>Team 6</v>
      </c>
      <c r="E20" s="1" t="s">
        <v>120</v>
      </c>
      <c r="F20" s="164" t="str">
        <f aca="false">IF(Deelnemers!D5="Nee","",VLOOKUP(C20,Deelnemers!A:D,2,FALSE()))</f>
        <v>Team 7</v>
      </c>
    </row>
    <row r="21" customFormat="false" ht="15.75" hidden="false" customHeight="true" outlineLevel="0" collapsed="false">
      <c r="A21" s="171"/>
      <c r="F21" s="164"/>
    </row>
    <row r="22" customFormat="false" ht="15.75" hidden="false" customHeight="true" outlineLevel="0" collapsed="false">
      <c r="A22" s="160" t="s">
        <v>108</v>
      </c>
      <c r="B22" s="160"/>
      <c r="C22" s="160"/>
      <c r="D22" s="160"/>
      <c r="E22" s="160"/>
      <c r="F22" s="160"/>
    </row>
    <row r="23" customFormat="false" ht="15.75" hidden="false" customHeight="true" outlineLevel="0" collapsed="false">
      <c r="A23" s="161" t="str">
        <f aca="false">'Score briefjes 25M1P'!AB14</f>
        <v>Baan 1</v>
      </c>
      <c r="B23" s="162" t="s">
        <v>120</v>
      </c>
      <c r="C23" s="162" t="str">
        <f aca="false">'Score briefjes 25M1P'!AC14</f>
        <v>Baan 5</v>
      </c>
      <c r="D23" s="163" t="str">
        <f aca="false">VLOOKUP(A23,Deelnemers!A:D,2,FALSE())</f>
        <v>Team 1</v>
      </c>
      <c r="E23" s="1" t="s">
        <v>120</v>
      </c>
      <c r="F23" s="164" t="str">
        <f aca="false">VLOOKUP(C23,Deelnemers!A:D,2,FALSE())</f>
        <v>Team 5</v>
      </c>
    </row>
    <row r="24" customFormat="false" ht="15.75" hidden="false" customHeight="true" outlineLevel="0" collapsed="false">
      <c r="A24" s="165" t="str">
        <f aca="false">'Score briefjes 25M1P'!AD14</f>
        <v>Baan 2</v>
      </c>
      <c r="B24" s="166" t="s">
        <v>120</v>
      </c>
      <c r="C24" s="166" t="str">
        <f aca="false">'Score briefjes 25M1P'!AE14</f>
        <v>Baan 6</v>
      </c>
      <c r="D24" s="163" t="str">
        <f aca="false">VLOOKUP(A24,Deelnemers!A:D,2,FALSE())</f>
        <v>Team 2</v>
      </c>
      <c r="E24" s="1" t="s">
        <v>120</v>
      </c>
      <c r="F24" s="164" t="str">
        <f aca="false">VLOOKUP(C24,Deelnemers!A:D,2,FALSE())</f>
        <v>Team 6</v>
      </c>
    </row>
    <row r="25" customFormat="false" ht="15.75" hidden="false" customHeight="true" outlineLevel="0" collapsed="false">
      <c r="A25" s="167" t="str">
        <f aca="false">'Score briefjes 25M1P'!AF14</f>
        <v>Baan 3</v>
      </c>
      <c r="B25" s="168" t="s">
        <v>120</v>
      </c>
      <c r="C25" s="168" t="str">
        <f aca="false">'Score briefjes 25M1P'!AG14</f>
        <v>Baan 7</v>
      </c>
      <c r="D25" s="163" t="str">
        <f aca="false">IF(Deelnemers!D5="Nee","",VLOOKUP(A25,Deelnemers!A:D,2,FALSE()))</f>
        <v>Team 3</v>
      </c>
      <c r="E25" s="1" t="s">
        <v>120</v>
      </c>
      <c r="F25" s="164" t="str">
        <f aca="false">IF(Deelnemers!D5="Nee","",VLOOKUP(C25,Deelnemers!A:D,2,FALSE()))</f>
        <v>Team 7</v>
      </c>
    </row>
    <row r="26" customFormat="false" ht="15.75" hidden="false" customHeight="true" outlineLevel="0" collapsed="false">
      <c r="A26" s="169" t="str">
        <f aca="false">'Score briefjes 25M1P'!AH14</f>
        <v>Baan 4</v>
      </c>
      <c r="B26" s="170" t="s">
        <v>120</v>
      </c>
      <c r="C26" s="170" t="str">
        <f aca="false">'Score briefjes 25M1P'!AI14</f>
        <v>Baan 8</v>
      </c>
      <c r="D26" s="163" t="str">
        <f aca="false">IF(Deelnemers!D5="Nee","",VLOOKUP(A26,Deelnemers!A:D,2,FALSE()))</f>
        <v>Team 4</v>
      </c>
      <c r="E26" s="1" t="s">
        <v>120</v>
      </c>
      <c r="F26" s="164" t="str">
        <f aca="false">IF(Deelnemers!D5="Nee","",VLOOKUP(C26,Deelnemers!A:D,2,FALSE()))</f>
        <v>Team 8</v>
      </c>
    </row>
    <row r="27" customFormat="false" ht="15.75" hidden="false" customHeight="true" outlineLevel="0" collapsed="false">
      <c r="A27" s="171"/>
      <c r="F27" s="164"/>
    </row>
    <row r="28" customFormat="false" ht="15.75" hidden="false" customHeight="true" outlineLevel="0" collapsed="false">
      <c r="A28" s="160" t="s">
        <v>109</v>
      </c>
      <c r="B28" s="160"/>
      <c r="C28" s="160"/>
      <c r="D28" s="160"/>
      <c r="E28" s="160"/>
      <c r="F28" s="160"/>
    </row>
    <row r="29" customFormat="false" ht="15.75" hidden="false" customHeight="true" outlineLevel="0" collapsed="false">
      <c r="A29" s="161" t="str">
        <f aca="false">'Score briefjes 25M1P'!AB15</f>
        <v>Baan 1</v>
      </c>
      <c r="B29" s="162" t="s">
        <v>120</v>
      </c>
      <c r="C29" s="162" t="str">
        <f aca="false">'Score briefjes 25M1P'!AC15</f>
        <v>Baan 6</v>
      </c>
      <c r="D29" s="163" t="str">
        <f aca="false">VLOOKUP(A29,Deelnemers!A:D,2,FALSE())</f>
        <v>Team 1</v>
      </c>
      <c r="E29" s="1" t="s">
        <v>120</v>
      </c>
      <c r="F29" s="164" t="str">
        <f aca="false">VLOOKUP(C29,Deelnemers!A:D,2,FALSE())</f>
        <v>Team 6</v>
      </c>
    </row>
    <row r="30" customFormat="false" ht="15.75" hidden="false" customHeight="true" outlineLevel="0" collapsed="false">
      <c r="A30" s="165" t="str">
        <f aca="false">'Score briefjes 25M1P'!AD15</f>
        <v>Baan 2</v>
      </c>
      <c r="B30" s="166" t="s">
        <v>120</v>
      </c>
      <c r="C30" s="166" t="str">
        <f aca="false">'Score briefjes 25M1P'!AE15</f>
        <v>Baan 5</v>
      </c>
      <c r="D30" s="163" t="str">
        <f aca="false">VLOOKUP(A30,Deelnemers!A:D,2,FALSE())</f>
        <v>Team 2</v>
      </c>
      <c r="E30" s="1" t="s">
        <v>120</v>
      </c>
      <c r="F30" s="164" t="str">
        <f aca="false">VLOOKUP(C30,Deelnemers!A:D,2,FALSE())</f>
        <v>Team 5</v>
      </c>
    </row>
    <row r="31" customFormat="false" ht="15.75" hidden="false" customHeight="true" outlineLevel="0" collapsed="false">
      <c r="A31" s="167" t="str">
        <f aca="false">'Score briefjes 25M1P'!AF15</f>
        <v>Baan 3</v>
      </c>
      <c r="B31" s="168" t="s">
        <v>120</v>
      </c>
      <c r="C31" s="168" t="str">
        <f aca="false">'Score briefjes 25M1P'!AG15</f>
        <v>Baan 8</v>
      </c>
      <c r="D31" s="163" t="str">
        <f aca="false">IF(Deelnemers!D5="Nee","",VLOOKUP(A31,Deelnemers!A:D,2,FALSE()))</f>
        <v>Team 3</v>
      </c>
      <c r="E31" s="1" t="s">
        <v>120</v>
      </c>
      <c r="F31" s="164" t="str">
        <f aca="false">IF(Deelnemers!D5="Nee","",VLOOKUP(C31,Deelnemers!A:D,2,FALSE()))</f>
        <v>Team 8</v>
      </c>
    </row>
    <row r="32" customFormat="false" ht="15.75" hidden="false" customHeight="true" outlineLevel="0" collapsed="false">
      <c r="A32" s="169" t="str">
        <f aca="false">'Score briefjes 25M1P'!AH15</f>
        <v>Baan 4</v>
      </c>
      <c r="B32" s="170" t="s">
        <v>120</v>
      </c>
      <c r="C32" s="170" t="str">
        <f aca="false">'Score briefjes 25M1P'!AI15</f>
        <v>Baan 7</v>
      </c>
      <c r="D32" s="163" t="str">
        <f aca="false">IF(Deelnemers!D5="Nee","",VLOOKUP(A32,Deelnemers!A:D,2,FALSE()))</f>
        <v>Team 4</v>
      </c>
      <c r="E32" s="1" t="s">
        <v>120</v>
      </c>
      <c r="F32" s="164" t="str">
        <f aca="false">IF(Deelnemers!D5="Nee","",VLOOKUP(C32,Deelnemers!A:D,2,FALSE()))</f>
        <v>Team 7</v>
      </c>
    </row>
    <row r="33" customFormat="false" ht="15.75" hidden="false" customHeight="true" outlineLevel="0" collapsed="false">
      <c r="A33" s="171"/>
      <c r="F33" s="164"/>
    </row>
    <row r="34" customFormat="false" ht="15.75" hidden="false" customHeight="true" outlineLevel="0" collapsed="false">
      <c r="A34" s="160" t="s">
        <v>110</v>
      </c>
      <c r="B34" s="160"/>
      <c r="C34" s="160"/>
      <c r="D34" s="160"/>
      <c r="E34" s="160"/>
      <c r="F34" s="160"/>
    </row>
    <row r="35" customFormat="false" ht="15.75" hidden="false" customHeight="true" outlineLevel="0" collapsed="false">
      <c r="A35" s="161" t="str">
        <f aca="false">'Score briefjes 25M1P'!AB16</f>
        <v>Baan 1</v>
      </c>
      <c r="B35" s="162" t="s">
        <v>120</v>
      </c>
      <c r="C35" s="162" t="str">
        <f aca="false">'Score briefjes 25M1P'!AC16</f>
        <v>Baan 7</v>
      </c>
      <c r="D35" s="163" t="str">
        <f aca="false">VLOOKUP(A35,Deelnemers!A:D,2,FALSE())</f>
        <v>Team 1</v>
      </c>
      <c r="E35" s="1" t="s">
        <v>120</v>
      </c>
      <c r="F35" s="164" t="str">
        <f aca="false">VLOOKUP(C35,Deelnemers!A:D,2,FALSE())</f>
        <v>Team 7</v>
      </c>
    </row>
    <row r="36" customFormat="false" ht="15.75" hidden="false" customHeight="true" outlineLevel="0" collapsed="false">
      <c r="A36" s="165" t="str">
        <f aca="false">'Score briefjes 25M1P'!AD16</f>
        <v>Baan 2</v>
      </c>
      <c r="B36" s="166" t="s">
        <v>120</v>
      </c>
      <c r="C36" s="166" t="str">
        <f aca="false">'Score briefjes 25M1P'!AE16</f>
        <v>Baan 8</v>
      </c>
      <c r="D36" s="163" t="str">
        <f aca="false">VLOOKUP(A36,Deelnemers!A:D,2,FALSE())</f>
        <v>Team 2</v>
      </c>
      <c r="E36" s="1" t="s">
        <v>120</v>
      </c>
      <c r="F36" s="164" t="str">
        <f aca="false">VLOOKUP(C36,Deelnemers!A:D,2,FALSE())</f>
        <v>Team 8</v>
      </c>
    </row>
    <row r="37" customFormat="false" ht="15.75" hidden="false" customHeight="true" outlineLevel="0" collapsed="false">
      <c r="A37" s="167" t="str">
        <f aca="false">'Score briefjes 25M1P'!AF16</f>
        <v>Baan 3</v>
      </c>
      <c r="B37" s="168" t="s">
        <v>120</v>
      </c>
      <c r="C37" s="168" t="str">
        <f aca="false">'Score briefjes 25M1P'!AG16</f>
        <v>Baan 5</v>
      </c>
      <c r="D37" s="163" t="str">
        <f aca="false">IF(Deelnemers!D5="Nee","",VLOOKUP(A37,Deelnemers!A:D,2,FALSE()))</f>
        <v>Team 3</v>
      </c>
      <c r="E37" s="1" t="s">
        <v>120</v>
      </c>
      <c r="F37" s="164" t="str">
        <f aca="false">IF(Deelnemers!D5="Nee","",VLOOKUP(C37,Deelnemers!A:D,2,FALSE()))</f>
        <v>Team 5</v>
      </c>
    </row>
    <row r="38" customFormat="false" ht="15.75" hidden="false" customHeight="true" outlineLevel="0" collapsed="false">
      <c r="A38" s="169" t="str">
        <f aca="false">'Score briefjes 25M1P'!AH16</f>
        <v>Baan 4</v>
      </c>
      <c r="B38" s="170" t="s">
        <v>120</v>
      </c>
      <c r="C38" s="170" t="str">
        <f aca="false">'Score briefjes 25M1P'!AI16</f>
        <v>Baan 6</v>
      </c>
      <c r="D38" s="163" t="str">
        <f aca="false">IF(Deelnemers!D5="Nee","",VLOOKUP(A38,Deelnemers!A:D,2,FALSE()))</f>
        <v>Team 4</v>
      </c>
      <c r="E38" s="1" t="s">
        <v>120</v>
      </c>
      <c r="F38" s="164" t="str">
        <f aca="false">IF(Deelnemers!D5="Nee","",VLOOKUP(C38,Deelnemers!A:D,2,FALSE()))</f>
        <v>Team 6</v>
      </c>
    </row>
    <row r="39" customFormat="false" ht="15.75" hidden="false" customHeight="true" outlineLevel="0" collapsed="false">
      <c r="A39" s="171"/>
      <c r="F39" s="164"/>
    </row>
    <row r="40" customFormat="false" ht="15.75" hidden="false" customHeight="true" outlineLevel="0" collapsed="false">
      <c r="A40" s="160" t="s">
        <v>111</v>
      </c>
      <c r="B40" s="160"/>
      <c r="C40" s="160"/>
      <c r="D40" s="160"/>
      <c r="E40" s="160"/>
      <c r="F40" s="160"/>
    </row>
    <row r="41" customFormat="false" ht="15.75" hidden="false" customHeight="true" outlineLevel="0" collapsed="false">
      <c r="A41" s="172" t="str">
        <f aca="false">'Score briefjes 25M1P'!AB17</f>
        <v>Baan 1</v>
      </c>
      <c r="B41" s="173" t="s">
        <v>120</v>
      </c>
      <c r="C41" s="173" t="str">
        <f aca="false">'Score briefjes 25M1P'!AC17</f>
        <v>Baan 8</v>
      </c>
      <c r="D41" s="163" t="str">
        <f aca="false">IF(Deelnemers!D5="Nee","",VLOOKUP(A41,Deelnemers!A:D,2,FALSE()))</f>
        <v>Team 1</v>
      </c>
      <c r="E41" s="1" t="s">
        <v>120</v>
      </c>
      <c r="F41" s="164" t="str">
        <f aca="false">IF(Deelnemers!D5="Nee","",VLOOKUP(C41,Deelnemers!A:D,2,FALSE()))</f>
        <v>Team 8</v>
      </c>
    </row>
    <row r="42" customFormat="false" ht="15.75" hidden="false" customHeight="true" outlineLevel="0" collapsed="false">
      <c r="A42" s="165" t="str">
        <f aca="false">'Score briefjes 25M1P'!AD17</f>
        <v>Baan 2</v>
      </c>
      <c r="B42" s="166" t="s">
        <v>120</v>
      </c>
      <c r="C42" s="166" t="str">
        <f aca="false">'Score briefjes 25M1P'!AE17</f>
        <v>Baan 7</v>
      </c>
      <c r="D42" s="163" t="str">
        <f aca="false">IF(Deelnemers!D5="Nee","",VLOOKUP(A42,Deelnemers!A:D,2,FALSE()))</f>
        <v>Team 2</v>
      </c>
      <c r="E42" s="1" t="s">
        <v>120</v>
      </c>
      <c r="F42" s="164" t="str">
        <f aca="false">IF(Deelnemers!D5="Nee","",VLOOKUP(C42,Deelnemers!A:D,2,FALSE()))</f>
        <v>Team 7</v>
      </c>
    </row>
    <row r="43" customFormat="false" ht="15.75" hidden="false" customHeight="true" outlineLevel="0" collapsed="false">
      <c r="A43" s="167" t="str">
        <f aca="false">'Score briefjes 25M1P'!AF17</f>
        <v>Baan 3</v>
      </c>
      <c r="B43" s="168" t="s">
        <v>120</v>
      </c>
      <c r="C43" s="168" t="str">
        <f aca="false">'Score briefjes 25M1P'!AG17</f>
        <v>Baan 6</v>
      </c>
      <c r="D43" s="163" t="str">
        <f aca="false">IF(Deelnemers!D5="Nee","",VLOOKUP(A43,Deelnemers!A:D,2,FALSE()))</f>
        <v>Team 3</v>
      </c>
      <c r="E43" s="1" t="s">
        <v>120</v>
      </c>
      <c r="F43" s="164" t="str">
        <f aca="false">IF(Deelnemers!D5="Nee","",VLOOKUP(C43,Deelnemers!A:D,2,FALSE()))</f>
        <v>Team 6</v>
      </c>
    </row>
    <row r="44" customFormat="false" ht="15.75" hidden="false" customHeight="true" outlineLevel="0" collapsed="false">
      <c r="A44" s="174" t="str">
        <f aca="false">'Score briefjes 25M1P'!AH17</f>
        <v>Baan 4</v>
      </c>
      <c r="B44" s="175" t="s">
        <v>120</v>
      </c>
      <c r="C44" s="175" t="str">
        <f aca="false">'Score briefjes 25M1P'!AI17</f>
        <v>Baan 5</v>
      </c>
      <c r="D44" s="176" t="str">
        <f aca="false">IF(Deelnemers!D5="Nee","",VLOOKUP(A44,Deelnemers!A:D,2,FALSE()))</f>
        <v>Team 4</v>
      </c>
      <c r="E44" s="177" t="s">
        <v>120</v>
      </c>
      <c r="F44" s="178" t="str">
        <f aca="false">IF(Deelnemers!D5="Nee","",VLOOKUP(C44,Deelnemers!A:D,2,FALSE()))</f>
        <v>Team 5</v>
      </c>
    </row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sheet="true" password="c982" objects="true" scenarios="true"/>
  <mergeCells count="10">
    <mergeCell ref="A1:F1"/>
    <mergeCell ref="A2:F2"/>
    <mergeCell ref="A3:F3"/>
    <mergeCell ref="A4:F4"/>
    <mergeCell ref="A10:F10"/>
    <mergeCell ref="A16:F16"/>
    <mergeCell ref="A22:F22"/>
    <mergeCell ref="A28:F28"/>
    <mergeCell ref="A34:F34"/>
    <mergeCell ref="A40:F40"/>
  </mergeCells>
  <printOptions headings="false" gridLines="false" gridLinesSet="true" horizontalCentered="true" verticalCentered="true"/>
  <pageMargins left="0.157638888888889" right="0.157638888888889" top="0.196527777777778" bottom="0.196527777777778" header="0.511811023622047" footer="0.511811023622047"/>
  <pageSetup paperSize="9" scale="118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I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79" width="3.14"/>
    <col collapsed="false" customWidth="true" hidden="false" outlineLevel="0" max="6" min="2" style="179" width="6.43"/>
    <col collapsed="false" customWidth="true" hidden="false" outlineLevel="0" max="7" min="7" style="179" width="0.14"/>
    <col collapsed="false" customWidth="true" hidden="false" outlineLevel="0" max="9" min="8" style="179" width="2.43"/>
    <col collapsed="false" customWidth="true" hidden="false" outlineLevel="0" max="13" min="10" style="179" width="3.71"/>
    <col collapsed="false" customWidth="true" hidden="false" outlineLevel="0" max="15" min="14" style="179" width="2.43"/>
    <col collapsed="false" customWidth="true" hidden="false" outlineLevel="0" max="16" min="16" style="179" width="3.14"/>
    <col collapsed="false" customWidth="true" hidden="false" outlineLevel="0" max="21" min="17" style="179" width="6.43"/>
    <col collapsed="false" customWidth="true" hidden="false" outlineLevel="0" max="22" min="22" style="179" width="0.14"/>
    <col collapsed="false" customWidth="true" hidden="false" outlineLevel="0" max="23" min="23" style="179" width="8.86"/>
    <col collapsed="false" customWidth="true" hidden="false" outlineLevel="0" max="24" min="24" style="179" width="13.72"/>
    <col collapsed="false" customWidth="true" hidden="false" outlineLevel="0" max="25" min="25" style="179" width="5"/>
    <col collapsed="false" customWidth="true" hidden="true" outlineLevel="0" max="27" min="26" style="179" width="7.71"/>
    <col collapsed="false" customWidth="true" hidden="true" outlineLevel="0" max="29" min="28" style="179" width="10.43"/>
    <col collapsed="false" customWidth="true" hidden="true" outlineLevel="0" max="30" min="30" style="179" width="8.71"/>
    <col collapsed="false" customWidth="true" hidden="true" outlineLevel="0" max="31" min="31" style="179" width="7"/>
    <col collapsed="false" customWidth="true" hidden="true" outlineLevel="0" max="32" min="32" style="179" width="7.43"/>
    <col collapsed="false" customWidth="true" hidden="true" outlineLevel="0" max="33" min="33" style="179" width="7"/>
    <col collapsed="false" customWidth="true" hidden="true" outlineLevel="0" max="34" min="34" style="179" width="7.43"/>
    <col collapsed="false" customWidth="true" hidden="true" outlineLevel="0" max="35" min="35" style="179" width="7"/>
    <col collapsed="false" customWidth="true" hidden="true" outlineLevel="0" max="36" min="36" style="179" width="9.14"/>
    <col collapsed="false" customWidth="false" hidden="false" outlineLevel="0" max="16384" min="37" style="179" width="14.43"/>
  </cols>
  <sheetData>
    <row r="1" customFormat="false" ht="14.25" hidden="false" customHeight="true" outlineLevel="0" collapsed="false">
      <c r="A1" s="180"/>
      <c r="I1" s="181"/>
      <c r="J1" s="181"/>
      <c r="K1" s="181"/>
      <c r="L1" s="181"/>
      <c r="M1" s="181"/>
      <c r="N1" s="181"/>
      <c r="P1" s="180"/>
    </row>
    <row r="2" customFormat="false" ht="14.25" hidden="false" customHeight="true" outlineLevel="0" collapsed="false">
      <c r="A2" s="182"/>
      <c r="B2" s="182"/>
      <c r="C2" s="183" t="str">
        <f aca="false">VLOOKUP(Z2,AA14:AI21,2,FALSE())</f>
        <v>Baan 1</v>
      </c>
      <c r="D2" s="183"/>
      <c r="E2" s="183"/>
      <c r="F2" s="183"/>
      <c r="G2" s="184"/>
      <c r="H2" s="185"/>
      <c r="I2" s="186" t="str">
        <f aca="false">Z2</f>
        <v>Ronde 1</v>
      </c>
      <c r="J2" s="186"/>
      <c r="K2" s="186"/>
      <c r="L2" s="186"/>
      <c r="M2" s="186"/>
      <c r="N2" s="186"/>
      <c r="O2" s="185"/>
      <c r="P2" s="182"/>
      <c r="Q2" s="182"/>
      <c r="R2" s="183" t="str">
        <f aca="false">VLOOKUP(Z2,AA14:AI21,3,FALSE())</f>
        <v>Baan 2</v>
      </c>
      <c r="S2" s="183"/>
      <c r="T2" s="183"/>
      <c r="U2" s="183"/>
      <c r="V2" s="184"/>
      <c r="X2" s="187" t="s">
        <v>121</v>
      </c>
      <c r="Y2" s="188" t="n">
        <v>1</v>
      </c>
      <c r="Z2" s="179" t="str">
        <f aca="false">CONCATENATE("Ronde"," ",Y2)</f>
        <v>Ronde 1</v>
      </c>
      <c r="AA2" s="179" t="s">
        <v>94</v>
      </c>
      <c r="AB2" s="189" t="str">
        <f aca="false">Deelnemers!B8</f>
        <v>Team 1</v>
      </c>
      <c r="AC2" s="189" t="str">
        <f aca="false">Deelnemers!B13</f>
        <v>Team 2</v>
      </c>
      <c r="AD2" s="190" t="str">
        <f aca="false">Deelnemers!B18</f>
        <v>Team 3</v>
      </c>
      <c r="AE2" s="190" t="str">
        <f aca="false">Deelnemers!B23</f>
        <v>Team 4</v>
      </c>
      <c r="AF2" s="191" t="str">
        <f aca="false">IF(Deelnemers!D5="Nee","",Deelnemers!B28)</f>
        <v>Team 5</v>
      </c>
      <c r="AG2" s="191" t="str">
        <f aca="false">IF(Deelnemers!D5="Nee","",Deelnemers!B33)</f>
        <v>Team 6</v>
      </c>
      <c r="AH2" s="192" t="str">
        <f aca="false">IF(Deelnemers!D5="Nee","",Deelnemers!B38)</f>
        <v>Team 7</v>
      </c>
      <c r="AI2" s="192" t="str">
        <f aca="false">IF(Deelnemers!D5="Nee","",Deelnemers!B43)</f>
        <v>Team 8</v>
      </c>
    </row>
    <row r="3" customFormat="false" ht="15.75" hidden="false" customHeight="true" outlineLevel="0" collapsed="false">
      <c r="A3" s="182"/>
      <c r="B3" s="182"/>
      <c r="C3" s="193" t="s">
        <v>122</v>
      </c>
      <c r="D3" s="194" t="str">
        <f aca="false">Deelnemers!$B$4</f>
        <v>jjjj-mm-dd</v>
      </c>
      <c r="E3" s="194"/>
      <c r="F3" s="194"/>
      <c r="G3" s="184"/>
      <c r="H3" s="195" t="s">
        <v>123</v>
      </c>
      <c r="I3" s="195"/>
      <c r="J3" s="195"/>
      <c r="K3" s="195"/>
      <c r="L3" s="195"/>
      <c r="M3" s="195"/>
      <c r="N3" s="195"/>
      <c r="O3" s="195"/>
      <c r="P3" s="182"/>
      <c r="Q3" s="182"/>
      <c r="R3" s="193" t="s">
        <v>122</v>
      </c>
      <c r="S3" s="194" t="str">
        <f aca="false">Deelnemers!$B$4</f>
        <v>jjjj-mm-dd</v>
      </c>
      <c r="T3" s="194"/>
      <c r="U3" s="194"/>
      <c r="V3" s="184"/>
      <c r="AA3" s="179" t="s">
        <v>105</v>
      </c>
      <c r="AB3" s="189" t="str">
        <f aca="false">Deelnemers!B8</f>
        <v>Team 1</v>
      </c>
      <c r="AC3" s="189" t="str">
        <f aca="false">Deelnemers!B18</f>
        <v>Team 3</v>
      </c>
      <c r="AD3" s="190" t="str">
        <f aca="false">Deelnemers!B13</f>
        <v>Team 2</v>
      </c>
      <c r="AE3" s="190" t="str">
        <f aca="false">Deelnemers!B23</f>
        <v>Team 4</v>
      </c>
      <c r="AF3" s="191" t="str">
        <f aca="false">IF(Deelnemers!D5="Nee","",Deelnemers!B28)</f>
        <v>Team 5</v>
      </c>
      <c r="AG3" s="191" t="str">
        <f aca="false">IF(Deelnemers!D5="Nee","",Deelnemers!B38)</f>
        <v>Team 7</v>
      </c>
      <c r="AH3" s="192" t="str">
        <f aca="false">IF(Deelnemers!D5="Nee","",Deelnemers!B33)</f>
        <v>Team 6</v>
      </c>
      <c r="AI3" s="192" t="str">
        <f aca="false">IF(Deelnemers!D5="Nee","",Deelnemers!B43)</f>
        <v>Team 8</v>
      </c>
    </row>
    <row r="4" customFormat="false" ht="15.75" hidden="false" customHeight="true" outlineLevel="0" collapsed="false">
      <c r="A4" s="182"/>
      <c r="B4" s="182"/>
      <c r="C4" s="196" t="str">
        <f aca="false">Deelnemers!$B$3</f>
        <v>Naam organisator, Plaats</v>
      </c>
      <c r="D4" s="196"/>
      <c r="E4" s="196"/>
      <c r="F4" s="196"/>
      <c r="G4" s="197"/>
      <c r="H4" s="198" t="s">
        <v>124</v>
      </c>
      <c r="I4" s="198"/>
      <c r="J4" s="198"/>
      <c r="K4" s="198"/>
      <c r="L4" s="198"/>
      <c r="M4" s="198"/>
      <c r="N4" s="198"/>
      <c r="O4" s="198"/>
      <c r="P4" s="182"/>
      <c r="Q4" s="182"/>
      <c r="R4" s="196" t="str">
        <f aca="false">Deelnemers!$B$3</f>
        <v>Naam organisator, Plaats</v>
      </c>
      <c r="S4" s="196"/>
      <c r="T4" s="196"/>
      <c r="U4" s="196"/>
      <c r="V4" s="197"/>
      <c r="AA4" s="179" t="s">
        <v>106</v>
      </c>
      <c r="AB4" s="189" t="str">
        <f aca="false">Deelnemers!B8</f>
        <v>Team 1</v>
      </c>
      <c r="AC4" s="189" t="str">
        <f aca="false">Deelnemers!B23</f>
        <v>Team 4</v>
      </c>
      <c r="AD4" s="190" t="str">
        <f aca="false">Deelnemers!B13</f>
        <v>Team 2</v>
      </c>
      <c r="AE4" s="190" t="str">
        <f aca="false">Deelnemers!B18</f>
        <v>Team 3</v>
      </c>
      <c r="AF4" s="191" t="str">
        <f aca="false">IF(Deelnemers!D5="Nee","",Deelnemers!B28)</f>
        <v>Team 5</v>
      </c>
      <c r="AG4" s="191" t="str">
        <f aca="false">IF(Deelnemers!D5="Nee","",Deelnemers!B43)</f>
        <v>Team 8</v>
      </c>
      <c r="AH4" s="192" t="str">
        <f aca="false">IF(Deelnemers!D5="Nee","",Deelnemers!B33)</f>
        <v>Team 6</v>
      </c>
      <c r="AI4" s="192" t="str">
        <f aca="false">IF(Deelnemers!D5="Nee","",Deelnemers!B38)</f>
        <v>Team 7</v>
      </c>
    </row>
    <row r="5" customFormat="false" ht="15.75" hidden="false" customHeight="true" outlineLevel="0" collapsed="false">
      <c r="A5" s="199" t="s">
        <v>125</v>
      </c>
      <c r="B5" s="200"/>
      <c r="C5" s="201" t="str">
        <f aca="false">VLOOKUP(Z2,AA2:AI8,2,FALSE())</f>
        <v>Team 1</v>
      </c>
      <c r="D5" s="201"/>
      <c r="E5" s="201"/>
      <c r="F5" s="201"/>
      <c r="G5" s="201"/>
      <c r="J5" s="202" t="s">
        <v>114</v>
      </c>
      <c r="K5" s="202"/>
      <c r="L5" s="202"/>
      <c r="M5" s="202"/>
      <c r="P5" s="199" t="s">
        <v>125</v>
      </c>
      <c r="Q5" s="200"/>
      <c r="R5" s="203" t="str">
        <f aca="false">VLOOKUP(Z2,AA2:AI8,3,FALSE())</f>
        <v>Team 2</v>
      </c>
      <c r="S5" s="203"/>
      <c r="T5" s="203"/>
      <c r="U5" s="203"/>
      <c r="V5" s="203"/>
      <c r="AA5" s="179" t="s">
        <v>108</v>
      </c>
      <c r="AB5" s="189" t="str">
        <f aca="false">Deelnemers!B8</f>
        <v>Team 1</v>
      </c>
      <c r="AC5" s="189" t="str">
        <f aca="false">IF(Deelnemers!D5="Nee",Deelnemers!B13,Deelnemers!B28)</f>
        <v>Team 5</v>
      </c>
      <c r="AD5" s="190" t="str">
        <f aca="false">IF(Deelnemers!D5="Nee",Deelnemers!B18,Deelnemers!B13)</f>
        <v>Team 2</v>
      </c>
      <c r="AE5" s="190" t="str">
        <f aca="false">IF(Deelnemers!D5="Nee",Deelnemers!B23,Deelnemers!B33)</f>
        <v>Team 6</v>
      </c>
      <c r="AF5" s="191" t="str">
        <f aca="false">IF(Deelnemers!D5="Nee","",Deelnemers!B18)</f>
        <v>Team 3</v>
      </c>
      <c r="AG5" s="191" t="str">
        <f aca="false">IF(Deelnemers!D5="Nee","",Deelnemers!B38)</f>
        <v>Team 7</v>
      </c>
      <c r="AH5" s="192" t="str">
        <f aca="false">IF(Deelnemers!D5="Nee","",Deelnemers!B23)</f>
        <v>Team 4</v>
      </c>
      <c r="AI5" s="192" t="str">
        <f aca="false">IF(Deelnemers!D5="Nee","",Deelnemers!B43)</f>
        <v>Team 8</v>
      </c>
    </row>
    <row r="6" customFormat="false" ht="14.25" hidden="false" customHeight="true" outlineLevel="0" collapsed="false">
      <c r="A6" s="199" t="s">
        <v>126</v>
      </c>
      <c r="B6" s="204" t="n">
        <f aca="false">IF(C5="","",VLOOKUP(C5,Deelnemers!B8:C46,2,FALSE()))</f>
        <v>0</v>
      </c>
      <c r="C6" s="204"/>
      <c r="D6" s="204"/>
      <c r="E6" s="205" t="s">
        <v>127</v>
      </c>
      <c r="F6" s="205" t="s">
        <v>128</v>
      </c>
      <c r="G6" s="206"/>
      <c r="J6" s="207" t="s">
        <v>129</v>
      </c>
      <c r="K6" s="207"/>
      <c r="L6" s="208" t="s">
        <v>129</v>
      </c>
      <c r="M6" s="208"/>
      <c r="P6" s="199" t="s">
        <v>126</v>
      </c>
      <c r="Q6" s="204" t="n">
        <f aca="false">IF(R5="","",VLOOKUP(R5,Deelnemers!B8:C46,2,FALSE()))</f>
        <v>0</v>
      </c>
      <c r="R6" s="204"/>
      <c r="S6" s="204"/>
      <c r="T6" s="209" t="s">
        <v>127</v>
      </c>
      <c r="U6" s="209" t="s">
        <v>128</v>
      </c>
      <c r="V6" s="206"/>
      <c r="AA6" s="179" t="s">
        <v>109</v>
      </c>
      <c r="AB6" s="189" t="str">
        <f aca="false">Deelnemers!B8</f>
        <v>Team 1</v>
      </c>
      <c r="AC6" s="189" t="str">
        <f aca="false">IF(Deelnemers!D5="Nee",Deelnemers!B18,Deelnemers!B33)</f>
        <v>Team 6</v>
      </c>
      <c r="AD6" s="190" t="str">
        <f aca="false">Deelnemers!B13</f>
        <v>Team 2</v>
      </c>
      <c r="AE6" s="190" t="str">
        <f aca="false">IF(Deelnemers!D5="Nee",Deelnemers!B23,Deelnemers!B28)</f>
        <v>Team 5</v>
      </c>
      <c r="AF6" s="191" t="str">
        <f aca="false">IF(Deelnemers!D5="Nee","",Deelnemers!B18)</f>
        <v>Team 3</v>
      </c>
      <c r="AG6" s="191" t="str">
        <f aca="false">IF(Deelnemers!D5="Nee","",Deelnemers!B43)</f>
        <v>Team 8</v>
      </c>
      <c r="AH6" s="192" t="str">
        <f aca="false">IF(Deelnemers!D5="Nee","",Deelnemers!B23)</f>
        <v>Team 4</v>
      </c>
      <c r="AI6" s="192" t="str">
        <f aca="false">IF(Deelnemers!D5="Nee","",Deelnemers!B38)</f>
        <v>Team 7</v>
      </c>
    </row>
    <row r="7" customFormat="false" ht="19.5" hidden="false" customHeight="true" outlineLevel="0" collapsed="false">
      <c r="A7" s="210" t="n">
        <v>1</v>
      </c>
      <c r="B7" s="206"/>
      <c r="C7" s="206"/>
      <c r="D7" s="206"/>
      <c r="E7" s="211"/>
      <c r="F7" s="212"/>
      <c r="G7" s="213"/>
      <c r="J7" s="214"/>
      <c r="K7" s="214"/>
      <c r="L7" s="215"/>
      <c r="M7" s="215"/>
      <c r="P7" s="210" t="n">
        <v>1</v>
      </c>
      <c r="Q7" s="206"/>
      <c r="R7" s="206"/>
      <c r="S7" s="206"/>
      <c r="T7" s="211"/>
      <c r="U7" s="212"/>
      <c r="V7" s="206"/>
      <c r="AA7" s="179" t="s">
        <v>110</v>
      </c>
      <c r="AB7" s="189" t="str">
        <f aca="false">Deelnemers!B8</f>
        <v>Team 1</v>
      </c>
      <c r="AC7" s="189" t="str">
        <f aca="false">IF(Deelnemers!D5="Nee",Deelnemers!B23,Deelnemers!B38)</f>
        <v>Team 7</v>
      </c>
      <c r="AD7" s="190" t="str">
        <f aca="false">Deelnemers!B13</f>
        <v>Team 2</v>
      </c>
      <c r="AE7" s="190" t="str">
        <f aca="false">IF(Deelnemers!D5="Nee",Deelnemers!B18,Deelnemers!B43)</f>
        <v>Team 8</v>
      </c>
      <c r="AF7" s="191" t="str">
        <f aca="false">IF(Deelnemers!D5="Nee","",Deelnemers!B18)</f>
        <v>Team 3</v>
      </c>
      <c r="AG7" s="191" t="str">
        <f aca="false">IF(Deelnemers!D5="Nee","",Deelnemers!B28)</f>
        <v>Team 5</v>
      </c>
      <c r="AH7" s="192" t="str">
        <f aca="false">IF(Deelnemers!D5="Nee","",Deelnemers!B23)</f>
        <v>Team 4</v>
      </c>
      <c r="AI7" s="192" t="str">
        <f aca="false">IF(Deelnemers!D5="Nee","",Deelnemers!B33)</f>
        <v>Team 6</v>
      </c>
    </row>
    <row r="8" customFormat="false" ht="19.5" hidden="false" customHeight="true" outlineLevel="0" collapsed="false">
      <c r="A8" s="210"/>
      <c r="B8" s="206"/>
      <c r="C8" s="206"/>
      <c r="D8" s="206"/>
      <c r="E8" s="216"/>
      <c r="F8" s="216"/>
      <c r="G8" s="213"/>
      <c r="J8" s="217"/>
      <c r="K8" s="218"/>
      <c r="L8" s="219"/>
      <c r="M8" s="213"/>
      <c r="P8" s="210"/>
      <c r="Q8" s="206"/>
      <c r="R8" s="206"/>
      <c r="S8" s="206"/>
      <c r="T8" s="216"/>
      <c r="U8" s="216"/>
      <c r="V8" s="206"/>
      <c r="AA8" s="179" t="s">
        <v>111</v>
      </c>
      <c r="AB8" s="189" t="str">
        <f aca="false">IF(Deelnemers!D5="Nee","",Deelnemers!B8)</f>
        <v>Team 1</v>
      </c>
      <c r="AC8" s="189" t="str">
        <f aca="false">IF(Deelnemers!D5="Nee","",Deelnemers!B43)</f>
        <v>Team 8</v>
      </c>
      <c r="AD8" s="190" t="str">
        <f aca="false">IF(Deelnemers!D5="Nee","",Deelnemers!B13)</f>
        <v>Team 2</v>
      </c>
      <c r="AE8" s="190" t="str">
        <f aca="false">IF(Deelnemers!D5="Nee","",Deelnemers!B38)</f>
        <v>Team 7</v>
      </c>
      <c r="AF8" s="191" t="str">
        <f aca="false">IF(Deelnemers!D5="Nee","",Deelnemers!B18)</f>
        <v>Team 3</v>
      </c>
      <c r="AG8" s="191" t="str">
        <f aca="false">IF(Deelnemers!D5="Nee","",Deelnemers!B33)</f>
        <v>Team 6</v>
      </c>
      <c r="AH8" s="192" t="str">
        <f aca="false">IF(Deelnemers!D5="Nee","",Deelnemers!B23)</f>
        <v>Team 4</v>
      </c>
      <c r="AI8" s="192" t="str">
        <f aca="false">IF(Deelnemers!D5="Nee","",Deelnemers!B28)</f>
        <v>Team 5</v>
      </c>
    </row>
    <row r="9" customFormat="false" ht="19.5" hidden="false" customHeight="true" outlineLevel="0" collapsed="false">
      <c r="A9" s="210" t="n">
        <v>2</v>
      </c>
      <c r="B9" s="206"/>
      <c r="C9" s="206"/>
      <c r="D9" s="206"/>
      <c r="E9" s="220"/>
      <c r="F9" s="221"/>
      <c r="G9" s="213"/>
      <c r="J9" s="214"/>
      <c r="K9" s="214"/>
      <c r="L9" s="215"/>
      <c r="M9" s="215"/>
      <c r="P9" s="210" t="n">
        <v>2</v>
      </c>
      <c r="Q9" s="206"/>
      <c r="R9" s="206"/>
      <c r="S9" s="206"/>
      <c r="T9" s="220"/>
      <c r="U9" s="221"/>
      <c r="V9" s="206"/>
      <c r="AB9" s="189"/>
      <c r="AC9" s="189"/>
      <c r="AD9" s="190"/>
      <c r="AE9" s="190"/>
      <c r="AF9" s="191"/>
      <c r="AG9" s="191"/>
      <c r="AH9" s="192"/>
      <c r="AI9" s="192"/>
    </row>
    <row r="10" customFormat="false" ht="19.5" hidden="false" customHeight="true" outlineLevel="0" collapsed="false">
      <c r="A10" s="210"/>
      <c r="B10" s="206"/>
      <c r="C10" s="206"/>
      <c r="D10" s="206"/>
      <c r="E10" s="220"/>
      <c r="F10" s="220"/>
      <c r="G10" s="213"/>
      <c r="J10" s="217"/>
      <c r="K10" s="218"/>
      <c r="L10" s="219"/>
      <c r="M10" s="213"/>
      <c r="P10" s="210"/>
      <c r="Q10" s="206"/>
      <c r="R10" s="206"/>
      <c r="S10" s="206"/>
      <c r="T10" s="220"/>
      <c r="U10" s="220"/>
      <c r="V10" s="206"/>
    </row>
    <row r="11" customFormat="false" ht="19.5" hidden="false" customHeight="true" outlineLevel="0" collapsed="false">
      <c r="A11" s="210" t="n">
        <v>3</v>
      </c>
      <c r="B11" s="206"/>
      <c r="C11" s="206"/>
      <c r="D11" s="206"/>
      <c r="E11" s="220"/>
      <c r="F11" s="221"/>
      <c r="G11" s="213"/>
      <c r="J11" s="214"/>
      <c r="K11" s="214"/>
      <c r="L11" s="215"/>
      <c r="M11" s="215"/>
      <c r="P11" s="210" t="n">
        <v>3</v>
      </c>
      <c r="Q11" s="206"/>
      <c r="R11" s="206"/>
      <c r="S11" s="206"/>
      <c r="T11" s="220"/>
      <c r="U11" s="221"/>
      <c r="V11" s="206"/>
    </row>
    <row r="12" customFormat="false" ht="19.5" hidden="false" customHeight="true" outlineLevel="0" collapsed="false">
      <c r="A12" s="210"/>
      <c r="B12" s="206"/>
      <c r="C12" s="206"/>
      <c r="D12" s="206"/>
      <c r="E12" s="220"/>
      <c r="F12" s="220"/>
      <c r="G12" s="213"/>
      <c r="J12" s="217"/>
      <c r="K12" s="218"/>
      <c r="L12" s="219"/>
      <c r="M12" s="213"/>
      <c r="P12" s="210"/>
      <c r="Q12" s="206"/>
      <c r="R12" s="206"/>
      <c r="S12" s="206"/>
      <c r="T12" s="220"/>
      <c r="U12" s="220"/>
      <c r="V12" s="206"/>
    </row>
    <row r="13" customFormat="false" ht="19.5" hidden="false" customHeight="true" outlineLevel="0" collapsed="false">
      <c r="A13" s="210" t="n">
        <v>4</v>
      </c>
      <c r="B13" s="206"/>
      <c r="C13" s="206"/>
      <c r="D13" s="206"/>
      <c r="E13" s="220"/>
      <c r="F13" s="221"/>
      <c r="G13" s="213"/>
      <c r="J13" s="214"/>
      <c r="K13" s="214"/>
      <c r="L13" s="215"/>
      <c r="M13" s="215"/>
      <c r="P13" s="210" t="n">
        <v>4</v>
      </c>
      <c r="Q13" s="206"/>
      <c r="R13" s="206"/>
      <c r="S13" s="206"/>
      <c r="T13" s="220"/>
      <c r="U13" s="221"/>
      <c r="V13" s="206"/>
    </row>
    <row r="14" customFormat="false" ht="19.5" hidden="false" customHeight="true" outlineLevel="0" collapsed="false">
      <c r="A14" s="210"/>
      <c r="B14" s="206"/>
      <c r="C14" s="206"/>
      <c r="D14" s="206"/>
      <c r="E14" s="222"/>
      <c r="F14" s="222"/>
      <c r="G14" s="213"/>
      <c r="J14" s="217"/>
      <c r="K14" s="218"/>
      <c r="L14" s="219"/>
      <c r="M14" s="213"/>
      <c r="P14" s="210"/>
      <c r="Q14" s="206"/>
      <c r="R14" s="206"/>
      <c r="S14" s="206"/>
      <c r="T14" s="222"/>
      <c r="U14" s="222"/>
      <c r="V14" s="206"/>
    </row>
    <row r="15" customFormat="false" ht="19.5" hidden="false" customHeight="true" outlineLevel="0" collapsed="false">
      <c r="A15" s="210" t="n">
        <v>5</v>
      </c>
      <c r="B15" s="206"/>
      <c r="C15" s="206"/>
      <c r="D15" s="206"/>
      <c r="E15" s="220"/>
      <c r="F15" s="221"/>
      <c r="G15" s="213"/>
      <c r="J15" s="214"/>
      <c r="K15" s="214"/>
      <c r="L15" s="215"/>
      <c r="M15" s="215"/>
      <c r="P15" s="210" t="n">
        <v>5</v>
      </c>
      <c r="Q15" s="206"/>
      <c r="R15" s="206"/>
      <c r="S15" s="206"/>
      <c r="T15" s="220"/>
      <c r="U15" s="221"/>
      <c r="V15" s="206"/>
      <c r="AA15" s="179" t="s">
        <v>94</v>
      </c>
      <c r="AB15" s="189" t="str">
        <f aca="false">Deelnemers!A8</f>
        <v>Baan 1</v>
      </c>
      <c r="AC15" s="189" t="str">
        <f aca="false">Deelnemers!A13</f>
        <v>Baan 2</v>
      </c>
      <c r="AD15" s="190" t="str">
        <f aca="false">Deelnemers!A18</f>
        <v>Baan 3</v>
      </c>
      <c r="AE15" s="190" t="str">
        <f aca="false">Deelnemers!A23</f>
        <v>Baan 4</v>
      </c>
      <c r="AF15" s="191" t="str">
        <f aca="false">IF(Deelnemers!D5="Nee","",Deelnemers!A28)</f>
        <v>Baan 5</v>
      </c>
      <c r="AG15" s="191" t="str">
        <f aca="false">IF(Deelnemers!D5="Nee","",Deelnemers!A33)</f>
        <v>Baan 6</v>
      </c>
      <c r="AH15" s="192" t="str">
        <f aca="false">IF(Deelnemers!D5="Nee","",Deelnemers!A38)</f>
        <v>Baan 7</v>
      </c>
      <c r="AI15" s="192" t="str">
        <f aca="false">IF(Deelnemers!D5="Nee","",Deelnemers!A43)</f>
        <v>Baan 8</v>
      </c>
    </row>
    <row r="16" customFormat="false" ht="19.5" hidden="false" customHeight="true" outlineLevel="0" collapsed="false">
      <c r="A16" s="210"/>
      <c r="B16" s="206"/>
      <c r="C16" s="206"/>
      <c r="D16" s="206"/>
      <c r="E16" s="223"/>
      <c r="F16" s="222"/>
      <c r="G16" s="213"/>
      <c r="J16" s="217"/>
      <c r="K16" s="218"/>
      <c r="L16" s="219"/>
      <c r="M16" s="213"/>
      <c r="P16" s="210"/>
      <c r="Q16" s="206"/>
      <c r="R16" s="206"/>
      <c r="S16" s="206"/>
      <c r="T16" s="223"/>
      <c r="U16" s="222"/>
      <c r="V16" s="206"/>
      <c r="AA16" s="179" t="s">
        <v>105</v>
      </c>
      <c r="AB16" s="189" t="str">
        <f aca="false">Deelnemers!A8</f>
        <v>Baan 1</v>
      </c>
      <c r="AC16" s="189" t="str">
        <f aca="false">Deelnemers!A18</f>
        <v>Baan 3</v>
      </c>
      <c r="AD16" s="190" t="str">
        <f aca="false">Deelnemers!A13</f>
        <v>Baan 2</v>
      </c>
      <c r="AE16" s="190" t="str">
        <f aca="false">Deelnemers!A23</f>
        <v>Baan 4</v>
      </c>
      <c r="AF16" s="191" t="str">
        <f aca="false">IF(Deelnemers!D5="Nee","",Deelnemers!A28)</f>
        <v>Baan 5</v>
      </c>
      <c r="AG16" s="191" t="str">
        <f aca="false">IF(Deelnemers!D5="Nee","",Deelnemers!A38)</f>
        <v>Baan 7</v>
      </c>
      <c r="AH16" s="192" t="str">
        <f aca="false">IF(Deelnemers!D5="Nee","",Deelnemers!A33)</f>
        <v>Baan 6</v>
      </c>
      <c r="AI16" s="192" t="str">
        <f aca="false">IF(Deelnemers!D5="Nee","",Deelnemers!A43)</f>
        <v>Baan 8</v>
      </c>
    </row>
    <row r="17" customFormat="false" ht="19.5" hidden="false" customHeight="true" outlineLevel="0" collapsed="false">
      <c r="A17" s="224"/>
      <c r="B17" s="184"/>
      <c r="C17" s="184"/>
      <c r="D17" s="225" t="s">
        <v>128</v>
      </c>
      <c r="E17" s="226"/>
      <c r="F17" s="227"/>
      <c r="G17" s="184"/>
      <c r="J17" s="228"/>
      <c r="K17" s="228"/>
      <c r="L17" s="229"/>
      <c r="M17" s="229"/>
      <c r="P17" s="224"/>
      <c r="Q17" s="185"/>
      <c r="R17" s="184"/>
      <c r="S17" s="225" t="s">
        <v>128</v>
      </c>
      <c r="T17" s="226"/>
      <c r="U17" s="227"/>
      <c r="V17" s="230"/>
      <c r="AA17" s="179" t="s">
        <v>106</v>
      </c>
      <c r="AB17" s="189" t="str">
        <f aca="false">Deelnemers!A8</f>
        <v>Baan 1</v>
      </c>
      <c r="AC17" s="189" t="str">
        <f aca="false">Deelnemers!A23</f>
        <v>Baan 4</v>
      </c>
      <c r="AD17" s="190" t="str">
        <f aca="false">Deelnemers!A13</f>
        <v>Baan 2</v>
      </c>
      <c r="AE17" s="190" t="str">
        <f aca="false">Deelnemers!A18</f>
        <v>Baan 3</v>
      </c>
      <c r="AF17" s="191" t="str">
        <f aca="false">IF(Deelnemers!D5="Nee","",Deelnemers!A28)</f>
        <v>Baan 5</v>
      </c>
      <c r="AG17" s="191" t="str">
        <f aca="false">IF(Deelnemers!D5="Nee","",Deelnemers!A43)</f>
        <v>Baan 8</v>
      </c>
      <c r="AH17" s="192" t="str">
        <f aca="false">IF(Deelnemers!D5="Nee","",Deelnemers!A33)</f>
        <v>Baan 6</v>
      </c>
      <c r="AI17" s="192" t="str">
        <f aca="false">IF(Deelnemers!D5="Nee","",Deelnemers!A38)</f>
        <v>Baan 7</v>
      </c>
    </row>
    <row r="18" customFormat="false" ht="19.5" hidden="false" customHeight="true" outlineLevel="0" collapsed="false">
      <c r="A18" s="231" t="s">
        <v>130</v>
      </c>
      <c r="B18" s="185"/>
      <c r="C18" s="185"/>
      <c r="D18" s="185"/>
      <c r="E18" s="185"/>
      <c r="G18" s="184"/>
      <c r="J18" s="202"/>
      <c r="K18" s="202"/>
      <c r="L18" s="202"/>
      <c r="M18" s="202"/>
      <c r="P18" s="231" t="s">
        <v>130</v>
      </c>
      <c r="Q18" s="185"/>
      <c r="R18" s="185"/>
      <c r="S18" s="185"/>
      <c r="T18" s="185"/>
      <c r="U18" s="185"/>
      <c r="V18" s="184"/>
      <c r="AA18" s="179" t="s">
        <v>108</v>
      </c>
      <c r="AB18" s="189" t="str">
        <f aca="false">Deelnemers!A8</f>
        <v>Baan 1</v>
      </c>
      <c r="AC18" s="189" t="str">
        <f aca="false">IF(Deelnemers!D5="Nee",Deelnemers!A13,Deelnemers!A28)</f>
        <v>Baan 5</v>
      </c>
      <c r="AD18" s="190" t="str">
        <f aca="false">IF(Deelnemers!D5="Nee",Deelnemers!A18,Deelnemers!A13)</f>
        <v>Baan 2</v>
      </c>
      <c r="AE18" s="190" t="str">
        <f aca="false">IF(Deelnemers!D5="Nee",Deelnemers!A23,Deelnemers!A33)</f>
        <v>Baan 6</v>
      </c>
      <c r="AF18" s="191" t="str">
        <f aca="false">IF(Deelnemers!D5="Nee","",Deelnemers!A18)</f>
        <v>Baan 3</v>
      </c>
      <c r="AG18" s="191" t="str">
        <f aca="false">IF(Deelnemers!D5="Nee","",Deelnemers!A38)</f>
        <v>Baan 7</v>
      </c>
      <c r="AH18" s="192" t="str">
        <f aca="false">IF(Deelnemers!D5="Nee","",Deelnemers!A23)</f>
        <v>Baan 4</v>
      </c>
      <c r="AI18" s="192" t="str">
        <f aca="false">IF(Deelnemers!D5="Nee","",Deelnemers!A43)</f>
        <v>Baan 8</v>
      </c>
    </row>
    <row r="19" customFormat="false" ht="14.25" hidden="false" customHeight="true" outlineLevel="0" collapsed="false">
      <c r="A19" s="232" t="s">
        <v>131</v>
      </c>
      <c r="B19" s="233"/>
      <c r="C19" s="233"/>
      <c r="D19" s="233"/>
      <c r="E19" s="233"/>
      <c r="F19" s="233"/>
      <c r="G19" s="197"/>
      <c r="H19" s="234" t="s">
        <v>132</v>
      </c>
      <c r="I19" s="234"/>
      <c r="J19" s="234"/>
      <c r="K19" s="234"/>
      <c r="L19" s="234"/>
      <c r="M19" s="234"/>
      <c r="N19" s="234"/>
      <c r="O19" s="234"/>
      <c r="P19" s="232" t="s">
        <v>131</v>
      </c>
      <c r="Q19" s="233"/>
      <c r="R19" s="233"/>
      <c r="S19" s="233"/>
      <c r="T19" s="233"/>
      <c r="U19" s="233"/>
      <c r="V19" s="197"/>
      <c r="AA19" s="179" t="s">
        <v>109</v>
      </c>
      <c r="AB19" s="189" t="str">
        <f aca="false">Deelnemers!A8</f>
        <v>Baan 1</v>
      </c>
      <c r="AC19" s="189" t="str">
        <f aca="false">IF(Deelnemers!D5="Nee",Deelnemers!A18,Deelnemers!A33)</f>
        <v>Baan 6</v>
      </c>
      <c r="AD19" s="190" t="str">
        <f aca="false">Deelnemers!A13</f>
        <v>Baan 2</v>
      </c>
      <c r="AE19" s="190" t="str">
        <f aca="false">IF(Deelnemers!D5="Nee",Deelnemers!A23,Deelnemers!A28)</f>
        <v>Baan 5</v>
      </c>
      <c r="AF19" s="191" t="str">
        <f aca="false">IF(Deelnemers!D5="Nee","",Deelnemers!A18)</f>
        <v>Baan 3</v>
      </c>
      <c r="AG19" s="191" t="str">
        <f aca="false">IF(Deelnemers!D5="Nee","",Deelnemers!A43)</f>
        <v>Baan 8</v>
      </c>
      <c r="AH19" s="192" t="str">
        <f aca="false">IF(Deelnemers!D5="Nee","",Deelnemers!A23)</f>
        <v>Baan 4</v>
      </c>
      <c r="AI19" s="192" t="str">
        <f aca="false">IF(Deelnemers!D5="Nee","",Deelnemers!A38)</f>
        <v>Baan 7</v>
      </c>
    </row>
    <row r="20" customFormat="false" ht="14.25" hidden="false" customHeight="true" outlineLevel="0" collapsed="false">
      <c r="A20" s="235" t="s">
        <v>133</v>
      </c>
      <c r="G20" s="236"/>
      <c r="H20" s="237" t="s">
        <v>124</v>
      </c>
      <c r="I20" s="237"/>
      <c r="J20" s="237"/>
      <c r="K20" s="237"/>
      <c r="L20" s="237"/>
      <c r="M20" s="237"/>
      <c r="N20" s="237"/>
      <c r="O20" s="237"/>
      <c r="P20" s="235" t="s">
        <v>133</v>
      </c>
      <c r="V20" s="236"/>
      <c r="AA20" s="179" t="s">
        <v>110</v>
      </c>
      <c r="AB20" s="189" t="str">
        <f aca="false">Deelnemers!A8</f>
        <v>Baan 1</v>
      </c>
      <c r="AC20" s="189" t="str">
        <f aca="false">IF(Deelnemers!D5="Nee",Deelnemers!A23,Deelnemers!A38)</f>
        <v>Baan 7</v>
      </c>
      <c r="AD20" s="190" t="str">
        <f aca="false">Deelnemers!A13</f>
        <v>Baan 2</v>
      </c>
      <c r="AE20" s="190" t="str">
        <f aca="false">IF(Deelnemers!D5="Nee",Deelnemers!A18,Deelnemers!A43)</f>
        <v>Baan 8</v>
      </c>
      <c r="AF20" s="191" t="str">
        <f aca="false">IF(Deelnemers!D5="Nee","",Deelnemers!A18)</f>
        <v>Baan 3</v>
      </c>
      <c r="AG20" s="191" t="str">
        <f aca="false">IF(Deelnemers!D5="Nee","",Deelnemers!A28)</f>
        <v>Baan 5</v>
      </c>
      <c r="AH20" s="192" t="str">
        <f aca="false">IF(Deelnemers!D5="Nee","",Deelnemers!A23)</f>
        <v>Baan 4</v>
      </c>
      <c r="AI20" s="192" t="str">
        <f aca="false">IF(Deelnemers!D5="Nee","",Deelnemers!A33)</f>
        <v>Baan 6</v>
      </c>
    </row>
    <row r="21" customFormat="false" ht="14.25" hidden="false" customHeight="true" outlineLevel="0" collapsed="false">
      <c r="A21" s="232" t="s">
        <v>131</v>
      </c>
      <c r="B21" s="233"/>
      <c r="C21" s="233"/>
      <c r="D21" s="233"/>
      <c r="E21" s="233"/>
      <c r="F21" s="233"/>
      <c r="G21" s="197"/>
      <c r="I21" s="238"/>
      <c r="J21" s="239"/>
      <c r="K21" s="239"/>
      <c r="L21" s="240"/>
      <c r="M21" s="240"/>
      <c r="N21" s="238"/>
      <c r="P21" s="232" t="s">
        <v>131</v>
      </c>
      <c r="Q21" s="233"/>
      <c r="R21" s="233"/>
      <c r="S21" s="233"/>
      <c r="T21" s="233"/>
      <c r="U21" s="233"/>
      <c r="V21" s="197"/>
      <c r="AA21" s="179" t="s">
        <v>111</v>
      </c>
      <c r="AB21" s="189" t="str">
        <f aca="false">IF(Deelnemers!D5="Nee","",Deelnemers!A8)</f>
        <v>Baan 1</v>
      </c>
      <c r="AC21" s="189" t="str">
        <f aca="false">IF(Deelnemers!D5="Nee","",Deelnemers!A43)</f>
        <v>Baan 8</v>
      </c>
      <c r="AD21" s="190" t="str">
        <f aca="false">IF(Deelnemers!D5="Nee","",Deelnemers!A13)</f>
        <v>Baan 2</v>
      </c>
      <c r="AE21" s="190" t="str">
        <f aca="false">IF(Deelnemers!D5="Nee","",Deelnemers!A38)</f>
        <v>Baan 7</v>
      </c>
      <c r="AF21" s="191" t="str">
        <f aca="false">IF(Deelnemers!D5="Nee","",Deelnemers!A18)</f>
        <v>Baan 3</v>
      </c>
      <c r="AG21" s="191" t="str">
        <f aca="false">IF(Deelnemers!D5="Nee","",Deelnemers!A33)</f>
        <v>Baan 6</v>
      </c>
      <c r="AH21" s="192" t="str">
        <f aca="false">IF(Deelnemers!D5="Nee","",Deelnemers!A23)</f>
        <v>Baan 4</v>
      </c>
      <c r="AI21" s="192" t="str">
        <f aca="false">IF(Deelnemers!D5="Nee","",Deelnemers!A28)</f>
        <v>Baan 5</v>
      </c>
    </row>
    <row r="22" customFormat="false" ht="19.5" hidden="false" customHeight="true" outlineLevel="0" collapsed="false">
      <c r="A22" s="241"/>
      <c r="I22" s="181"/>
      <c r="J22" s="181"/>
      <c r="K22" s="181"/>
      <c r="L22" s="181"/>
      <c r="M22" s="181"/>
      <c r="N22" s="181"/>
      <c r="P22" s="180"/>
      <c r="V22" s="236"/>
    </row>
    <row r="23" customFormat="false" ht="14.25" hidden="false" customHeight="true" outlineLevel="0" collapsed="false">
      <c r="A23" s="241"/>
      <c r="I23" s="181"/>
      <c r="J23" s="202" t="s">
        <v>134</v>
      </c>
      <c r="K23" s="202"/>
      <c r="L23" s="202"/>
      <c r="M23" s="202"/>
      <c r="N23" s="181"/>
      <c r="P23" s="180"/>
      <c r="V23" s="236"/>
    </row>
    <row r="24" customFormat="false" ht="14.25" hidden="false" customHeight="true" outlineLevel="0" collapsed="false">
      <c r="A24" s="232"/>
      <c r="B24" s="233"/>
      <c r="C24" s="233"/>
      <c r="D24" s="233"/>
      <c r="E24" s="233"/>
      <c r="F24" s="233"/>
      <c r="G24" s="233"/>
      <c r="H24" s="233"/>
      <c r="I24" s="242"/>
      <c r="J24" s="242"/>
      <c r="K24" s="242"/>
      <c r="L24" s="242"/>
      <c r="M24" s="242"/>
      <c r="N24" s="242"/>
      <c r="O24" s="233"/>
      <c r="P24" s="243"/>
      <c r="Q24" s="233"/>
      <c r="R24" s="233"/>
      <c r="S24" s="233"/>
      <c r="T24" s="233"/>
      <c r="U24" s="233"/>
      <c r="V24" s="197"/>
    </row>
    <row r="25" customFormat="false" ht="14.25" hidden="false" customHeight="true" outlineLevel="0" collapsed="false">
      <c r="A25" s="244"/>
      <c r="I25" s="181"/>
      <c r="J25" s="181"/>
      <c r="K25" s="245"/>
      <c r="L25" s="245"/>
      <c r="M25" s="245"/>
      <c r="N25" s="181"/>
      <c r="P25" s="180"/>
      <c r="V25" s="185"/>
    </row>
    <row r="26" customFormat="false" ht="14.25" hidden="false" customHeight="true" outlineLevel="0" collapsed="false">
      <c r="A26" s="182"/>
      <c r="B26" s="182"/>
      <c r="C26" s="183" t="str">
        <f aca="false">VLOOKUP(Z2,AA14:AI21,4,FALSE())</f>
        <v>Baan 3</v>
      </c>
      <c r="D26" s="183"/>
      <c r="E26" s="183"/>
      <c r="F26" s="183"/>
      <c r="G26" s="184"/>
      <c r="H26" s="185"/>
      <c r="I26" s="186" t="str">
        <f aca="false">Z2</f>
        <v>Ronde 1</v>
      </c>
      <c r="J26" s="186"/>
      <c r="K26" s="186"/>
      <c r="L26" s="186"/>
      <c r="M26" s="186"/>
      <c r="N26" s="186"/>
      <c r="O26" s="185"/>
      <c r="P26" s="182"/>
      <c r="Q26" s="182"/>
      <c r="R26" s="183" t="str">
        <f aca="false">VLOOKUP(Z2,AA14:AI21,5,FALSE())</f>
        <v>Baan 4</v>
      </c>
      <c r="S26" s="183"/>
      <c r="T26" s="183"/>
      <c r="U26" s="183"/>
      <c r="V26" s="184"/>
    </row>
    <row r="27" customFormat="false" ht="15.75" hidden="false" customHeight="true" outlineLevel="0" collapsed="false">
      <c r="A27" s="182"/>
      <c r="B27" s="182"/>
      <c r="C27" s="246" t="s">
        <v>122</v>
      </c>
      <c r="D27" s="247" t="str">
        <f aca="false">Deelnemers!$B$4</f>
        <v>jjjj-mm-dd</v>
      </c>
      <c r="E27" s="247"/>
      <c r="F27" s="247"/>
      <c r="G27" s="184"/>
      <c r="H27" s="195" t="s">
        <v>123</v>
      </c>
      <c r="I27" s="195"/>
      <c r="J27" s="195"/>
      <c r="K27" s="195"/>
      <c r="L27" s="195"/>
      <c r="M27" s="195"/>
      <c r="N27" s="195"/>
      <c r="O27" s="195"/>
      <c r="P27" s="182"/>
      <c r="Q27" s="182"/>
      <c r="R27" s="246" t="s">
        <v>122</v>
      </c>
      <c r="S27" s="247" t="str">
        <f aca="false">Deelnemers!$B$4</f>
        <v>jjjj-mm-dd</v>
      </c>
      <c r="T27" s="247"/>
      <c r="U27" s="247"/>
      <c r="V27" s="184"/>
    </row>
    <row r="28" customFormat="false" ht="15.75" hidden="false" customHeight="true" outlineLevel="0" collapsed="false">
      <c r="A28" s="182"/>
      <c r="B28" s="182"/>
      <c r="C28" s="248" t="str">
        <f aca="false">Deelnemers!$B$3</f>
        <v>Naam organisator, Plaats</v>
      </c>
      <c r="D28" s="248"/>
      <c r="E28" s="248"/>
      <c r="F28" s="248"/>
      <c r="G28" s="197"/>
      <c r="H28" s="198" t="s">
        <v>124</v>
      </c>
      <c r="I28" s="198"/>
      <c r="J28" s="198"/>
      <c r="K28" s="198"/>
      <c r="L28" s="198"/>
      <c r="M28" s="198"/>
      <c r="N28" s="198"/>
      <c r="O28" s="198"/>
      <c r="P28" s="182"/>
      <c r="Q28" s="182"/>
      <c r="R28" s="248" t="str">
        <f aca="false">Deelnemers!$B$3</f>
        <v>Naam organisator, Plaats</v>
      </c>
      <c r="S28" s="248"/>
      <c r="T28" s="248"/>
      <c r="U28" s="248"/>
      <c r="V28" s="197"/>
    </row>
    <row r="29" customFormat="false" ht="15.75" hidden="false" customHeight="true" outlineLevel="0" collapsed="false">
      <c r="A29" s="199" t="s">
        <v>125</v>
      </c>
      <c r="B29" s="200"/>
      <c r="C29" s="201" t="str">
        <f aca="false">VLOOKUP(Z2,AA2:AI8,4,FALSE())</f>
        <v>Team 3</v>
      </c>
      <c r="D29" s="201"/>
      <c r="E29" s="201"/>
      <c r="F29" s="201"/>
      <c r="G29" s="201"/>
      <c r="J29" s="202" t="s">
        <v>114</v>
      </c>
      <c r="K29" s="202"/>
      <c r="L29" s="202"/>
      <c r="M29" s="202"/>
      <c r="P29" s="199" t="s">
        <v>125</v>
      </c>
      <c r="Q29" s="200"/>
      <c r="R29" s="203" t="str">
        <f aca="false">VLOOKUP(Z2,AA2:AI8,5,FALSE())</f>
        <v>Team 4</v>
      </c>
      <c r="S29" s="203"/>
      <c r="T29" s="203"/>
      <c r="U29" s="203"/>
      <c r="V29" s="203"/>
    </row>
    <row r="30" customFormat="false" ht="14.25" hidden="false" customHeight="true" outlineLevel="0" collapsed="false">
      <c r="A30" s="199" t="s">
        <v>126</v>
      </c>
      <c r="B30" s="204" t="n">
        <f aca="false">IF(C29="","",VLOOKUP(C29,Deelnemers!B8:C46,2,FALSE()))</f>
        <v>0</v>
      </c>
      <c r="C30" s="204"/>
      <c r="D30" s="204"/>
      <c r="E30" s="209" t="s">
        <v>127</v>
      </c>
      <c r="F30" s="209" t="s">
        <v>128</v>
      </c>
      <c r="G30" s="206"/>
      <c r="J30" s="207" t="s">
        <v>129</v>
      </c>
      <c r="K30" s="207"/>
      <c r="L30" s="208" t="s">
        <v>129</v>
      </c>
      <c r="M30" s="208"/>
      <c r="P30" s="199" t="s">
        <v>126</v>
      </c>
      <c r="Q30" s="204" t="n">
        <f aca="false">IF(R29="","",VLOOKUP(R29,Deelnemers!B8:C46,2,FALSE()))</f>
        <v>0</v>
      </c>
      <c r="R30" s="204"/>
      <c r="S30" s="204"/>
      <c r="T30" s="209" t="s">
        <v>127</v>
      </c>
      <c r="U30" s="209" t="s">
        <v>128</v>
      </c>
      <c r="V30" s="206"/>
    </row>
    <row r="31" customFormat="false" ht="19.5" hidden="false" customHeight="true" outlineLevel="0" collapsed="false">
      <c r="A31" s="210" t="n">
        <v>1</v>
      </c>
      <c r="B31" s="206"/>
      <c r="C31" s="206"/>
      <c r="D31" s="206"/>
      <c r="E31" s="211"/>
      <c r="F31" s="212"/>
      <c r="G31" s="213"/>
      <c r="J31" s="214"/>
      <c r="K31" s="214"/>
      <c r="L31" s="215"/>
      <c r="M31" s="215"/>
      <c r="P31" s="210" t="n">
        <v>1</v>
      </c>
      <c r="Q31" s="206"/>
      <c r="R31" s="206"/>
      <c r="S31" s="206"/>
      <c r="T31" s="211"/>
      <c r="U31" s="212"/>
      <c r="V31" s="206"/>
    </row>
    <row r="32" customFormat="false" ht="19.5" hidden="false" customHeight="true" outlineLevel="0" collapsed="false">
      <c r="A32" s="210"/>
      <c r="B32" s="206"/>
      <c r="C32" s="206"/>
      <c r="D32" s="206"/>
      <c r="E32" s="216"/>
      <c r="F32" s="216"/>
      <c r="G32" s="213"/>
      <c r="J32" s="217"/>
      <c r="K32" s="218"/>
      <c r="L32" s="219"/>
      <c r="M32" s="213"/>
      <c r="P32" s="210"/>
      <c r="Q32" s="206"/>
      <c r="R32" s="206"/>
      <c r="S32" s="206"/>
      <c r="T32" s="216"/>
      <c r="U32" s="216"/>
      <c r="V32" s="206"/>
    </row>
    <row r="33" customFormat="false" ht="19.5" hidden="false" customHeight="true" outlineLevel="0" collapsed="false">
      <c r="A33" s="210" t="n">
        <v>2</v>
      </c>
      <c r="B33" s="206"/>
      <c r="C33" s="206"/>
      <c r="D33" s="206"/>
      <c r="E33" s="220"/>
      <c r="F33" s="221"/>
      <c r="G33" s="213"/>
      <c r="J33" s="214"/>
      <c r="K33" s="214"/>
      <c r="L33" s="215"/>
      <c r="M33" s="215"/>
      <c r="P33" s="210" t="n">
        <v>2</v>
      </c>
      <c r="Q33" s="206"/>
      <c r="R33" s="206"/>
      <c r="S33" s="206"/>
      <c r="T33" s="220"/>
      <c r="U33" s="221"/>
      <c r="V33" s="206"/>
    </row>
    <row r="34" customFormat="false" ht="19.5" hidden="false" customHeight="true" outlineLevel="0" collapsed="false">
      <c r="A34" s="210"/>
      <c r="B34" s="206"/>
      <c r="C34" s="206"/>
      <c r="D34" s="206"/>
      <c r="E34" s="220"/>
      <c r="F34" s="220"/>
      <c r="G34" s="213"/>
      <c r="J34" s="217"/>
      <c r="K34" s="218"/>
      <c r="L34" s="219"/>
      <c r="M34" s="213"/>
      <c r="P34" s="210"/>
      <c r="Q34" s="206"/>
      <c r="R34" s="206"/>
      <c r="S34" s="206"/>
      <c r="T34" s="220"/>
      <c r="U34" s="220"/>
      <c r="V34" s="206"/>
    </row>
    <row r="35" customFormat="false" ht="19.5" hidden="false" customHeight="true" outlineLevel="0" collapsed="false">
      <c r="A35" s="210" t="n">
        <v>3</v>
      </c>
      <c r="B35" s="206"/>
      <c r="C35" s="206"/>
      <c r="D35" s="206"/>
      <c r="E35" s="220"/>
      <c r="F35" s="221"/>
      <c r="G35" s="213"/>
      <c r="J35" s="214"/>
      <c r="K35" s="214"/>
      <c r="L35" s="215"/>
      <c r="M35" s="215"/>
      <c r="P35" s="210" t="n">
        <v>3</v>
      </c>
      <c r="Q35" s="206"/>
      <c r="R35" s="206"/>
      <c r="S35" s="206"/>
      <c r="T35" s="220"/>
      <c r="U35" s="221"/>
      <c r="V35" s="206"/>
    </row>
    <row r="36" customFormat="false" ht="19.5" hidden="false" customHeight="true" outlineLevel="0" collapsed="false">
      <c r="A36" s="210"/>
      <c r="B36" s="206"/>
      <c r="C36" s="206"/>
      <c r="D36" s="206"/>
      <c r="E36" s="220"/>
      <c r="F36" s="220"/>
      <c r="G36" s="213"/>
      <c r="J36" s="217"/>
      <c r="K36" s="218"/>
      <c r="L36" s="219"/>
      <c r="M36" s="213"/>
      <c r="P36" s="210"/>
      <c r="Q36" s="206"/>
      <c r="R36" s="206"/>
      <c r="S36" s="206"/>
      <c r="T36" s="220"/>
      <c r="U36" s="220"/>
      <c r="V36" s="206"/>
    </row>
    <row r="37" customFormat="false" ht="19.5" hidden="false" customHeight="true" outlineLevel="0" collapsed="false">
      <c r="A37" s="210" t="n">
        <v>4</v>
      </c>
      <c r="B37" s="206"/>
      <c r="C37" s="206"/>
      <c r="D37" s="206"/>
      <c r="E37" s="220"/>
      <c r="F37" s="221"/>
      <c r="G37" s="213"/>
      <c r="J37" s="214"/>
      <c r="K37" s="214"/>
      <c r="L37" s="215"/>
      <c r="M37" s="215"/>
      <c r="P37" s="210" t="n">
        <v>4</v>
      </c>
      <c r="Q37" s="206"/>
      <c r="R37" s="206"/>
      <c r="S37" s="206"/>
      <c r="T37" s="220"/>
      <c r="U37" s="221"/>
      <c r="V37" s="206"/>
    </row>
    <row r="38" customFormat="false" ht="19.5" hidden="false" customHeight="true" outlineLevel="0" collapsed="false">
      <c r="A38" s="210"/>
      <c r="B38" s="206"/>
      <c r="C38" s="206"/>
      <c r="D38" s="206"/>
      <c r="E38" s="222"/>
      <c r="F38" s="222"/>
      <c r="G38" s="213"/>
      <c r="J38" s="217"/>
      <c r="K38" s="218"/>
      <c r="L38" s="219"/>
      <c r="M38" s="213"/>
      <c r="P38" s="210"/>
      <c r="Q38" s="206"/>
      <c r="R38" s="206"/>
      <c r="S38" s="206"/>
      <c r="T38" s="222"/>
      <c r="U38" s="222"/>
      <c r="V38" s="206"/>
    </row>
    <row r="39" customFormat="false" ht="19.5" hidden="false" customHeight="true" outlineLevel="0" collapsed="false">
      <c r="A39" s="210" t="n">
        <v>5</v>
      </c>
      <c r="B39" s="206"/>
      <c r="C39" s="206"/>
      <c r="D39" s="206"/>
      <c r="E39" s="220"/>
      <c r="F39" s="221"/>
      <c r="G39" s="213"/>
      <c r="J39" s="214"/>
      <c r="K39" s="214"/>
      <c r="L39" s="215"/>
      <c r="M39" s="215"/>
      <c r="P39" s="210" t="n">
        <v>5</v>
      </c>
      <c r="Q39" s="206"/>
      <c r="R39" s="206"/>
      <c r="S39" s="206"/>
      <c r="T39" s="220"/>
      <c r="U39" s="221"/>
      <c r="V39" s="206"/>
    </row>
    <row r="40" customFormat="false" ht="19.5" hidden="false" customHeight="true" outlineLevel="0" collapsed="false">
      <c r="A40" s="210"/>
      <c r="B40" s="206"/>
      <c r="C40" s="206"/>
      <c r="D40" s="206"/>
      <c r="E40" s="223"/>
      <c r="F40" s="222"/>
      <c r="G40" s="213"/>
      <c r="J40" s="217"/>
      <c r="K40" s="218"/>
      <c r="L40" s="219"/>
      <c r="M40" s="213"/>
      <c r="P40" s="210"/>
      <c r="Q40" s="206"/>
      <c r="R40" s="206"/>
      <c r="S40" s="206"/>
      <c r="T40" s="223"/>
      <c r="U40" s="222"/>
      <c r="V40" s="230"/>
    </row>
    <row r="41" customFormat="false" ht="19.5" hidden="false" customHeight="true" outlineLevel="0" collapsed="false">
      <c r="A41" s="224"/>
      <c r="B41" s="185"/>
      <c r="C41" s="184"/>
      <c r="D41" s="225" t="s">
        <v>128</v>
      </c>
      <c r="E41" s="226"/>
      <c r="F41" s="227"/>
      <c r="G41" s="230"/>
      <c r="J41" s="228"/>
      <c r="K41" s="228"/>
      <c r="L41" s="229"/>
      <c r="M41" s="229"/>
      <c r="P41" s="224"/>
      <c r="Q41" s="185"/>
      <c r="R41" s="184"/>
      <c r="S41" s="225" t="s">
        <v>128</v>
      </c>
      <c r="T41" s="226"/>
      <c r="U41" s="227"/>
      <c r="V41" s="230"/>
    </row>
    <row r="42" customFormat="false" ht="19.5" hidden="false" customHeight="true" outlineLevel="0" collapsed="false">
      <c r="A42" s="231" t="s">
        <v>130</v>
      </c>
      <c r="B42" s="185"/>
      <c r="C42" s="185"/>
      <c r="D42" s="185"/>
      <c r="E42" s="185"/>
      <c r="F42" s="185"/>
      <c r="G42" s="184"/>
      <c r="J42" s="202"/>
      <c r="K42" s="202"/>
      <c r="L42" s="202"/>
      <c r="M42" s="202"/>
      <c r="P42" s="231" t="s">
        <v>130</v>
      </c>
      <c r="Q42" s="185"/>
      <c r="R42" s="185"/>
      <c r="S42" s="185"/>
      <c r="T42" s="185"/>
      <c r="U42" s="185"/>
      <c r="V42" s="184"/>
    </row>
    <row r="43" customFormat="false" ht="14.25" hidden="false" customHeight="true" outlineLevel="0" collapsed="false">
      <c r="A43" s="232" t="s">
        <v>131</v>
      </c>
      <c r="B43" s="233"/>
      <c r="C43" s="233"/>
      <c r="D43" s="233"/>
      <c r="E43" s="233"/>
      <c r="F43" s="233"/>
      <c r="G43" s="197"/>
      <c r="H43" s="234" t="s">
        <v>132</v>
      </c>
      <c r="I43" s="234"/>
      <c r="J43" s="234"/>
      <c r="K43" s="234"/>
      <c r="L43" s="234"/>
      <c r="M43" s="234"/>
      <c r="N43" s="234"/>
      <c r="O43" s="234"/>
      <c r="P43" s="232" t="s">
        <v>131</v>
      </c>
      <c r="Q43" s="233"/>
      <c r="R43" s="233"/>
      <c r="S43" s="233"/>
      <c r="T43" s="233"/>
      <c r="U43" s="233"/>
      <c r="V43" s="197"/>
    </row>
    <row r="44" customFormat="false" ht="14.25" hidden="false" customHeight="true" outlineLevel="0" collapsed="false">
      <c r="A44" s="235" t="s">
        <v>133</v>
      </c>
      <c r="G44" s="236"/>
      <c r="H44" s="237" t="s">
        <v>124</v>
      </c>
      <c r="I44" s="237"/>
      <c r="J44" s="237"/>
      <c r="K44" s="237"/>
      <c r="L44" s="237"/>
      <c r="M44" s="237"/>
      <c r="N44" s="237"/>
      <c r="O44" s="237"/>
      <c r="P44" s="235" t="s">
        <v>133</v>
      </c>
      <c r="V44" s="236"/>
    </row>
    <row r="45" customFormat="false" ht="14.25" hidden="false" customHeight="true" outlineLevel="0" collapsed="false">
      <c r="A45" s="232" t="s">
        <v>131</v>
      </c>
      <c r="B45" s="233"/>
      <c r="C45" s="233"/>
      <c r="D45" s="233"/>
      <c r="E45" s="233"/>
      <c r="F45" s="233"/>
      <c r="G45" s="197"/>
      <c r="I45" s="238"/>
      <c r="J45" s="239"/>
      <c r="K45" s="239"/>
      <c r="L45" s="240"/>
      <c r="M45" s="240"/>
      <c r="N45" s="238"/>
      <c r="P45" s="232" t="s">
        <v>131</v>
      </c>
      <c r="Q45" s="233"/>
      <c r="R45" s="233"/>
      <c r="S45" s="233"/>
      <c r="T45" s="233"/>
      <c r="U45" s="233"/>
      <c r="V45" s="197"/>
    </row>
    <row r="46" customFormat="false" ht="19.5" hidden="false" customHeight="true" outlineLevel="0" collapsed="false">
      <c r="A46" s="249"/>
      <c r="I46" s="181"/>
      <c r="J46" s="181"/>
      <c r="K46" s="181"/>
      <c r="L46" s="181"/>
      <c r="M46" s="181"/>
      <c r="N46" s="181"/>
      <c r="P46" s="180"/>
      <c r="V46" s="236"/>
    </row>
    <row r="47" customFormat="false" ht="14.25" hidden="false" customHeight="true" outlineLevel="0" collapsed="false">
      <c r="A47" s="241"/>
      <c r="I47" s="181"/>
      <c r="J47" s="202" t="s">
        <v>134</v>
      </c>
      <c r="K47" s="202"/>
      <c r="L47" s="202"/>
      <c r="M47" s="202"/>
      <c r="N47" s="181"/>
      <c r="P47" s="180"/>
      <c r="V47" s="236"/>
    </row>
    <row r="48" customFormat="false" ht="14.25" hidden="false" customHeight="true" outlineLevel="0" collapsed="false">
      <c r="A48" s="232"/>
      <c r="B48" s="233"/>
      <c r="C48" s="233"/>
      <c r="D48" s="233"/>
      <c r="E48" s="233"/>
      <c r="F48" s="233"/>
      <c r="G48" s="233"/>
      <c r="H48" s="233"/>
      <c r="I48" s="242"/>
      <c r="J48" s="242"/>
      <c r="K48" s="242"/>
      <c r="L48" s="242"/>
      <c r="M48" s="242"/>
      <c r="N48" s="242"/>
      <c r="O48" s="233"/>
      <c r="P48" s="243"/>
      <c r="Q48" s="233"/>
      <c r="R48" s="233"/>
      <c r="S48" s="233"/>
      <c r="T48" s="233"/>
      <c r="U48" s="233"/>
      <c r="V48" s="197"/>
    </row>
    <row r="49" customFormat="false" ht="15" hidden="false" customHeight="true" outlineLevel="0" collapsed="false">
      <c r="A49" s="180"/>
      <c r="I49" s="181"/>
      <c r="J49" s="181"/>
      <c r="K49" s="181"/>
      <c r="L49" s="181"/>
      <c r="M49" s="181"/>
      <c r="N49" s="181"/>
      <c r="P49" s="180"/>
    </row>
    <row r="50" customFormat="false" ht="14.25" hidden="false" customHeight="true" outlineLevel="0" collapsed="false">
      <c r="A50" s="182"/>
      <c r="B50" s="182"/>
      <c r="C50" s="183" t="str">
        <f aca="false">VLOOKUP(Z2,AA14:AI21,6,FALSE())</f>
        <v>Baan 5</v>
      </c>
      <c r="D50" s="183"/>
      <c r="E50" s="183"/>
      <c r="F50" s="183"/>
      <c r="G50" s="184"/>
      <c r="H50" s="185"/>
      <c r="I50" s="186" t="str">
        <f aca="false">Z2</f>
        <v>Ronde 1</v>
      </c>
      <c r="J50" s="186"/>
      <c r="K50" s="186"/>
      <c r="L50" s="186"/>
      <c r="M50" s="186"/>
      <c r="N50" s="186"/>
      <c r="O50" s="185"/>
      <c r="P50" s="182"/>
      <c r="Q50" s="182"/>
      <c r="R50" s="183" t="str">
        <f aca="false">VLOOKUP(Z2,AA14:AI21,7,FALSE())</f>
        <v>Baan 6</v>
      </c>
      <c r="S50" s="183"/>
      <c r="T50" s="183"/>
      <c r="U50" s="183"/>
      <c r="V50" s="184"/>
    </row>
    <row r="51" customFormat="false" ht="15.75" hidden="false" customHeight="true" outlineLevel="0" collapsed="false">
      <c r="A51" s="182"/>
      <c r="B51" s="182"/>
      <c r="C51" s="250" t="s">
        <v>122</v>
      </c>
      <c r="D51" s="251" t="str">
        <f aca="false">Deelnemers!$B$4</f>
        <v>jjjj-mm-dd</v>
      </c>
      <c r="E51" s="251"/>
      <c r="F51" s="251"/>
      <c r="G51" s="184"/>
      <c r="H51" s="195" t="s">
        <v>123</v>
      </c>
      <c r="I51" s="195"/>
      <c r="J51" s="195"/>
      <c r="K51" s="195"/>
      <c r="L51" s="195"/>
      <c r="M51" s="195"/>
      <c r="N51" s="195"/>
      <c r="O51" s="195"/>
      <c r="P51" s="182"/>
      <c r="Q51" s="182"/>
      <c r="R51" s="250" t="s">
        <v>122</v>
      </c>
      <c r="S51" s="251" t="str">
        <f aca="false">Deelnemers!$B$4</f>
        <v>jjjj-mm-dd</v>
      </c>
      <c r="T51" s="251"/>
      <c r="U51" s="251"/>
      <c r="V51" s="184"/>
    </row>
    <row r="52" customFormat="false" ht="15.75" hidden="false" customHeight="true" outlineLevel="0" collapsed="false">
      <c r="A52" s="182"/>
      <c r="B52" s="182"/>
      <c r="C52" s="252" t="str">
        <f aca="false">Deelnemers!$B$3</f>
        <v>Naam organisator, Plaats</v>
      </c>
      <c r="D52" s="252"/>
      <c r="E52" s="252"/>
      <c r="F52" s="252"/>
      <c r="G52" s="197"/>
      <c r="H52" s="198" t="s">
        <v>124</v>
      </c>
      <c r="I52" s="198"/>
      <c r="J52" s="198"/>
      <c r="K52" s="198"/>
      <c r="L52" s="198"/>
      <c r="M52" s="198"/>
      <c r="N52" s="198"/>
      <c r="O52" s="198"/>
      <c r="P52" s="182"/>
      <c r="Q52" s="182"/>
      <c r="R52" s="252" t="str">
        <f aca="false">Deelnemers!$B$3</f>
        <v>Naam organisator, Plaats</v>
      </c>
      <c r="S52" s="252"/>
      <c r="T52" s="252"/>
      <c r="U52" s="252"/>
      <c r="V52" s="197"/>
    </row>
    <row r="53" customFormat="false" ht="15.75" hidden="false" customHeight="true" outlineLevel="0" collapsed="false">
      <c r="A53" s="199" t="s">
        <v>125</v>
      </c>
      <c r="B53" s="200"/>
      <c r="C53" s="201" t="str">
        <f aca="false">VLOOKUP(Z2,AA2:AI8,6,FALSE())</f>
        <v>Team 5</v>
      </c>
      <c r="D53" s="201"/>
      <c r="E53" s="201"/>
      <c r="F53" s="201"/>
      <c r="G53" s="201"/>
      <c r="J53" s="202" t="s">
        <v>114</v>
      </c>
      <c r="K53" s="202"/>
      <c r="L53" s="202"/>
      <c r="M53" s="202"/>
      <c r="P53" s="199" t="s">
        <v>125</v>
      </c>
      <c r="Q53" s="200"/>
      <c r="R53" s="203" t="str">
        <f aca="false">VLOOKUP(Z2,AA2:AI8,7,FALSE())</f>
        <v>Team 6</v>
      </c>
      <c r="S53" s="203"/>
      <c r="T53" s="203"/>
      <c r="U53" s="203"/>
      <c r="V53" s="203"/>
    </row>
    <row r="54" customFormat="false" ht="14.25" hidden="false" customHeight="true" outlineLevel="0" collapsed="false">
      <c r="A54" s="199" t="s">
        <v>126</v>
      </c>
      <c r="B54" s="204" t="n">
        <f aca="false">IF(C53="","",VLOOKUP(C53,Deelnemers!B8:C46,2,FALSE()))</f>
        <v>0</v>
      </c>
      <c r="C54" s="204"/>
      <c r="D54" s="204"/>
      <c r="E54" s="209" t="s">
        <v>127</v>
      </c>
      <c r="F54" s="209" t="s">
        <v>128</v>
      </c>
      <c r="G54" s="206"/>
      <c r="J54" s="207" t="s">
        <v>129</v>
      </c>
      <c r="K54" s="207"/>
      <c r="L54" s="208" t="s">
        <v>129</v>
      </c>
      <c r="M54" s="208"/>
      <c r="P54" s="199" t="s">
        <v>126</v>
      </c>
      <c r="Q54" s="204" t="n">
        <f aca="false">IF(R53="","",VLOOKUP(R53,Deelnemers!B8:C46,2,FALSE()))</f>
        <v>0</v>
      </c>
      <c r="R54" s="204"/>
      <c r="S54" s="204"/>
      <c r="T54" s="209" t="s">
        <v>127</v>
      </c>
      <c r="U54" s="209" t="s">
        <v>128</v>
      </c>
      <c r="V54" s="206"/>
    </row>
    <row r="55" customFormat="false" ht="19.5" hidden="false" customHeight="true" outlineLevel="0" collapsed="false">
      <c r="A55" s="210" t="n">
        <v>1</v>
      </c>
      <c r="B55" s="206"/>
      <c r="C55" s="206"/>
      <c r="D55" s="206"/>
      <c r="E55" s="211"/>
      <c r="F55" s="212"/>
      <c r="G55" s="213"/>
      <c r="J55" s="214"/>
      <c r="K55" s="214"/>
      <c r="L55" s="215"/>
      <c r="M55" s="215"/>
      <c r="P55" s="210" t="n">
        <v>1</v>
      </c>
      <c r="Q55" s="206"/>
      <c r="R55" s="206"/>
      <c r="S55" s="206"/>
      <c r="T55" s="211"/>
      <c r="U55" s="212"/>
      <c r="V55" s="206"/>
    </row>
    <row r="56" customFormat="false" ht="19.5" hidden="false" customHeight="true" outlineLevel="0" collapsed="false">
      <c r="A56" s="210"/>
      <c r="B56" s="206"/>
      <c r="C56" s="206"/>
      <c r="D56" s="206"/>
      <c r="E56" s="216"/>
      <c r="F56" s="216"/>
      <c r="G56" s="213"/>
      <c r="J56" s="217"/>
      <c r="K56" s="218"/>
      <c r="L56" s="219"/>
      <c r="M56" s="213"/>
      <c r="P56" s="210"/>
      <c r="Q56" s="206"/>
      <c r="R56" s="206"/>
      <c r="S56" s="206"/>
      <c r="T56" s="216"/>
      <c r="U56" s="216"/>
      <c r="V56" s="206"/>
    </row>
    <row r="57" customFormat="false" ht="19.5" hidden="false" customHeight="true" outlineLevel="0" collapsed="false">
      <c r="A57" s="210" t="n">
        <v>2</v>
      </c>
      <c r="B57" s="206"/>
      <c r="C57" s="206"/>
      <c r="D57" s="206"/>
      <c r="E57" s="220"/>
      <c r="F57" s="221"/>
      <c r="G57" s="213"/>
      <c r="J57" s="214"/>
      <c r="K57" s="214"/>
      <c r="L57" s="215"/>
      <c r="M57" s="215"/>
      <c r="P57" s="210" t="n">
        <v>2</v>
      </c>
      <c r="Q57" s="206"/>
      <c r="R57" s="206"/>
      <c r="S57" s="206"/>
      <c r="T57" s="220"/>
      <c r="U57" s="221"/>
      <c r="V57" s="206"/>
    </row>
    <row r="58" customFormat="false" ht="19.5" hidden="false" customHeight="true" outlineLevel="0" collapsed="false">
      <c r="A58" s="210"/>
      <c r="B58" s="206"/>
      <c r="C58" s="206"/>
      <c r="D58" s="206"/>
      <c r="E58" s="220"/>
      <c r="F58" s="220"/>
      <c r="G58" s="213"/>
      <c r="J58" s="217"/>
      <c r="K58" s="218"/>
      <c r="L58" s="219"/>
      <c r="M58" s="213"/>
      <c r="P58" s="210"/>
      <c r="Q58" s="206"/>
      <c r="R58" s="206"/>
      <c r="S58" s="206"/>
      <c r="T58" s="220"/>
      <c r="U58" s="220"/>
      <c r="V58" s="206"/>
    </row>
    <row r="59" customFormat="false" ht="19.5" hidden="false" customHeight="true" outlineLevel="0" collapsed="false">
      <c r="A59" s="210" t="n">
        <v>3</v>
      </c>
      <c r="B59" s="206"/>
      <c r="C59" s="206"/>
      <c r="D59" s="206"/>
      <c r="E59" s="220"/>
      <c r="F59" s="221"/>
      <c r="G59" s="213"/>
      <c r="J59" s="214"/>
      <c r="K59" s="214"/>
      <c r="L59" s="215"/>
      <c r="M59" s="215"/>
      <c r="P59" s="210" t="n">
        <v>3</v>
      </c>
      <c r="Q59" s="206"/>
      <c r="R59" s="206"/>
      <c r="S59" s="206"/>
      <c r="T59" s="220"/>
      <c r="U59" s="221"/>
      <c r="V59" s="206"/>
    </row>
    <row r="60" customFormat="false" ht="19.5" hidden="false" customHeight="true" outlineLevel="0" collapsed="false">
      <c r="A60" s="210"/>
      <c r="B60" s="206"/>
      <c r="C60" s="206"/>
      <c r="D60" s="206"/>
      <c r="E60" s="220"/>
      <c r="F60" s="220"/>
      <c r="G60" s="213"/>
      <c r="J60" s="217"/>
      <c r="K60" s="218"/>
      <c r="L60" s="219"/>
      <c r="M60" s="213"/>
      <c r="P60" s="210"/>
      <c r="Q60" s="206"/>
      <c r="R60" s="206"/>
      <c r="S60" s="206"/>
      <c r="T60" s="220"/>
      <c r="U60" s="220"/>
      <c r="V60" s="206"/>
    </row>
    <row r="61" customFormat="false" ht="19.5" hidden="false" customHeight="true" outlineLevel="0" collapsed="false">
      <c r="A61" s="210" t="n">
        <v>4</v>
      </c>
      <c r="B61" s="206"/>
      <c r="C61" s="206"/>
      <c r="D61" s="206"/>
      <c r="E61" s="220"/>
      <c r="F61" s="221"/>
      <c r="G61" s="213"/>
      <c r="J61" s="214"/>
      <c r="K61" s="214"/>
      <c r="L61" s="215"/>
      <c r="M61" s="215"/>
      <c r="P61" s="210" t="n">
        <v>4</v>
      </c>
      <c r="Q61" s="206"/>
      <c r="R61" s="206"/>
      <c r="S61" s="206"/>
      <c r="T61" s="220"/>
      <c r="U61" s="221"/>
      <c r="V61" s="206"/>
    </row>
    <row r="62" customFormat="false" ht="19.5" hidden="false" customHeight="true" outlineLevel="0" collapsed="false">
      <c r="A62" s="210"/>
      <c r="B62" s="206"/>
      <c r="C62" s="206"/>
      <c r="D62" s="206"/>
      <c r="E62" s="222"/>
      <c r="F62" s="222"/>
      <c r="G62" s="213"/>
      <c r="J62" s="217"/>
      <c r="K62" s="218"/>
      <c r="L62" s="219"/>
      <c r="M62" s="213"/>
      <c r="P62" s="210"/>
      <c r="Q62" s="206"/>
      <c r="R62" s="206"/>
      <c r="S62" s="206"/>
      <c r="T62" s="222"/>
      <c r="U62" s="222"/>
      <c r="V62" s="206"/>
    </row>
    <row r="63" customFormat="false" ht="19.5" hidden="false" customHeight="true" outlineLevel="0" collapsed="false">
      <c r="A63" s="210" t="n">
        <v>5</v>
      </c>
      <c r="B63" s="206"/>
      <c r="C63" s="206"/>
      <c r="D63" s="206"/>
      <c r="E63" s="220"/>
      <c r="F63" s="221"/>
      <c r="G63" s="213"/>
      <c r="J63" s="214"/>
      <c r="K63" s="214"/>
      <c r="L63" s="215"/>
      <c r="M63" s="215"/>
      <c r="P63" s="210" t="n">
        <v>5</v>
      </c>
      <c r="Q63" s="206"/>
      <c r="R63" s="206"/>
      <c r="S63" s="206"/>
      <c r="T63" s="220"/>
      <c r="U63" s="221"/>
      <c r="V63" s="206"/>
    </row>
    <row r="64" customFormat="false" ht="19.5" hidden="false" customHeight="true" outlineLevel="0" collapsed="false">
      <c r="A64" s="210"/>
      <c r="B64" s="206"/>
      <c r="C64" s="206"/>
      <c r="D64" s="206"/>
      <c r="E64" s="223"/>
      <c r="F64" s="222"/>
      <c r="G64" s="213"/>
      <c r="J64" s="217"/>
      <c r="K64" s="218"/>
      <c r="L64" s="219"/>
      <c r="M64" s="213"/>
      <c r="P64" s="210"/>
      <c r="Q64" s="206"/>
      <c r="R64" s="206"/>
      <c r="S64" s="206"/>
      <c r="T64" s="223"/>
      <c r="U64" s="222"/>
      <c r="V64" s="206"/>
    </row>
    <row r="65" customFormat="false" ht="19.5" hidden="false" customHeight="true" outlineLevel="0" collapsed="false">
      <c r="A65" s="224"/>
      <c r="B65" s="185"/>
      <c r="C65" s="184"/>
      <c r="D65" s="225" t="s">
        <v>128</v>
      </c>
      <c r="E65" s="226"/>
      <c r="F65" s="227"/>
      <c r="G65" s="230"/>
      <c r="J65" s="228"/>
      <c r="K65" s="228"/>
      <c r="L65" s="229"/>
      <c r="M65" s="229"/>
      <c r="P65" s="224"/>
      <c r="Q65" s="185"/>
      <c r="R65" s="184"/>
      <c r="S65" s="225" t="s">
        <v>128</v>
      </c>
      <c r="T65" s="226"/>
      <c r="U65" s="227"/>
      <c r="V65" s="230"/>
    </row>
    <row r="66" customFormat="false" ht="19.5" hidden="false" customHeight="true" outlineLevel="0" collapsed="false">
      <c r="A66" s="231" t="s">
        <v>130</v>
      </c>
      <c r="B66" s="185"/>
      <c r="C66" s="185"/>
      <c r="D66" s="185"/>
      <c r="E66" s="185"/>
      <c r="F66" s="185"/>
      <c r="G66" s="184"/>
      <c r="J66" s="202"/>
      <c r="K66" s="202"/>
      <c r="L66" s="202"/>
      <c r="M66" s="202"/>
      <c r="P66" s="231" t="s">
        <v>130</v>
      </c>
      <c r="Q66" s="185"/>
      <c r="R66" s="185"/>
      <c r="S66" s="185"/>
      <c r="T66" s="185"/>
      <c r="U66" s="185"/>
      <c r="V66" s="184"/>
    </row>
    <row r="67" customFormat="false" ht="14.25" hidden="false" customHeight="true" outlineLevel="0" collapsed="false">
      <c r="A67" s="232" t="s">
        <v>131</v>
      </c>
      <c r="B67" s="233"/>
      <c r="C67" s="233"/>
      <c r="D67" s="233"/>
      <c r="E67" s="233"/>
      <c r="F67" s="233"/>
      <c r="G67" s="197"/>
      <c r="H67" s="234" t="s">
        <v>132</v>
      </c>
      <c r="I67" s="234"/>
      <c r="J67" s="234"/>
      <c r="K67" s="234"/>
      <c r="L67" s="234"/>
      <c r="M67" s="234"/>
      <c r="N67" s="234"/>
      <c r="O67" s="234"/>
      <c r="P67" s="232" t="s">
        <v>131</v>
      </c>
      <c r="Q67" s="233"/>
      <c r="R67" s="233"/>
      <c r="S67" s="233"/>
      <c r="T67" s="233"/>
      <c r="U67" s="233"/>
      <c r="V67" s="197"/>
    </row>
    <row r="68" customFormat="false" ht="14.25" hidden="false" customHeight="true" outlineLevel="0" collapsed="false">
      <c r="A68" s="235" t="s">
        <v>133</v>
      </c>
      <c r="G68" s="236"/>
      <c r="H68" s="237" t="s">
        <v>124</v>
      </c>
      <c r="I68" s="237"/>
      <c r="J68" s="237"/>
      <c r="K68" s="237"/>
      <c r="L68" s="237"/>
      <c r="M68" s="237"/>
      <c r="N68" s="237"/>
      <c r="O68" s="237"/>
      <c r="P68" s="235" t="s">
        <v>133</v>
      </c>
      <c r="V68" s="236"/>
    </row>
    <row r="69" customFormat="false" ht="14.25" hidden="false" customHeight="true" outlineLevel="0" collapsed="false">
      <c r="A69" s="232" t="s">
        <v>131</v>
      </c>
      <c r="B69" s="233"/>
      <c r="C69" s="233"/>
      <c r="D69" s="233"/>
      <c r="E69" s="233"/>
      <c r="F69" s="233"/>
      <c r="G69" s="197"/>
      <c r="I69" s="238"/>
      <c r="J69" s="239"/>
      <c r="K69" s="239"/>
      <c r="L69" s="240"/>
      <c r="M69" s="240"/>
      <c r="N69" s="238"/>
      <c r="P69" s="232" t="s">
        <v>131</v>
      </c>
      <c r="Q69" s="233"/>
      <c r="R69" s="233"/>
      <c r="S69" s="233"/>
      <c r="T69" s="233"/>
      <c r="U69" s="233"/>
      <c r="V69" s="197"/>
    </row>
    <row r="70" customFormat="false" ht="19.5" hidden="false" customHeight="true" outlineLevel="0" collapsed="false">
      <c r="A70" s="241"/>
      <c r="I70" s="181"/>
      <c r="J70" s="181"/>
      <c r="K70" s="181"/>
      <c r="L70" s="181"/>
      <c r="M70" s="181"/>
      <c r="N70" s="181"/>
      <c r="P70" s="180"/>
      <c r="V70" s="236"/>
    </row>
    <row r="71" customFormat="false" ht="14.25" hidden="false" customHeight="true" outlineLevel="0" collapsed="false">
      <c r="A71" s="241"/>
      <c r="I71" s="181"/>
      <c r="J71" s="202" t="s">
        <v>134</v>
      </c>
      <c r="K71" s="202"/>
      <c r="L71" s="202"/>
      <c r="M71" s="202"/>
      <c r="N71" s="181"/>
      <c r="P71" s="180"/>
      <c r="V71" s="236"/>
    </row>
    <row r="72" customFormat="false" ht="14.25" hidden="false" customHeight="true" outlineLevel="0" collapsed="false">
      <c r="A72" s="232"/>
      <c r="B72" s="233"/>
      <c r="C72" s="233"/>
      <c r="D72" s="233"/>
      <c r="E72" s="233"/>
      <c r="F72" s="233"/>
      <c r="G72" s="233"/>
      <c r="H72" s="233"/>
      <c r="I72" s="242"/>
      <c r="J72" s="242"/>
      <c r="K72" s="242"/>
      <c r="L72" s="242"/>
      <c r="M72" s="242"/>
      <c r="N72" s="242"/>
      <c r="O72" s="233"/>
      <c r="P72" s="243"/>
      <c r="Q72" s="233"/>
      <c r="R72" s="233"/>
      <c r="S72" s="233"/>
      <c r="T72" s="233"/>
      <c r="U72" s="233"/>
      <c r="V72" s="197"/>
    </row>
    <row r="73" customFormat="false" ht="14.25" hidden="false" customHeight="true" outlineLevel="0" collapsed="false">
      <c r="A73" s="244"/>
      <c r="I73" s="181"/>
      <c r="J73" s="181"/>
      <c r="K73" s="245"/>
      <c r="L73" s="245"/>
      <c r="M73" s="245"/>
      <c r="N73" s="181"/>
      <c r="P73" s="180"/>
      <c r="V73" s="185"/>
    </row>
    <row r="74" customFormat="false" ht="14.25" hidden="false" customHeight="true" outlineLevel="0" collapsed="false">
      <c r="A74" s="182"/>
      <c r="B74" s="182"/>
      <c r="C74" s="183" t="str">
        <f aca="false">VLOOKUP(Z2,AA14:AI21,8,FALSE())</f>
        <v>Baan 7</v>
      </c>
      <c r="D74" s="183"/>
      <c r="E74" s="183"/>
      <c r="F74" s="183"/>
      <c r="G74" s="184"/>
      <c r="H74" s="185"/>
      <c r="I74" s="186" t="str">
        <f aca="false">Z2</f>
        <v>Ronde 1</v>
      </c>
      <c r="J74" s="186"/>
      <c r="K74" s="186"/>
      <c r="L74" s="186"/>
      <c r="M74" s="186"/>
      <c r="N74" s="186"/>
      <c r="O74" s="185"/>
      <c r="P74" s="182"/>
      <c r="Q74" s="182"/>
      <c r="R74" s="183" t="str">
        <f aca="false">VLOOKUP(Z2,AA14:AI21,9,FALSE())</f>
        <v>Baan 8</v>
      </c>
      <c r="S74" s="183"/>
      <c r="T74" s="183"/>
      <c r="U74" s="183"/>
      <c r="V74" s="184"/>
    </row>
    <row r="75" customFormat="false" ht="15.75" hidden="false" customHeight="true" outlineLevel="0" collapsed="false">
      <c r="A75" s="182"/>
      <c r="B75" s="182"/>
      <c r="C75" s="253" t="s">
        <v>122</v>
      </c>
      <c r="D75" s="254" t="str">
        <f aca="false">Deelnemers!$B$4</f>
        <v>jjjj-mm-dd</v>
      </c>
      <c r="E75" s="254"/>
      <c r="F75" s="254"/>
      <c r="G75" s="184"/>
      <c r="H75" s="195" t="s">
        <v>123</v>
      </c>
      <c r="I75" s="195"/>
      <c r="J75" s="195"/>
      <c r="K75" s="195"/>
      <c r="L75" s="195"/>
      <c r="M75" s="195"/>
      <c r="N75" s="195"/>
      <c r="O75" s="195"/>
      <c r="P75" s="182"/>
      <c r="Q75" s="182"/>
      <c r="R75" s="253" t="s">
        <v>122</v>
      </c>
      <c r="S75" s="254" t="str">
        <f aca="false">Deelnemers!$B$4</f>
        <v>jjjj-mm-dd</v>
      </c>
      <c r="T75" s="254"/>
      <c r="U75" s="254"/>
      <c r="V75" s="184"/>
    </row>
    <row r="76" customFormat="false" ht="15.75" hidden="false" customHeight="true" outlineLevel="0" collapsed="false">
      <c r="A76" s="182"/>
      <c r="B76" s="182"/>
      <c r="C76" s="255" t="str">
        <f aca="false">Deelnemers!$B$3</f>
        <v>Naam organisator, Plaats</v>
      </c>
      <c r="D76" s="255"/>
      <c r="E76" s="255"/>
      <c r="F76" s="255"/>
      <c r="G76" s="197"/>
      <c r="H76" s="198" t="s">
        <v>124</v>
      </c>
      <c r="I76" s="198"/>
      <c r="J76" s="198"/>
      <c r="K76" s="198"/>
      <c r="L76" s="198"/>
      <c r="M76" s="198"/>
      <c r="N76" s="198"/>
      <c r="O76" s="198"/>
      <c r="P76" s="182"/>
      <c r="Q76" s="182"/>
      <c r="R76" s="255" t="str">
        <f aca="false">Deelnemers!$B$3</f>
        <v>Naam organisator, Plaats</v>
      </c>
      <c r="S76" s="255"/>
      <c r="T76" s="255"/>
      <c r="U76" s="255"/>
      <c r="V76" s="197"/>
    </row>
    <row r="77" customFormat="false" ht="15.75" hidden="false" customHeight="true" outlineLevel="0" collapsed="false">
      <c r="A77" s="199" t="s">
        <v>125</v>
      </c>
      <c r="B77" s="200"/>
      <c r="C77" s="201" t="str">
        <f aca="false">VLOOKUP(Z2,AA2:AI8,8,FALSE())</f>
        <v>Team 7</v>
      </c>
      <c r="D77" s="201"/>
      <c r="E77" s="201"/>
      <c r="F77" s="201"/>
      <c r="G77" s="201"/>
      <c r="J77" s="202" t="s">
        <v>114</v>
      </c>
      <c r="K77" s="202"/>
      <c r="L77" s="202"/>
      <c r="M77" s="202"/>
      <c r="P77" s="199" t="s">
        <v>125</v>
      </c>
      <c r="Q77" s="200"/>
      <c r="R77" s="203" t="str">
        <f aca="false">VLOOKUP(Z2,AA2:AI8,9,FALSE())</f>
        <v>Team 8</v>
      </c>
      <c r="S77" s="203"/>
      <c r="T77" s="203"/>
      <c r="U77" s="203"/>
      <c r="V77" s="203"/>
    </row>
    <row r="78" customFormat="false" ht="14.25" hidden="false" customHeight="true" outlineLevel="0" collapsed="false">
      <c r="A78" s="199" t="s">
        <v>126</v>
      </c>
      <c r="B78" s="204" t="n">
        <f aca="false">IF(C77="","",VLOOKUP(C77,Deelnemers!B8:C46,2,FALSE()))</f>
        <v>0</v>
      </c>
      <c r="C78" s="204"/>
      <c r="D78" s="204"/>
      <c r="E78" s="209" t="s">
        <v>127</v>
      </c>
      <c r="F78" s="209" t="s">
        <v>128</v>
      </c>
      <c r="G78" s="206"/>
      <c r="J78" s="207" t="s">
        <v>129</v>
      </c>
      <c r="K78" s="207"/>
      <c r="L78" s="208" t="s">
        <v>129</v>
      </c>
      <c r="M78" s="208"/>
      <c r="P78" s="199" t="s">
        <v>126</v>
      </c>
      <c r="Q78" s="204" t="n">
        <f aca="false">IF(R77="","",VLOOKUP(R77,Deelnemers!B8:C46,2,FALSE()))</f>
        <v>0</v>
      </c>
      <c r="R78" s="204"/>
      <c r="S78" s="204"/>
      <c r="T78" s="209" t="s">
        <v>127</v>
      </c>
      <c r="U78" s="209" t="s">
        <v>128</v>
      </c>
      <c r="V78" s="206"/>
    </row>
    <row r="79" customFormat="false" ht="19.5" hidden="false" customHeight="true" outlineLevel="0" collapsed="false">
      <c r="A79" s="210" t="n">
        <v>1</v>
      </c>
      <c r="B79" s="206"/>
      <c r="C79" s="206"/>
      <c r="D79" s="206"/>
      <c r="E79" s="211"/>
      <c r="F79" s="212"/>
      <c r="G79" s="213"/>
      <c r="J79" s="214"/>
      <c r="K79" s="214"/>
      <c r="L79" s="215"/>
      <c r="M79" s="215"/>
      <c r="P79" s="210" t="n">
        <v>1</v>
      </c>
      <c r="Q79" s="206"/>
      <c r="R79" s="206"/>
      <c r="S79" s="206"/>
      <c r="T79" s="211"/>
      <c r="U79" s="212"/>
      <c r="V79" s="206"/>
    </row>
    <row r="80" customFormat="false" ht="19.5" hidden="false" customHeight="true" outlineLevel="0" collapsed="false">
      <c r="A80" s="210"/>
      <c r="B80" s="206"/>
      <c r="C80" s="206"/>
      <c r="D80" s="206"/>
      <c r="E80" s="216"/>
      <c r="F80" s="216"/>
      <c r="G80" s="213"/>
      <c r="J80" s="217"/>
      <c r="K80" s="218"/>
      <c r="L80" s="219"/>
      <c r="M80" s="213"/>
      <c r="P80" s="210"/>
      <c r="Q80" s="206"/>
      <c r="R80" s="206"/>
      <c r="S80" s="206"/>
      <c r="T80" s="216"/>
      <c r="U80" s="216"/>
      <c r="V80" s="206"/>
    </row>
    <row r="81" customFormat="false" ht="19.5" hidden="false" customHeight="true" outlineLevel="0" collapsed="false">
      <c r="A81" s="210" t="n">
        <v>2</v>
      </c>
      <c r="B81" s="206"/>
      <c r="C81" s="206"/>
      <c r="D81" s="206"/>
      <c r="E81" s="220"/>
      <c r="F81" s="221"/>
      <c r="G81" s="213"/>
      <c r="J81" s="214"/>
      <c r="K81" s="214"/>
      <c r="L81" s="215"/>
      <c r="M81" s="215"/>
      <c r="P81" s="210" t="n">
        <v>2</v>
      </c>
      <c r="Q81" s="206"/>
      <c r="R81" s="206"/>
      <c r="S81" s="206"/>
      <c r="T81" s="220"/>
      <c r="U81" s="221"/>
      <c r="V81" s="206"/>
    </row>
    <row r="82" customFormat="false" ht="19.5" hidden="false" customHeight="true" outlineLevel="0" collapsed="false">
      <c r="A82" s="210"/>
      <c r="B82" s="206"/>
      <c r="C82" s="206"/>
      <c r="D82" s="206"/>
      <c r="E82" s="220"/>
      <c r="F82" s="220"/>
      <c r="G82" s="213"/>
      <c r="J82" s="217"/>
      <c r="K82" s="218"/>
      <c r="L82" s="219"/>
      <c r="M82" s="213"/>
      <c r="P82" s="210"/>
      <c r="Q82" s="206"/>
      <c r="R82" s="206"/>
      <c r="S82" s="206"/>
      <c r="T82" s="220"/>
      <c r="U82" s="220"/>
      <c r="V82" s="206"/>
    </row>
    <row r="83" customFormat="false" ht="19.5" hidden="false" customHeight="true" outlineLevel="0" collapsed="false">
      <c r="A83" s="210" t="n">
        <v>3</v>
      </c>
      <c r="B83" s="206"/>
      <c r="C83" s="206"/>
      <c r="D83" s="206"/>
      <c r="E83" s="220"/>
      <c r="F83" s="221"/>
      <c r="G83" s="213"/>
      <c r="J83" s="214"/>
      <c r="K83" s="214"/>
      <c r="L83" s="215"/>
      <c r="M83" s="215"/>
      <c r="P83" s="210" t="n">
        <v>3</v>
      </c>
      <c r="Q83" s="206"/>
      <c r="R83" s="206"/>
      <c r="S83" s="206"/>
      <c r="T83" s="220"/>
      <c r="U83" s="221"/>
      <c r="V83" s="206"/>
    </row>
    <row r="84" customFormat="false" ht="19.5" hidden="false" customHeight="true" outlineLevel="0" collapsed="false">
      <c r="A84" s="210"/>
      <c r="B84" s="206"/>
      <c r="C84" s="206"/>
      <c r="D84" s="206"/>
      <c r="E84" s="220"/>
      <c r="F84" s="220"/>
      <c r="G84" s="213"/>
      <c r="J84" s="217"/>
      <c r="K84" s="218"/>
      <c r="L84" s="219"/>
      <c r="M84" s="213"/>
      <c r="P84" s="210"/>
      <c r="Q84" s="206"/>
      <c r="R84" s="206"/>
      <c r="S84" s="206"/>
      <c r="T84" s="220"/>
      <c r="U84" s="220"/>
      <c r="V84" s="206"/>
    </row>
    <row r="85" customFormat="false" ht="19.5" hidden="false" customHeight="true" outlineLevel="0" collapsed="false">
      <c r="A85" s="210" t="n">
        <v>4</v>
      </c>
      <c r="B85" s="206"/>
      <c r="C85" s="206"/>
      <c r="D85" s="206"/>
      <c r="E85" s="220"/>
      <c r="F85" s="221"/>
      <c r="G85" s="213"/>
      <c r="J85" s="214"/>
      <c r="K85" s="214"/>
      <c r="L85" s="215"/>
      <c r="M85" s="215"/>
      <c r="P85" s="210" t="n">
        <v>4</v>
      </c>
      <c r="Q85" s="206"/>
      <c r="R85" s="206"/>
      <c r="S85" s="206"/>
      <c r="T85" s="220"/>
      <c r="U85" s="221"/>
      <c r="V85" s="206"/>
    </row>
    <row r="86" customFormat="false" ht="19.5" hidden="false" customHeight="true" outlineLevel="0" collapsed="false">
      <c r="A86" s="210"/>
      <c r="B86" s="206"/>
      <c r="C86" s="206"/>
      <c r="D86" s="206"/>
      <c r="E86" s="222"/>
      <c r="F86" s="222"/>
      <c r="G86" s="213"/>
      <c r="J86" s="217"/>
      <c r="K86" s="218"/>
      <c r="L86" s="219"/>
      <c r="M86" s="213"/>
      <c r="P86" s="210"/>
      <c r="Q86" s="206"/>
      <c r="R86" s="206"/>
      <c r="S86" s="206"/>
      <c r="T86" s="222"/>
      <c r="U86" s="222"/>
      <c r="V86" s="206"/>
    </row>
    <row r="87" customFormat="false" ht="19.5" hidden="false" customHeight="true" outlineLevel="0" collapsed="false">
      <c r="A87" s="210" t="n">
        <v>5</v>
      </c>
      <c r="B87" s="206"/>
      <c r="C87" s="206"/>
      <c r="D87" s="206"/>
      <c r="E87" s="220"/>
      <c r="F87" s="221"/>
      <c r="G87" s="213"/>
      <c r="J87" s="214"/>
      <c r="K87" s="214"/>
      <c r="L87" s="215"/>
      <c r="M87" s="215"/>
      <c r="P87" s="210" t="n">
        <v>5</v>
      </c>
      <c r="Q87" s="206"/>
      <c r="R87" s="206"/>
      <c r="S87" s="206"/>
      <c r="T87" s="220"/>
      <c r="U87" s="221"/>
      <c r="V87" s="206"/>
    </row>
    <row r="88" customFormat="false" ht="19.5" hidden="false" customHeight="true" outlineLevel="0" collapsed="false">
      <c r="A88" s="210"/>
      <c r="B88" s="206"/>
      <c r="C88" s="206"/>
      <c r="D88" s="206"/>
      <c r="E88" s="223"/>
      <c r="F88" s="222"/>
      <c r="G88" s="213"/>
      <c r="J88" s="217"/>
      <c r="K88" s="218"/>
      <c r="L88" s="219"/>
      <c r="M88" s="213"/>
      <c r="P88" s="210"/>
      <c r="Q88" s="206"/>
      <c r="R88" s="206"/>
      <c r="S88" s="206"/>
      <c r="T88" s="223"/>
      <c r="U88" s="222"/>
      <c r="V88" s="206"/>
    </row>
    <row r="89" customFormat="false" ht="19.5" hidden="false" customHeight="true" outlineLevel="0" collapsed="false">
      <c r="A89" s="224"/>
      <c r="B89" s="185"/>
      <c r="C89" s="184"/>
      <c r="D89" s="225" t="s">
        <v>128</v>
      </c>
      <c r="E89" s="226"/>
      <c r="F89" s="227"/>
      <c r="G89" s="230"/>
      <c r="J89" s="228"/>
      <c r="K89" s="228"/>
      <c r="L89" s="229"/>
      <c r="M89" s="229"/>
      <c r="P89" s="224"/>
      <c r="Q89" s="185"/>
      <c r="R89" s="184"/>
      <c r="S89" s="225" t="s">
        <v>128</v>
      </c>
      <c r="T89" s="226"/>
      <c r="U89" s="227"/>
      <c r="V89" s="230"/>
    </row>
    <row r="90" customFormat="false" ht="19.5" hidden="false" customHeight="true" outlineLevel="0" collapsed="false">
      <c r="A90" s="231" t="s">
        <v>130</v>
      </c>
      <c r="B90" s="185"/>
      <c r="C90" s="185"/>
      <c r="D90" s="185"/>
      <c r="E90" s="185"/>
      <c r="F90" s="185"/>
      <c r="G90" s="184"/>
      <c r="J90" s="202"/>
      <c r="K90" s="202"/>
      <c r="L90" s="202"/>
      <c r="M90" s="202"/>
      <c r="P90" s="231" t="s">
        <v>130</v>
      </c>
      <c r="Q90" s="185"/>
      <c r="R90" s="185"/>
      <c r="S90" s="185"/>
      <c r="T90" s="185"/>
      <c r="U90" s="185"/>
      <c r="V90" s="184"/>
    </row>
    <row r="91" customFormat="false" ht="14.25" hidden="false" customHeight="true" outlineLevel="0" collapsed="false">
      <c r="A91" s="232" t="s">
        <v>131</v>
      </c>
      <c r="B91" s="233"/>
      <c r="C91" s="233"/>
      <c r="D91" s="233"/>
      <c r="E91" s="233"/>
      <c r="F91" s="233"/>
      <c r="G91" s="197"/>
      <c r="H91" s="234" t="s">
        <v>132</v>
      </c>
      <c r="I91" s="234"/>
      <c r="J91" s="234"/>
      <c r="K91" s="234"/>
      <c r="L91" s="234"/>
      <c r="M91" s="234"/>
      <c r="N91" s="234"/>
      <c r="O91" s="234"/>
      <c r="P91" s="232" t="s">
        <v>131</v>
      </c>
      <c r="Q91" s="233"/>
      <c r="R91" s="233"/>
      <c r="S91" s="233"/>
      <c r="T91" s="233"/>
      <c r="U91" s="233"/>
      <c r="V91" s="197"/>
    </row>
    <row r="92" customFormat="false" ht="14.25" hidden="false" customHeight="true" outlineLevel="0" collapsed="false">
      <c r="A92" s="235" t="s">
        <v>133</v>
      </c>
      <c r="G92" s="236"/>
      <c r="H92" s="237" t="s">
        <v>124</v>
      </c>
      <c r="I92" s="237"/>
      <c r="J92" s="237"/>
      <c r="K92" s="237"/>
      <c r="L92" s="237"/>
      <c r="M92" s="237"/>
      <c r="N92" s="237"/>
      <c r="O92" s="237"/>
      <c r="P92" s="235" t="s">
        <v>133</v>
      </c>
      <c r="V92" s="236"/>
    </row>
    <row r="93" customFormat="false" ht="14.25" hidden="false" customHeight="true" outlineLevel="0" collapsed="false">
      <c r="A93" s="232" t="s">
        <v>131</v>
      </c>
      <c r="B93" s="233"/>
      <c r="C93" s="233"/>
      <c r="D93" s="233"/>
      <c r="E93" s="233"/>
      <c r="F93" s="233"/>
      <c r="G93" s="197"/>
      <c r="I93" s="238"/>
      <c r="J93" s="239"/>
      <c r="K93" s="239"/>
      <c r="L93" s="240"/>
      <c r="M93" s="240"/>
      <c r="N93" s="238"/>
      <c r="P93" s="232" t="s">
        <v>131</v>
      </c>
      <c r="Q93" s="233"/>
      <c r="R93" s="233"/>
      <c r="S93" s="233"/>
      <c r="T93" s="233"/>
      <c r="U93" s="233"/>
      <c r="V93" s="197"/>
    </row>
    <row r="94" customFormat="false" ht="19.5" hidden="false" customHeight="true" outlineLevel="0" collapsed="false">
      <c r="A94" s="249"/>
      <c r="I94" s="181"/>
      <c r="J94" s="181"/>
      <c r="K94" s="181"/>
      <c r="L94" s="181"/>
      <c r="M94" s="181"/>
      <c r="N94" s="181"/>
      <c r="P94" s="180"/>
      <c r="V94" s="236"/>
    </row>
    <row r="95" customFormat="false" ht="14.25" hidden="false" customHeight="true" outlineLevel="0" collapsed="false">
      <c r="A95" s="241"/>
      <c r="I95" s="181"/>
      <c r="J95" s="202" t="s">
        <v>134</v>
      </c>
      <c r="K95" s="202"/>
      <c r="L95" s="202"/>
      <c r="M95" s="202"/>
      <c r="N95" s="181"/>
      <c r="P95" s="180"/>
      <c r="V95" s="236"/>
    </row>
    <row r="96" customFormat="false" ht="14.25" hidden="false" customHeight="true" outlineLevel="0" collapsed="false">
      <c r="A96" s="232"/>
      <c r="B96" s="233"/>
      <c r="C96" s="233"/>
      <c r="D96" s="233"/>
      <c r="E96" s="233"/>
      <c r="F96" s="233"/>
      <c r="G96" s="233"/>
      <c r="H96" s="233"/>
      <c r="I96" s="242"/>
      <c r="J96" s="242"/>
      <c r="K96" s="242"/>
      <c r="L96" s="242"/>
      <c r="M96" s="242"/>
      <c r="N96" s="242"/>
      <c r="O96" s="233"/>
      <c r="P96" s="243"/>
      <c r="Q96" s="233"/>
      <c r="R96" s="233"/>
      <c r="S96" s="233"/>
      <c r="T96" s="233"/>
      <c r="U96" s="233"/>
      <c r="V96" s="197"/>
    </row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sheet="true" password="c982" objects="true" scenarios="true"/>
  <mergeCells count="148">
    <mergeCell ref="A2:B4"/>
    <mergeCell ref="C2:F2"/>
    <mergeCell ref="I2:N2"/>
    <mergeCell ref="P2:Q4"/>
    <mergeCell ref="R2:U2"/>
    <mergeCell ref="D3:F3"/>
    <mergeCell ref="H3:O3"/>
    <mergeCell ref="S3:U3"/>
    <mergeCell ref="C4:F4"/>
    <mergeCell ref="H4:O4"/>
    <mergeCell ref="R4:U4"/>
    <mergeCell ref="C5:G5"/>
    <mergeCell ref="J5:M5"/>
    <mergeCell ref="R5:V5"/>
    <mergeCell ref="B6:D6"/>
    <mergeCell ref="J6:K6"/>
    <mergeCell ref="L6:M6"/>
    <mergeCell ref="Q6:S6"/>
    <mergeCell ref="J7:K7"/>
    <mergeCell ref="L7:M7"/>
    <mergeCell ref="J9:K9"/>
    <mergeCell ref="L9:M9"/>
    <mergeCell ref="J11:K11"/>
    <mergeCell ref="L11:M11"/>
    <mergeCell ref="J13:K13"/>
    <mergeCell ref="L13:M13"/>
    <mergeCell ref="J15:K15"/>
    <mergeCell ref="L15:M15"/>
    <mergeCell ref="J17:K17"/>
    <mergeCell ref="L17:M17"/>
    <mergeCell ref="J18:M18"/>
    <mergeCell ref="H19:O19"/>
    <mergeCell ref="H20:O20"/>
    <mergeCell ref="J21:K21"/>
    <mergeCell ref="L21:M21"/>
    <mergeCell ref="J23:M23"/>
    <mergeCell ref="J24:M24"/>
    <mergeCell ref="A26:B28"/>
    <mergeCell ref="C26:F26"/>
    <mergeCell ref="I26:N26"/>
    <mergeCell ref="P26:Q28"/>
    <mergeCell ref="R26:U26"/>
    <mergeCell ref="D27:F27"/>
    <mergeCell ref="H27:O27"/>
    <mergeCell ref="S27:U27"/>
    <mergeCell ref="C28:F28"/>
    <mergeCell ref="H28:O28"/>
    <mergeCell ref="R28:U28"/>
    <mergeCell ref="C29:G29"/>
    <mergeCell ref="J29:M29"/>
    <mergeCell ref="R29:V29"/>
    <mergeCell ref="B30:D30"/>
    <mergeCell ref="J30:K30"/>
    <mergeCell ref="L30:M30"/>
    <mergeCell ref="Q30:S30"/>
    <mergeCell ref="J31:K31"/>
    <mergeCell ref="L31:M31"/>
    <mergeCell ref="J33:K33"/>
    <mergeCell ref="L33:M33"/>
    <mergeCell ref="J35:K35"/>
    <mergeCell ref="L35:M35"/>
    <mergeCell ref="J37:K37"/>
    <mergeCell ref="L37:M37"/>
    <mergeCell ref="J39:K39"/>
    <mergeCell ref="L39:M39"/>
    <mergeCell ref="J41:K41"/>
    <mergeCell ref="L41:M41"/>
    <mergeCell ref="J42:M42"/>
    <mergeCell ref="H43:O43"/>
    <mergeCell ref="H44:O44"/>
    <mergeCell ref="J45:K45"/>
    <mergeCell ref="L45:M45"/>
    <mergeCell ref="J47:M47"/>
    <mergeCell ref="J48:M48"/>
    <mergeCell ref="A50:B52"/>
    <mergeCell ref="C50:F50"/>
    <mergeCell ref="I50:N50"/>
    <mergeCell ref="P50:Q52"/>
    <mergeCell ref="R50:U50"/>
    <mergeCell ref="D51:F51"/>
    <mergeCell ref="H51:O51"/>
    <mergeCell ref="S51:U51"/>
    <mergeCell ref="C52:F52"/>
    <mergeCell ref="H52:O52"/>
    <mergeCell ref="R52:U52"/>
    <mergeCell ref="C53:G53"/>
    <mergeCell ref="J53:M53"/>
    <mergeCell ref="R53:V53"/>
    <mergeCell ref="B54:D54"/>
    <mergeCell ref="J54:K54"/>
    <mergeCell ref="L54:M54"/>
    <mergeCell ref="Q54:S54"/>
    <mergeCell ref="J55:K55"/>
    <mergeCell ref="L55:M55"/>
    <mergeCell ref="J57:K57"/>
    <mergeCell ref="L57:M57"/>
    <mergeCell ref="J59:K59"/>
    <mergeCell ref="L59:M59"/>
    <mergeCell ref="J61:K61"/>
    <mergeCell ref="L61:M61"/>
    <mergeCell ref="J63:K63"/>
    <mergeCell ref="L63:M63"/>
    <mergeCell ref="J65:K65"/>
    <mergeCell ref="L65:M65"/>
    <mergeCell ref="J66:M66"/>
    <mergeCell ref="H67:O67"/>
    <mergeCell ref="H68:O68"/>
    <mergeCell ref="J69:K69"/>
    <mergeCell ref="L69:M69"/>
    <mergeCell ref="J71:M71"/>
    <mergeCell ref="J72:M72"/>
    <mergeCell ref="A74:B76"/>
    <mergeCell ref="C74:F74"/>
    <mergeCell ref="I74:N74"/>
    <mergeCell ref="P74:Q76"/>
    <mergeCell ref="R74:U74"/>
    <mergeCell ref="D75:F75"/>
    <mergeCell ref="H75:O75"/>
    <mergeCell ref="S75:U75"/>
    <mergeCell ref="C76:F76"/>
    <mergeCell ref="H76:O76"/>
    <mergeCell ref="R76:U76"/>
    <mergeCell ref="C77:G77"/>
    <mergeCell ref="J77:M77"/>
    <mergeCell ref="R77:V77"/>
    <mergeCell ref="B78:D78"/>
    <mergeCell ref="J78:K78"/>
    <mergeCell ref="L78:M78"/>
    <mergeCell ref="Q78:S78"/>
    <mergeCell ref="J79:K79"/>
    <mergeCell ref="L79:M79"/>
    <mergeCell ref="J81:K81"/>
    <mergeCell ref="L81:M81"/>
    <mergeCell ref="J83:K83"/>
    <mergeCell ref="L83:M83"/>
    <mergeCell ref="J85:K85"/>
    <mergeCell ref="L85:M85"/>
    <mergeCell ref="J87:K87"/>
    <mergeCell ref="L87:M87"/>
    <mergeCell ref="J89:K89"/>
    <mergeCell ref="L89:M89"/>
    <mergeCell ref="J90:M90"/>
    <mergeCell ref="H91:O91"/>
    <mergeCell ref="H92:O92"/>
    <mergeCell ref="J93:K93"/>
    <mergeCell ref="L93:M93"/>
    <mergeCell ref="J95:M95"/>
    <mergeCell ref="J96:M96"/>
  </mergeCells>
  <dataValidations count="1">
    <dataValidation allowBlank="true" errorStyle="stop" operator="between" showDropDown="false" showErrorMessage="true" showInputMessage="true" sqref="Y2" type="list">
      <formula1>"1,2,3,4,5,6,7"</formula1>
      <formula2>0</formula2>
    </dataValidation>
  </dataValidations>
  <printOptions headings="false" gridLines="false" gridLinesSet="true" horizontalCentered="true" verticalCentered="true"/>
  <pageMargins left="0.236111111111111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8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I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79" width="3.14"/>
    <col collapsed="false" customWidth="true" hidden="false" outlineLevel="0" max="6" min="2" style="179" width="6.28"/>
    <col collapsed="false" customWidth="true" hidden="false" outlineLevel="0" max="7" min="7" style="179" width="0.14"/>
    <col collapsed="false" customWidth="true" hidden="false" outlineLevel="0" max="9" min="8" style="179" width="2.43"/>
    <col collapsed="false" customWidth="true" hidden="false" outlineLevel="0" max="13" min="10" style="179" width="3.71"/>
    <col collapsed="false" customWidth="true" hidden="false" outlineLevel="0" max="15" min="14" style="179" width="2.43"/>
    <col collapsed="false" customWidth="true" hidden="false" outlineLevel="0" max="16" min="16" style="179" width="3.14"/>
    <col collapsed="false" customWidth="true" hidden="false" outlineLevel="0" max="21" min="17" style="179" width="6.28"/>
    <col collapsed="false" customWidth="true" hidden="false" outlineLevel="0" max="22" min="22" style="179" width="0.14"/>
    <col collapsed="false" customWidth="true" hidden="false" outlineLevel="0" max="23" min="23" style="179" width="8.86"/>
    <col collapsed="false" customWidth="true" hidden="false" outlineLevel="0" max="24" min="24" style="179" width="13.72"/>
    <col collapsed="false" customWidth="true" hidden="false" outlineLevel="0" max="25" min="25" style="179" width="4.57"/>
    <col collapsed="false" customWidth="true" hidden="true" outlineLevel="0" max="27" min="26" style="179" width="7.71"/>
    <col collapsed="false" customWidth="true" hidden="true" outlineLevel="0" max="29" min="28" style="179" width="10.43"/>
    <col collapsed="false" customWidth="true" hidden="true" outlineLevel="0" max="30" min="30" style="179" width="8.71"/>
    <col collapsed="false" customWidth="true" hidden="true" outlineLevel="0" max="31" min="31" style="179" width="7"/>
    <col collapsed="false" customWidth="true" hidden="true" outlineLevel="0" max="32" min="32" style="179" width="7.43"/>
    <col collapsed="false" customWidth="true" hidden="true" outlineLevel="0" max="33" min="33" style="179" width="7"/>
    <col collapsed="false" customWidth="true" hidden="true" outlineLevel="0" max="34" min="34" style="179" width="7.43"/>
    <col collapsed="false" customWidth="true" hidden="true" outlineLevel="0" max="35" min="35" style="179" width="7"/>
    <col collapsed="false" customWidth="false" hidden="false" outlineLevel="0" max="16384" min="36" style="179" width="14.43"/>
  </cols>
  <sheetData>
    <row r="1" customFormat="false" ht="14.25" hidden="false" customHeight="true" outlineLevel="0" collapsed="false">
      <c r="V1" s="233"/>
    </row>
    <row r="2" customFormat="false" ht="15.75" hidden="false" customHeight="true" outlineLevel="0" collapsed="false">
      <c r="A2" s="256"/>
      <c r="B2" s="256"/>
      <c r="C2" s="183" t="str">
        <f aca="false">VLOOKUP(Z2,AA11:AI18,2,FALSE())</f>
        <v>Baan 1</v>
      </c>
      <c r="D2" s="183"/>
      <c r="E2" s="183"/>
      <c r="F2" s="183"/>
      <c r="G2" s="184"/>
      <c r="H2" s="185"/>
      <c r="I2" s="186" t="str">
        <f aca="false">Z2</f>
        <v>Ronde 1</v>
      </c>
      <c r="J2" s="186"/>
      <c r="K2" s="186"/>
      <c r="L2" s="186"/>
      <c r="M2" s="186"/>
      <c r="N2" s="186"/>
      <c r="O2" s="185"/>
      <c r="P2" s="256"/>
      <c r="Q2" s="256"/>
      <c r="R2" s="183" t="str">
        <f aca="false">VLOOKUP(Z2,AA11:AI18,3,FALSE())</f>
        <v>Baan 2</v>
      </c>
      <c r="S2" s="183"/>
      <c r="T2" s="183"/>
      <c r="U2" s="183"/>
      <c r="V2" s="184"/>
      <c r="X2" s="187" t="s">
        <v>121</v>
      </c>
      <c r="Y2" s="188" t="n">
        <v>1</v>
      </c>
      <c r="Z2" s="179" t="str">
        <f aca="false">CONCATENATE("Ronde"," ",Y2)</f>
        <v>Ronde 1</v>
      </c>
      <c r="AA2" s="179" t="s">
        <v>94</v>
      </c>
      <c r="AB2" s="189" t="str">
        <f aca="false">Deelnemers!B8</f>
        <v>Team 1</v>
      </c>
      <c r="AC2" s="189" t="str">
        <f aca="false">Deelnemers!B13</f>
        <v>Team 2</v>
      </c>
      <c r="AD2" s="190" t="str">
        <f aca="false">Deelnemers!B18</f>
        <v>Team 3</v>
      </c>
      <c r="AE2" s="190" t="str">
        <f aca="false">Deelnemers!B23</f>
        <v>Team 4</v>
      </c>
      <c r="AF2" s="191" t="str">
        <f aca="false">IF(Deelnemers!D5="Nee","",Deelnemers!B28)</f>
        <v>Team 5</v>
      </c>
      <c r="AG2" s="191" t="str">
        <f aca="false">IF(Deelnemers!D5="Nee","",Deelnemers!B33)</f>
        <v>Team 6</v>
      </c>
      <c r="AH2" s="192" t="str">
        <f aca="false">IF(Deelnemers!D5="Nee","",Deelnemers!B38)</f>
        <v>Team 7</v>
      </c>
      <c r="AI2" s="192" t="str">
        <f aca="false">IF(Deelnemers!D5="Nee","",Deelnemers!B43)</f>
        <v>Team 8</v>
      </c>
    </row>
    <row r="3" customFormat="false" ht="15.75" hidden="false" customHeight="true" outlineLevel="0" collapsed="false">
      <c r="A3" s="256"/>
      <c r="B3" s="256"/>
      <c r="C3" s="193" t="s">
        <v>122</v>
      </c>
      <c r="D3" s="257" t="str">
        <f aca="false">Deelnemers!$B$4</f>
        <v>jjjj-mm-dd</v>
      </c>
      <c r="E3" s="257"/>
      <c r="F3" s="257"/>
      <c r="G3" s="184"/>
      <c r="H3" s="195" t="s">
        <v>123</v>
      </c>
      <c r="I3" s="195"/>
      <c r="J3" s="195"/>
      <c r="K3" s="195"/>
      <c r="L3" s="195"/>
      <c r="M3" s="195"/>
      <c r="N3" s="195"/>
      <c r="O3" s="195"/>
      <c r="P3" s="256"/>
      <c r="Q3" s="256"/>
      <c r="R3" s="193" t="s">
        <v>122</v>
      </c>
      <c r="S3" s="257" t="str">
        <f aca="false">Deelnemers!$B$4</f>
        <v>jjjj-mm-dd</v>
      </c>
      <c r="T3" s="257"/>
      <c r="U3" s="257"/>
      <c r="V3" s="184"/>
      <c r="AA3" s="179" t="s">
        <v>105</v>
      </c>
      <c r="AB3" s="189" t="str">
        <f aca="false">Deelnemers!B8</f>
        <v>Team 1</v>
      </c>
      <c r="AC3" s="189" t="str">
        <f aca="false">Deelnemers!B18</f>
        <v>Team 3</v>
      </c>
      <c r="AD3" s="190" t="str">
        <f aca="false">Deelnemers!B13</f>
        <v>Team 2</v>
      </c>
      <c r="AE3" s="190" t="str">
        <f aca="false">Deelnemers!B23</f>
        <v>Team 4</v>
      </c>
      <c r="AF3" s="191" t="str">
        <f aca="false">IF(Deelnemers!D5="Nee","",Deelnemers!B28)</f>
        <v>Team 5</v>
      </c>
      <c r="AG3" s="191" t="str">
        <f aca="false">IF(Deelnemers!D5="Nee","",Deelnemers!B38)</f>
        <v>Team 7</v>
      </c>
      <c r="AH3" s="192" t="str">
        <f aca="false">IF(Deelnemers!D5="Nee","",Deelnemers!B33)</f>
        <v>Team 6</v>
      </c>
      <c r="AI3" s="192" t="str">
        <f aca="false">IF(Deelnemers!D5="Nee","",Deelnemers!B43)</f>
        <v>Team 8</v>
      </c>
    </row>
    <row r="4" customFormat="false" ht="15.75" hidden="false" customHeight="true" outlineLevel="0" collapsed="false">
      <c r="A4" s="256"/>
      <c r="B4" s="256"/>
      <c r="C4" s="196" t="s">
        <v>72</v>
      </c>
      <c r="D4" s="196"/>
      <c r="E4" s="196"/>
      <c r="F4" s="196"/>
      <c r="G4" s="197"/>
      <c r="H4" s="198" t="s">
        <v>124</v>
      </c>
      <c r="I4" s="198"/>
      <c r="J4" s="198"/>
      <c r="K4" s="198"/>
      <c r="L4" s="198"/>
      <c r="M4" s="198"/>
      <c r="N4" s="198"/>
      <c r="O4" s="198"/>
      <c r="P4" s="256"/>
      <c r="Q4" s="256"/>
      <c r="R4" s="196" t="s">
        <v>72</v>
      </c>
      <c r="S4" s="196"/>
      <c r="T4" s="196"/>
      <c r="U4" s="196"/>
      <c r="V4" s="197"/>
      <c r="AA4" s="179" t="s">
        <v>106</v>
      </c>
      <c r="AB4" s="189" t="str">
        <f aca="false">Deelnemers!B8</f>
        <v>Team 1</v>
      </c>
      <c r="AC4" s="189" t="str">
        <f aca="false">Deelnemers!B23</f>
        <v>Team 4</v>
      </c>
      <c r="AD4" s="190" t="str">
        <f aca="false">Deelnemers!B13</f>
        <v>Team 2</v>
      </c>
      <c r="AE4" s="190" t="str">
        <f aca="false">Deelnemers!B18</f>
        <v>Team 3</v>
      </c>
      <c r="AF4" s="191" t="str">
        <f aca="false">IF(Deelnemers!D5="Nee","",Deelnemers!B28)</f>
        <v>Team 5</v>
      </c>
      <c r="AG4" s="191" t="str">
        <f aca="false">IF(Deelnemers!D5="Nee","",Deelnemers!B43)</f>
        <v>Team 8</v>
      </c>
      <c r="AH4" s="192" t="str">
        <f aca="false">IF(Deelnemers!D5="Nee","",Deelnemers!B33)</f>
        <v>Team 6</v>
      </c>
      <c r="AI4" s="192" t="str">
        <f aca="false">IF(Deelnemers!D5="Nee","",Deelnemers!B38)</f>
        <v>Team 7</v>
      </c>
    </row>
    <row r="5" customFormat="false" ht="14.25" hidden="false" customHeight="true" outlineLevel="0" collapsed="false">
      <c r="A5" s="199" t="s">
        <v>125</v>
      </c>
      <c r="B5" s="201" t="str">
        <f aca="false">VLOOKUP(Z2,AA2:AI8,2,FALSE())</f>
        <v>Team 1</v>
      </c>
      <c r="C5" s="201"/>
      <c r="D5" s="201"/>
      <c r="E5" s="201"/>
      <c r="F5" s="201"/>
      <c r="G5" s="201"/>
      <c r="J5" s="202" t="s">
        <v>114</v>
      </c>
      <c r="K5" s="202"/>
      <c r="L5" s="202"/>
      <c r="M5" s="202"/>
      <c r="P5" s="199" t="s">
        <v>125</v>
      </c>
      <c r="Q5" s="203" t="str">
        <f aca="false">VLOOKUP(Z2,AA2:AI8,3,FALSE())</f>
        <v>Team 2</v>
      </c>
      <c r="R5" s="203"/>
      <c r="S5" s="203"/>
      <c r="T5" s="203"/>
      <c r="U5" s="203"/>
      <c r="V5" s="203"/>
      <c r="AA5" s="179" t="s">
        <v>108</v>
      </c>
      <c r="AB5" s="189" t="str">
        <f aca="false">Deelnemers!B8</f>
        <v>Team 1</v>
      </c>
      <c r="AC5" s="189" t="str">
        <f aca="false">IF(Deelnemers!D5="Nee",Deelnemers!B13,Deelnemers!B28)</f>
        <v>Team 5</v>
      </c>
      <c r="AD5" s="190" t="str">
        <f aca="false">IF(Deelnemers!D5="Nee",Deelnemers!B18,Deelnemers!B13)</f>
        <v>Team 2</v>
      </c>
      <c r="AE5" s="190" t="str">
        <f aca="false">IF(Deelnemers!D5="Nee",Deelnemers!B23,Deelnemers!B33)</f>
        <v>Team 6</v>
      </c>
      <c r="AF5" s="191" t="str">
        <f aca="false">IF(Deelnemers!D5="Nee","",Deelnemers!B18)</f>
        <v>Team 3</v>
      </c>
      <c r="AG5" s="191" t="str">
        <f aca="false">IF(Deelnemers!D5="Nee","",Deelnemers!B38)</f>
        <v>Team 7</v>
      </c>
      <c r="AH5" s="192" t="str">
        <f aca="false">IF(Deelnemers!D5="Nee","",Deelnemers!B23)</f>
        <v>Team 4</v>
      </c>
      <c r="AI5" s="192" t="str">
        <f aca="false">IF(Deelnemers!D5="Nee","",Deelnemers!B43)</f>
        <v>Team 8</v>
      </c>
    </row>
    <row r="6" customFormat="false" ht="14.25" hidden="false" customHeight="true" outlineLevel="0" collapsed="false">
      <c r="A6" s="199" t="s">
        <v>126</v>
      </c>
      <c r="B6" s="258" t="n">
        <f aca="false">IF(B5="","",VLOOKUP(B5,Deelnemers!B8:C46,2,FALSE()))</f>
        <v>0</v>
      </c>
      <c r="C6" s="258"/>
      <c r="D6" s="258"/>
      <c r="E6" s="205" t="s">
        <v>127</v>
      </c>
      <c r="F6" s="205" t="s">
        <v>128</v>
      </c>
      <c r="G6" s="206"/>
      <c r="J6" s="207" t="s">
        <v>129</v>
      </c>
      <c r="K6" s="207"/>
      <c r="L6" s="208" t="s">
        <v>129</v>
      </c>
      <c r="M6" s="208"/>
      <c r="P6" s="199" t="s">
        <v>126</v>
      </c>
      <c r="Q6" s="258" t="n">
        <f aca="false">IF(Q5="","",VLOOKUP(Q5,Deelnemers!B8:C46,2,FALSE()))</f>
        <v>0</v>
      </c>
      <c r="R6" s="258"/>
      <c r="S6" s="258"/>
      <c r="T6" s="209" t="s">
        <v>127</v>
      </c>
      <c r="U6" s="209" t="s">
        <v>128</v>
      </c>
      <c r="V6" s="206"/>
      <c r="AA6" s="179" t="s">
        <v>109</v>
      </c>
      <c r="AB6" s="189" t="str">
        <f aca="false">Deelnemers!B8</f>
        <v>Team 1</v>
      </c>
      <c r="AC6" s="189" t="str">
        <f aca="false">IF(Deelnemers!D5="Nee",Deelnemers!B18,Deelnemers!B33)</f>
        <v>Team 6</v>
      </c>
      <c r="AD6" s="190" t="str">
        <f aca="false">Deelnemers!B13</f>
        <v>Team 2</v>
      </c>
      <c r="AE6" s="190" t="str">
        <f aca="false">IF(Deelnemers!D5="Nee",Deelnemers!B23,Deelnemers!B28)</f>
        <v>Team 5</v>
      </c>
      <c r="AF6" s="191" t="str">
        <f aca="false">IF(Deelnemers!D5="Nee","",Deelnemers!B18)</f>
        <v>Team 3</v>
      </c>
      <c r="AG6" s="191" t="str">
        <f aca="false">IF(Deelnemers!D5="Nee","",Deelnemers!B43)</f>
        <v>Team 8</v>
      </c>
      <c r="AH6" s="192" t="str">
        <f aca="false">IF(Deelnemers!D5="Nee","",Deelnemers!B23)</f>
        <v>Team 4</v>
      </c>
      <c r="AI6" s="192" t="str">
        <f aca="false">IF(Deelnemers!D5="Nee","",Deelnemers!B38)</f>
        <v>Team 7</v>
      </c>
    </row>
    <row r="7" customFormat="false" ht="19.5" hidden="false" customHeight="true" outlineLevel="0" collapsed="false">
      <c r="A7" s="210" t="n">
        <v>1</v>
      </c>
      <c r="B7" s="206"/>
      <c r="C7" s="206"/>
      <c r="D7" s="259"/>
      <c r="E7" s="211"/>
      <c r="F7" s="211"/>
      <c r="G7" s="213"/>
      <c r="J7" s="214"/>
      <c r="K7" s="214"/>
      <c r="L7" s="215"/>
      <c r="M7" s="215"/>
      <c r="P7" s="210" t="n">
        <v>1</v>
      </c>
      <c r="Q7" s="206"/>
      <c r="R7" s="206"/>
      <c r="S7" s="206"/>
      <c r="T7" s="211"/>
      <c r="U7" s="211"/>
      <c r="V7" s="206"/>
      <c r="AA7" s="179" t="s">
        <v>110</v>
      </c>
      <c r="AB7" s="189" t="str">
        <f aca="false">Deelnemers!B8</f>
        <v>Team 1</v>
      </c>
      <c r="AC7" s="189" t="str">
        <f aca="false">IF(Deelnemers!D5="Nee",Deelnemers!B23,Deelnemers!B38)</f>
        <v>Team 7</v>
      </c>
      <c r="AD7" s="190" t="str">
        <f aca="false">Deelnemers!B13</f>
        <v>Team 2</v>
      </c>
      <c r="AE7" s="190" t="str">
        <f aca="false">IF(Deelnemers!D5="Nee",Deelnemers!B18,Deelnemers!B43)</f>
        <v>Team 8</v>
      </c>
      <c r="AF7" s="191" t="str">
        <f aca="false">IF(Deelnemers!D5="Nee","",Deelnemers!B18)</f>
        <v>Team 3</v>
      </c>
      <c r="AG7" s="191" t="str">
        <f aca="false">IF(Deelnemers!D5="Nee","",Deelnemers!B28)</f>
        <v>Team 5</v>
      </c>
      <c r="AH7" s="192" t="str">
        <f aca="false">IF(Deelnemers!D5="Nee","",Deelnemers!B23)</f>
        <v>Team 4</v>
      </c>
      <c r="AI7" s="192" t="str">
        <f aca="false">IF(Deelnemers!D5="Nee","",Deelnemers!B33)</f>
        <v>Team 6</v>
      </c>
    </row>
    <row r="8" customFormat="false" ht="19.5" hidden="false" customHeight="true" outlineLevel="0" collapsed="false">
      <c r="A8" s="210" t="n">
        <v>2</v>
      </c>
      <c r="B8" s="206"/>
      <c r="C8" s="206"/>
      <c r="D8" s="259"/>
      <c r="E8" s="220"/>
      <c r="F8" s="220"/>
      <c r="G8" s="213"/>
      <c r="J8" s="214"/>
      <c r="K8" s="214"/>
      <c r="L8" s="215"/>
      <c r="M8" s="215"/>
      <c r="P8" s="210" t="n">
        <v>2</v>
      </c>
      <c r="Q8" s="206"/>
      <c r="R8" s="206"/>
      <c r="S8" s="206"/>
      <c r="T8" s="220"/>
      <c r="U8" s="220"/>
      <c r="V8" s="206"/>
      <c r="AA8" s="179" t="s">
        <v>111</v>
      </c>
      <c r="AB8" s="189" t="str">
        <f aca="false">IF(Deelnemers!D5="Nee","",Deelnemers!B8)</f>
        <v>Team 1</v>
      </c>
      <c r="AC8" s="189" t="str">
        <f aca="false">IF(Deelnemers!D5="Nee","",Deelnemers!B43)</f>
        <v>Team 8</v>
      </c>
      <c r="AD8" s="190" t="str">
        <f aca="false">IF(Deelnemers!D5="Nee","",Deelnemers!B13)</f>
        <v>Team 2</v>
      </c>
      <c r="AE8" s="190" t="str">
        <f aca="false">IF(Deelnemers!D5="Nee","",Deelnemers!B38)</f>
        <v>Team 7</v>
      </c>
      <c r="AF8" s="191" t="str">
        <f aca="false">IF(Deelnemers!D5="Nee","",Deelnemers!B18)</f>
        <v>Team 3</v>
      </c>
      <c r="AG8" s="191" t="str">
        <f aca="false">IF(Deelnemers!D5="Nee","",Deelnemers!B33)</f>
        <v>Team 6</v>
      </c>
      <c r="AH8" s="192" t="str">
        <f aca="false">IF(Deelnemers!D5="Nee","",Deelnemers!B23)</f>
        <v>Team 4</v>
      </c>
      <c r="AI8" s="192" t="str">
        <f aca="false">IF(Deelnemers!D5="Nee","",Deelnemers!B28)</f>
        <v>Team 5</v>
      </c>
    </row>
    <row r="9" customFormat="false" ht="19.5" hidden="false" customHeight="true" outlineLevel="0" collapsed="false">
      <c r="A9" s="210" t="n">
        <v>3</v>
      </c>
      <c r="B9" s="206"/>
      <c r="C9" s="206"/>
      <c r="D9" s="259"/>
      <c r="E9" s="220"/>
      <c r="F9" s="220"/>
      <c r="G9" s="213"/>
      <c r="J9" s="214"/>
      <c r="K9" s="214"/>
      <c r="L9" s="215"/>
      <c r="M9" s="215"/>
      <c r="P9" s="210" t="n">
        <v>3</v>
      </c>
      <c r="Q9" s="206"/>
      <c r="R9" s="206"/>
      <c r="S9" s="206"/>
      <c r="T9" s="220"/>
      <c r="U9" s="220"/>
      <c r="V9" s="206"/>
    </row>
    <row r="10" customFormat="false" ht="19.5" hidden="false" customHeight="true" outlineLevel="0" collapsed="false">
      <c r="A10" s="210" t="n">
        <v>4</v>
      </c>
      <c r="B10" s="206"/>
      <c r="C10" s="206"/>
      <c r="D10" s="259"/>
      <c r="E10" s="220"/>
      <c r="F10" s="220"/>
      <c r="G10" s="213"/>
      <c r="J10" s="214"/>
      <c r="K10" s="214"/>
      <c r="L10" s="215"/>
      <c r="M10" s="215"/>
      <c r="P10" s="210" t="n">
        <v>4</v>
      </c>
      <c r="Q10" s="206"/>
      <c r="R10" s="206"/>
      <c r="S10" s="206"/>
      <c r="T10" s="220"/>
      <c r="U10" s="220"/>
      <c r="V10" s="206"/>
    </row>
    <row r="11" customFormat="false" ht="19.5" hidden="false" customHeight="true" outlineLevel="0" collapsed="false">
      <c r="A11" s="210" t="n">
        <v>5</v>
      </c>
      <c r="B11" s="206"/>
      <c r="C11" s="206"/>
      <c r="D11" s="259"/>
      <c r="E11" s="223"/>
      <c r="F11" s="223"/>
      <c r="G11" s="213"/>
      <c r="J11" s="214"/>
      <c r="K11" s="214"/>
      <c r="L11" s="215"/>
      <c r="M11" s="215"/>
      <c r="P11" s="210" t="n">
        <v>5</v>
      </c>
      <c r="Q11" s="206"/>
      <c r="R11" s="206"/>
      <c r="S11" s="206"/>
      <c r="T11" s="223"/>
      <c r="U11" s="223"/>
      <c r="V11" s="206"/>
      <c r="AA11" s="179" t="s">
        <v>94</v>
      </c>
      <c r="AB11" s="189" t="str">
        <f aca="false">Deelnemers!A8</f>
        <v>Baan 1</v>
      </c>
      <c r="AC11" s="189" t="str">
        <f aca="false">Deelnemers!A13</f>
        <v>Baan 2</v>
      </c>
      <c r="AD11" s="190" t="str">
        <f aca="false">Deelnemers!A18</f>
        <v>Baan 3</v>
      </c>
      <c r="AE11" s="190" t="str">
        <f aca="false">Deelnemers!A23</f>
        <v>Baan 4</v>
      </c>
      <c r="AF11" s="191" t="str">
        <f aca="false">IF(Deelnemers!D5="Nee","",Deelnemers!A28)</f>
        <v>Baan 5</v>
      </c>
      <c r="AG11" s="191" t="str">
        <f aca="false">IF(Deelnemers!D5="Nee","",Deelnemers!A33)</f>
        <v>Baan 6</v>
      </c>
      <c r="AH11" s="192" t="str">
        <f aca="false">IF(Deelnemers!D5="Nee","",Deelnemers!A38)</f>
        <v>Baan 7</v>
      </c>
      <c r="AI11" s="192" t="str">
        <f aca="false">IF(Deelnemers!D5="Nee","",Deelnemers!A43)</f>
        <v>Baan 8</v>
      </c>
    </row>
    <row r="12" customFormat="false" ht="19.5" hidden="false" customHeight="true" outlineLevel="0" collapsed="false">
      <c r="A12" s="224"/>
      <c r="B12" s="184"/>
      <c r="C12" s="184"/>
      <c r="D12" s="225" t="s">
        <v>128</v>
      </c>
      <c r="E12" s="226"/>
      <c r="F12" s="227"/>
      <c r="G12" s="184"/>
      <c r="J12" s="228"/>
      <c r="K12" s="228"/>
      <c r="L12" s="229"/>
      <c r="M12" s="229"/>
      <c r="P12" s="224"/>
      <c r="Q12" s="184"/>
      <c r="R12" s="184"/>
      <c r="S12" s="225" t="s">
        <v>128</v>
      </c>
      <c r="T12" s="226"/>
      <c r="U12" s="227"/>
      <c r="V12" s="230"/>
      <c r="AA12" s="179" t="s">
        <v>105</v>
      </c>
      <c r="AB12" s="189" t="str">
        <f aca="false">Deelnemers!A8</f>
        <v>Baan 1</v>
      </c>
      <c r="AC12" s="189" t="str">
        <f aca="false">Deelnemers!A18</f>
        <v>Baan 3</v>
      </c>
      <c r="AD12" s="190" t="str">
        <f aca="false">Deelnemers!A13</f>
        <v>Baan 2</v>
      </c>
      <c r="AE12" s="190" t="str">
        <f aca="false">Deelnemers!A23</f>
        <v>Baan 4</v>
      </c>
      <c r="AF12" s="191" t="str">
        <f aca="false">IF(Deelnemers!D5="Nee","",Deelnemers!A28)</f>
        <v>Baan 5</v>
      </c>
      <c r="AG12" s="191" t="str">
        <f aca="false">IF(Deelnemers!D5="Nee","",Deelnemers!A38)</f>
        <v>Baan 7</v>
      </c>
      <c r="AH12" s="192" t="str">
        <f aca="false">IF(Deelnemers!D5="Nee","",Deelnemers!A33)</f>
        <v>Baan 6</v>
      </c>
      <c r="AI12" s="192" t="str">
        <f aca="false">IF(Deelnemers!D5="Nee","",Deelnemers!A43)</f>
        <v>Baan 8</v>
      </c>
    </row>
    <row r="13" customFormat="false" ht="14.25" hidden="false" customHeight="true" outlineLevel="0" collapsed="false">
      <c r="A13" s="231" t="s">
        <v>130</v>
      </c>
      <c r="B13" s="185"/>
      <c r="C13" s="185"/>
      <c r="D13" s="185"/>
      <c r="E13" s="185"/>
      <c r="G13" s="184"/>
      <c r="J13" s="202"/>
      <c r="K13" s="202"/>
      <c r="L13" s="202"/>
      <c r="M13" s="202"/>
      <c r="P13" s="231" t="s">
        <v>130</v>
      </c>
      <c r="Q13" s="185"/>
      <c r="R13" s="185"/>
      <c r="S13" s="185"/>
      <c r="T13" s="185"/>
      <c r="U13" s="185"/>
      <c r="V13" s="184"/>
      <c r="AA13" s="179" t="s">
        <v>106</v>
      </c>
      <c r="AB13" s="189" t="str">
        <f aca="false">Deelnemers!A8</f>
        <v>Baan 1</v>
      </c>
      <c r="AC13" s="189" t="str">
        <f aca="false">Deelnemers!A23</f>
        <v>Baan 4</v>
      </c>
      <c r="AD13" s="190" t="str">
        <f aca="false">Deelnemers!A13</f>
        <v>Baan 2</v>
      </c>
      <c r="AE13" s="190" t="str">
        <f aca="false">Deelnemers!A18</f>
        <v>Baan 3</v>
      </c>
      <c r="AF13" s="191" t="str">
        <f aca="false">IF(Deelnemers!D5="Nee","",Deelnemers!A28)</f>
        <v>Baan 5</v>
      </c>
      <c r="AG13" s="191" t="str">
        <f aca="false">IF(Deelnemers!D5="Nee","",Deelnemers!A43)</f>
        <v>Baan 8</v>
      </c>
      <c r="AH13" s="192" t="str">
        <f aca="false">IF(Deelnemers!D5="Nee","",Deelnemers!A33)</f>
        <v>Baan 6</v>
      </c>
      <c r="AI13" s="192" t="str">
        <f aca="false">IF(Deelnemers!D5="Nee","",Deelnemers!A38)</f>
        <v>Baan 7</v>
      </c>
    </row>
    <row r="14" customFormat="false" ht="14.25" hidden="false" customHeight="true" outlineLevel="0" collapsed="false">
      <c r="A14" s="232" t="s">
        <v>131</v>
      </c>
      <c r="B14" s="233"/>
      <c r="C14" s="233"/>
      <c r="D14" s="233"/>
      <c r="E14" s="233"/>
      <c r="F14" s="233"/>
      <c r="G14" s="197"/>
      <c r="H14" s="234" t="s">
        <v>132</v>
      </c>
      <c r="I14" s="234"/>
      <c r="J14" s="234"/>
      <c r="K14" s="234"/>
      <c r="L14" s="234"/>
      <c r="M14" s="234"/>
      <c r="N14" s="234"/>
      <c r="O14" s="234"/>
      <c r="P14" s="232" t="s">
        <v>131</v>
      </c>
      <c r="Q14" s="233"/>
      <c r="R14" s="233"/>
      <c r="S14" s="233"/>
      <c r="T14" s="233"/>
      <c r="U14" s="233"/>
      <c r="V14" s="197"/>
      <c r="AA14" s="179" t="s">
        <v>108</v>
      </c>
      <c r="AB14" s="189" t="str">
        <f aca="false">Deelnemers!A8</f>
        <v>Baan 1</v>
      </c>
      <c r="AC14" s="189" t="str">
        <f aca="false">IF(Deelnemers!D5="Nee",Deelnemers!A13,Deelnemers!A28)</f>
        <v>Baan 5</v>
      </c>
      <c r="AD14" s="190" t="str">
        <f aca="false">IF(Deelnemers!D5="Nee",Deelnemers!A18,Deelnemers!A13)</f>
        <v>Baan 2</v>
      </c>
      <c r="AE14" s="190" t="str">
        <f aca="false">IF(Deelnemers!D5="Nee",Deelnemers!A23,Deelnemers!A33)</f>
        <v>Baan 6</v>
      </c>
      <c r="AF14" s="191" t="str">
        <f aca="false">IF(Deelnemers!D5="Nee","",Deelnemers!A18)</f>
        <v>Baan 3</v>
      </c>
      <c r="AG14" s="191" t="str">
        <f aca="false">IF(Deelnemers!D5="Nee","",Deelnemers!A38)</f>
        <v>Baan 7</v>
      </c>
      <c r="AH14" s="192" t="str">
        <f aca="false">IF(Deelnemers!D5="Nee","",Deelnemers!A23)</f>
        <v>Baan 4</v>
      </c>
      <c r="AI14" s="192" t="str">
        <f aca="false">IF(Deelnemers!D5="Nee","",Deelnemers!A43)</f>
        <v>Baan 8</v>
      </c>
    </row>
    <row r="15" customFormat="false" ht="14.25" hidden="false" customHeight="true" outlineLevel="0" collapsed="false">
      <c r="A15" s="235" t="s">
        <v>133</v>
      </c>
      <c r="G15" s="236"/>
      <c r="H15" s="237" t="s">
        <v>124</v>
      </c>
      <c r="I15" s="237"/>
      <c r="J15" s="237"/>
      <c r="K15" s="237"/>
      <c r="L15" s="237"/>
      <c r="M15" s="237"/>
      <c r="N15" s="237"/>
      <c r="O15" s="237"/>
      <c r="P15" s="235" t="s">
        <v>133</v>
      </c>
      <c r="V15" s="236"/>
      <c r="AA15" s="179" t="s">
        <v>109</v>
      </c>
      <c r="AB15" s="189" t="str">
        <f aca="false">Deelnemers!A8</f>
        <v>Baan 1</v>
      </c>
      <c r="AC15" s="189" t="str">
        <f aca="false">IF(Deelnemers!D5="Nee",Deelnemers!A18,Deelnemers!A33)</f>
        <v>Baan 6</v>
      </c>
      <c r="AD15" s="190" t="str">
        <f aca="false">Deelnemers!A13</f>
        <v>Baan 2</v>
      </c>
      <c r="AE15" s="190" t="str">
        <f aca="false">IF(Deelnemers!D5="Nee",Deelnemers!A23,Deelnemers!A28)</f>
        <v>Baan 5</v>
      </c>
      <c r="AF15" s="191" t="str">
        <f aca="false">IF(Deelnemers!D5="Nee","",Deelnemers!A18)</f>
        <v>Baan 3</v>
      </c>
      <c r="AG15" s="191" t="str">
        <f aca="false">IF(Deelnemers!D5="Nee","",Deelnemers!A43)</f>
        <v>Baan 8</v>
      </c>
      <c r="AH15" s="192" t="str">
        <f aca="false">IF(Deelnemers!D5="Nee","",Deelnemers!A23)</f>
        <v>Baan 4</v>
      </c>
      <c r="AI15" s="192" t="str">
        <f aca="false">IF(Deelnemers!D5="Nee","",Deelnemers!A38)</f>
        <v>Baan 7</v>
      </c>
    </row>
    <row r="16" customFormat="false" ht="19.5" hidden="false" customHeight="true" outlineLevel="0" collapsed="false">
      <c r="A16" s="232" t="s">
        <v>131</v>
      </c>
      <c r="B16" s="233"/>
      <c r="C16" s="233"/>
      <c r="D16" s="233"/>
      <c r="E16" s="233"/>
      <c r="F16" s="233"/>
      <c r="G16" s="197"/>
      <c r="I16" s="238"/>
      <c r="J16" s="239"/>
      <c r="K16" s="239"/>
      <c r="L16" s="240"/>
      <c r="M16" s="240"/>
      <c r="N16" s="238"/>
      <c r="P16" s="232" t="s">
        <v>131</v>
      </c>
      <c r="Q16" s="233"/>
      <c r="R16" s="233"/>
      <c r="S16" s="233"/>
      <c r="T16" s="233"/>
      <c r="U16" s="233"/>
      <c r="V16" s="197"/>
      <c r="AA16" s="179" t="s">
        <v>110</v>
      </c>
      <c r="AB16" s="189" t="str">
        <f aca="false">Deelnemers!A8</f>
        <v>Baan 1</v>
      </c>
      <c r="AC16" s="189" t="str">
        <f aca="false">IF(Deelnemers!D5="Nee",Deelnemers!A23,Deelnemers!A38)</f>
        <v>Baan 7</v>
      </c>
      <c r="AD16" s="190" t="str">
        <f aca="false">Deelnemers!A13</f>
        <v>Baan 2</v>
      </c>
      <c r="AE16" s="190" t="str">
        <f aca="false">IF(Deelnemers!D5="Nee",Deelnemers!A18,Deelnemers!A43)</f>
        <v>Baan 8</v>
      </c>
      <c r="AF16" s="191" t="str">
        <f aca="false">IF(Deelnemers!D5="Nee","",Deelnemers!A18)</f>
        <v>Baan 3</v>
      </c>
      <c r="AG16" s="191" t="str">
        <f aca="false">IF(Deelnemers!D5="Nee","",Deelnemers!A28)</f>
        <v>Baan 5</v>
      </c>
      <c r="AH16" s="192" t="str">
        <f aca="false">IF(Deelnemers!D5="Nee","",Deelnemers!A23)</f>
        <v>Baan 4</v>
      </c>
      <c r="AI16" s="192" t="str">
        <f aca="false">IF(Deelnemers!D5="Nee","",Deelnemers!A33)</f>
        <v>Baan 6</v>
      </c>
    </row>
    <row r="17" customFormat="false" ht="14.25" hidden="false" customHeight="true" outlineLevel="0" collapsed="false">
      <c r="A17" s="241"/>
      <c r="I17" s="181"/>
      <c r="J17" s="181"/>
      <c r="K17" s="181"/>
      <c r="L17" s="181"/>
      <c r="M17" s="181"/>
      <c r="N17" s="181"/>
      <c r="P17" s="180"/>
      <c r="V17" s="236"/>
      <c r="AA17" s="179" t="s">
        <v>111</v>
      </c>
      <c r="AB17" s="189" t="str">
        <f aca="false">IF(Deelnemers!D5="Nee","",Deelnemers!A8)</f>
        <v>Baan 1</v>
      </c>
      <c r="AC17" s="189" t="str">
        <f aca="false">IF(Deelnemers!D5="Nee","",Deelnemers!A43)</f>
        <v>Baan 8</v>
      </c>
      <c r="AD17" s="190" t="str">
        <f aca="false">IF(Deelnemers!D5="Nee","",Deelnemers!A13)</f>
        <v>Baan 2</v>
      </c>
      <c r="AE17" s="190" t="str">
        <f aca="false">IF(Deelnemers!D5="Nee","",Deelnemers!A38)</f>
        <v>Baan 7</v>
      </c>
      <c r="AF17" s="191" t="str">
        <f aca="false">IF(Deelnemers!D5="Nee","",Deelnemers!A18)</f>
        <v>Baan 3</v>
      </c>
      <c r="AG17" s="191" t="str">
        <f aca="false">IF(Deelnemers!D5="Nee","",Deelnemers!A33)</f>
        <v>Baan 6</v>
      </c>
      <c r="AH17" s="192" t="str">
        <f aca="false">IF(Deelnemers!D5="Nee","",Deelnemers!A23)</f>
        <v>Baan 4</v>
      </c>
      <c r="AI17" s="192" t="str">
        <f aca="false">IF(Deelnemers!D5="Nee","",Deelnemers!A28)</f>
        <v>Baan 5</v>
      </c>
    </row>
    <row r="18" customFormat="false" ht="14.25" hidden="false" customHeight="true" outlineLevel="0" collapsed="false">
      <c r="A18" s="241"/>
      <c r="I18" s="181"/>
      <c r="J18" s="202" t="s">
        <v>134</v>
      </c>
      <c r="K18" s="202"/>
      <c r="L18" s="202"/>
      <c r="M18" s="202"/>
      <c r="N18" s="181"/>
      <c r="P18" s="180"/>
      <c r="V18" s="236"/>
    </row>
    <row r="19" customFormat="false" ht="14.25" hidden="false" customHeight="true" outlineLevel="0" collapsed="false">
      <c r="A19" s="232"/>
      <c r="B19" s="233"/>
      <c r="C19" s="233"/>
      <c r="D19" s="233"/>
      <c r="E19" s="233"/>
      <c r="F19" s="233"/>
      <c r="G19" s="233"/>
      <c r="H19" s="233"/>
      <c r="I19" s="242"/>
      <c r="J19" s="242"/>
      <c r="K19" s="242"/>
      <c r="L19" s="242"/>
      <c r="M19" s="242"/>
      <c r="N19" s="242"/>
      <c r="O19" s="233"/>
      <c r="P19" s="243"/>
      <c r="Q19" s="233"/>
      <c r="R19" s="233"/>
      <c r="S19" s="233"/>
      <c r="T19" s="233"/>
      <c r="U19" s="233"/>
      <c r="V19" s="197"/>
    </row>
    <row r="20" customFormat="false" ht="14.25" hidden="false" customHeight="true" outlineLevel="0" collapsed="false">
      <c r="A20" s="244"/>
      <c r="I20" s="181"/>
      <c r="J20" s="181"/>
      <c r="K20" s="245"/>
      <c r="L20" s="245"/>
      <c r="M20" s="245"/>
      <c r="N20" s="181"/>
      <c r="P20" s="180"/>
      <c r="V20" s="185"/>
    </row>
    <row r="21" customFormat="false" ht="14.25" hidden="false" customHeight="true" outlineLevel="0" collapsed="false">
      <c r="A21" s="180"/>
      <c r="I21" s="181"/>
      <c r="J21" s="181"/>
      <c r="K21" s="245"/>
      <c r="L21" s="245"/>
      <c r="M21" s="245"/>
      <c r="N21" s="181"/>
      <c r="P21" s="180"/>
    </row>
    <row r="22" customFormat="false" ht="14.25" hidden="false" customHeight="true" outlineLevel="0" collapsed="false">
      <c r="A22" s="180"/>
      <c r="I22" s="181"/>
      <c r="J22" s="181"/>
      <c r="K22" s="245"/>
      <c r="L22" s="245"/>
      <c r="M22" s="245"/>
      <c r="N22" s="181"/>
      <c r="P22" s="180"/>
    </row>
    <row r="23" customFormat="false" ht="14.25" hidden="false" customHeight="true" outlineLevel="0" collapsed="false">
      <c r="A23" s="180"/>
      <c r="I23" s="181"/>
      <c r="J23" s="181"/>
      <c r="K23" s="245"/>
      <c r="L23" s="245"/>
      <c r="M23" s="245"/>
      <c r="N23" s="181"/>
      <c r="P23" s="180"/>
    </row>
    <row r="24" customFormat="false" ht="14.25" hidden="false" customHeight="true" outlineLevel="0" collapsed="false">
      <c r="A24" s="180"/>
      <c r="I24" s="181"/>
      <c r="J24" s="181"/>
      <c r="K24" s="245"/>
      <c r="L24" s="245"/>
      <c r="M24" s="245"/>
      <c r="N24" s="181"/>
      <c r="P24" s="180"/>
    </row>
    <row r="25" customFormat="false" ht="14.25" hidden="false" customHeight="true" outlineLevel="0" collapsed="false">
      <c r="A25" s="233"/>
      <c r="V25" s="233"/>
    </row>
    <row r="26" customFormat="false" ht="15.75" hidden="false" customHeight="true" outlineLevel="0" collapsed="false">
      <c r="A26" s="256"/>
      <c r="B26" s="256"/>
      <c r="C26" s="183" t="str">
        <f aca="false">VLOOKUP(Z2,AA11:AI18,4,FALSE())</f>
        <v>Baan 3</v>
      </c>
      <c r="D26" s="183"/>
      <c r="E26" s="183"/>
      <c r="F26" s="183"/>
      <c r="G26" s="184"/>
      <c r="H26" s="185"/>
      <c r="I26" s="186" t="str">
        <f aca="false">Z2</f>
        <v>Ronde 1</v>
      </c>
      <c r="J26" s="186"/>
      <c r="K26" s="186"/>
      <c r="L26" s="186"/>
      <c r="M26" s="186"/>
      <c r="N26" s="186"/>
      <c r="O26" s="185"/>
      <c r="P26" s="256"/>
      <c r="Q26" s="256"/>
      <c r="R26" s="183" t="str">
        <f aca="false">VLOOKUP(Z2,AA11:AI18,5,FALSE())</f>
        <v>Baan 4</v>
      </c>
      <c r="S26" s="183"/>
      <c r="T26" s="183"/>
      <c r="U26" s="183"/>
      <c r="V26" s="184"/>
    </row>
    <row r="27" customFormat="false" ht="15.75" hidden="false" customHeight="true" outlineLevel="0" collapsed="false">
      <c r="A27" s="256"/>
      <c r="B27" s="256"/>
      <c r="C27" s="246" t="s">
        <v>122</v>
      </c>
      <c r="D27" s="260" t="str">
        <f aca="false">Deelnemers!$B$4</f>
        <v>jjjj-mm-dd</v>
      </c>
      <c r="E27" s="260"/>
      <c r="F27" s="260"/>
      <c r="G27" s="184"/>
      <c r="H27" s="195" t="s">
        <v>123</v>
      </c>
      <c r="I27" s="195"/>
      <c r="J27" s="195"/>
      <c r="K27" s="195"/>
      <c r="L27" s="195"/>
      <c r="M27" s="195"/>
      <c r="N27" s="195"/>
      <c r="O27" s="195"/>
      <c r="P27" s="256"/>
      <c r="Q27" s="256"/>
      <c r="R27" s="246" t="s">
        <v>122</v>
      </c>
      <c r="S27" s="260" t="str">
        <f aca="false">Deelnemers!$B$4</f>
        <v>jjjj-mm-dd</v>
      </c>
      <c r="T27" s="260"/>
      <c r="U27" s="260"/>
      <c r="V27" s="184"/>
    </row>
    <row r="28" customFormat="false" ht="15.75" hidden="false" customHeight="true" outlineLevel="0" collapsed="false">
      <c r="A28" s="256"/>
      <c r="B28" s="256"/>
      <c r="C28" s="248" t="str">
        <f aca="false">Deelnemers!$B$3</f>
        <v>Naam organisator, Plaats</v>
      </c>
      <c r="D28" s="248"/>
      <c r="E28" s="248"/>
      <c r="F28" s="248"/>
      <c r="G28" s="197"/>
      <c r="H28" s="198" t="s">
        <v>124</v>
      </c>
      <c r="I28" s="198"/>
      <c r="J28" s="198"/>
      <c r="K28" s="198"/>
      <c r="L28" s="198"/>
      <c r="M28" s="198"/>
      <c r="N28" s="198"/>
      <c r="O28" s="198"/>
      <c r="P28" s="256"/>
      <c r="Q28" s="256"/>
      <c r="R28" s="248" t="str">
        <f aca="false">Deelnemers!$B$3</f>
        <v>Naam organisator, Plaats</v>
      </c>
      <c r="S28" s="248"/>
      <c r="T28" s="248"/>
      <c r="U28" s="248"/>
      <c r="V28" s="197"/>
    </row>
    <row r="29" customFormat="false" ht="14.25" hidden="false" customHeight="true" outlineLevel="0" collapsed="false">
      <c r="A29" s="199" t="s">
        <v>125</v>
      </c>
      <c r="B29" s="201" t="str">
        <f aca="false">VLOOKUP(Z2,AA2:AI8,4,FALSE())</f>
        <v>Team 3</v>
      </c>
      <c r="C29" s="201"/>
      <c r="D29" s="201"/>
      <c r="E29" s="201"/>
      <c r="F29" s="201"/>
      <c r="G29" s="201"/>
      <c r="J29" s="202" t="s">
        <v>114</v>
      </c>
      <c r="K29" s="202"/>
      <c r="L29" s="202"/>
      <c r="M29" s="202"/>
      <c r="P29" s="199" t="s">
        <v>125</v>
      </c>
      <c r="Q29" s="203" t="str">
        <f aca="false">VLOOKUP(Z2,AA2:AI8,5,FALSE())</f>
        <v>Team 4</v>
      </c>
      <c r="R29" s="203"/>
      <c r="S29" s="203"/>
      <c r="T29" s="203"/>
      <c r="U29" s="203"/>
      <c r="V29" s="203"/>
    </row>
    <row r="30" customFormat="false" ht="14.25" hidden="false" customHeight="true" outlineLevel="0" collapsed="false">
      <c r="A30" s="199" t="s">
        <v>126</v>
      </c>
      <c r="B30" s="258" t="n">
        <f aca="false">IF(B29="","",VLOOKUP(B29,Deelnemers!B8:C46,2,FALSE()))</f>
        <v>0</v>
      </c>
      <c r="C30" s="258"/>
      <c r="D30" s="258"/>
      <c r="E30" s="209" t="s">
        <v>127</v>
      </c>
      <c r="F30" s="209" t="s">
        <v>128</v>
      </c>
      <c r="G30" s="206"/>
      <c r="J30" s="207" t="s">
        <v>129</v>
      </c>
      <c r="K30" s="207"/>
      <c r="L30" s="208" t="s">
        <v>129</v>
      </c>
      <c r="M30" s="208"/>
      <c r="P30" s="199" t="s">
        <v>126</v>
      </c>
      <c r="Q30" s="258" t="n">
        <f aca="false">IF(Q29="","",VLOOKUP(Q29,Deelnemers!B8:C46,2,FALSE()))</f>
        <v>0</v>
      </c>
      <c r="R30" s="258"/>
      <c r="S30" s="258"/>
      <c r="T30" s="209" t="s">
        <v>127</v>
      </c>
      <c r="U30" s="209" t="s">
        <v>128</v>
      </c>
      <c r="V30" s="206"/>
    </row>
    <row r="31" customFormat="false" ht="19.5" hidden="false" customHeight="true" outlineLevel="0" collapsed="false">
      <c r="A31" s="210" t="n">
        <v>1</v>
      </c>
      <c r="B31" s="206"/>
      <c r="C31" s="206"/>
      <c r="D31" s="206"/>
      <c r="E31" s="211"/>
      <c r="F31" s="211"/>
      <c r="G31" s="206"/>
      <c r="J31" s="214"/>
      <c r="K31" s="214"/>
      <c r="L31" s="215"/>
      <c r="M31" s="215"/>
      <c r="P31" s="210" t="n">
        <v>1</v>
      </c>
      <c r="Q31" s="206"/>
      <c r="R31" s="206"/>
      <c r="S31" s="206"/>
      <c r="T31" s="211"/>
      <c r="U31" s="211"/>
      <c r="V31" s="206"/>
    </row>
    <row r="32" customFormat="false" ht="19.5" hidden="false" customHeight="true" outlineLevel="0" collapsed="false">
      <c r="A32" s="210" t="n">
        <v>2</v>
      </c>
      <c r="B32" s="206"/>
      <c r="C32" s="206"/>
      <c r="D32" s="206"/>
      <c r="E32" s="220"/>
      <c r="F32" s="220"/>
      <c r="G32" s="206"/>
      <c r="J32" s="214"/>
      <c r="K32" s="214"/>
      <c r="L32" s="215"/>
      <c r="M32" s="215"/>
      <c r="P32" s="210" t="n">
        <v>2</v>
      </c>
      <c r="Q32" s="206"/>
      <c r="R32" s="206"/>
      <c r="S32" s="206"/>
      <c r="T32" s="220"/>
      <c r="U32" s="220"/>
      <c r="V32" s="206"/>
    </row>
    <row r="33" customFormat="false" ht="19.5" hidden="false" customHeight="true" outlineLevel="0" collapsed="false">
      <c r="A33" s="210" t="n">
        <v>3</v>
      </c>
      <c r="B33" s="206"/>
      <c r="C33" s="206"/>
      <c r="D33" s="206"/>
      <c r="E33" s="220"/>
      <c r="F33" s="220"/>
      <c r="G33" s="206"/>
      <c r="J33" s="214"/>
      <c r="K33" s="214"/>
      <c r="L33" s="215"/>
      <c r="M33" s="215"/>
      <c r="P33" s="210" t="n">
        <v>3</v>
      </c>
      <c r="Q33" s="206"/>
      <c r="R33" s="206"/>
      <c r="S33" s="206"/>
      <c r="T33" s="220"/>
      <c r="U33" s="220"/>
      <c r="V33" s="206"/>
    </row>
    <row r="34" customFormat="false" ht="19.5" hidden="false" customHeight="true" outlineLevel="0" collapsed="false">
      <c r="A34" s="210" t="n">
        <v>4</v>
      </c>
      <c r="B34" s="206"/>
      <c r="C34" s="206"/>
      <c r="D34" s="206"/>
      <c r="E34" s="220"/>
      <c r="F34" s="220"/>
      <c r="G34" s="206"/>
      <c r="J34" s="214"/>
      <c r="K34" s="214"/>
      <c r="L34" s="215"/>
      <c r="M34" s="215"/>
      <c r="P34" s="210" t="n">
        <v>4</v>
      </c>
      <c r="Q34" s="206"/>
      <c r="R34" s="206"/>
      <c r="S34" s="206"/>
      <c r="T34" s="220"/>
      <c r="U34" s="220"/>
      <c r="V34" s="206"/>
    </row>
    <row r="35" customFormat="false" ht="19.5" hidden="false" customHeight="true" outlineLevel="0" collapsed="false">
      <c r="A35" s="210" t="n">
        <v>5</v>
      </c>
      <c r="B35" s="206"/>
      <c r="C35" s="206"/>
      <c r="D35" s="206"/>
      <c r="E35" s="223"/>
      <c r="F35" s="223"/>
      <c r="G35" s="206"/>
      <c r="J35" s="214"/>
      <c r="K35" s="214"/>
      <c r="L35" s="215"/>
      <c r="M35" s="215"/>
      <c r="P35" s="210" t="n">
        <v>5</v>
      </c>
      <c r="Q35" s="206"/>
      <c r="R35" s="206"/>
      <c r="S35" s="206"/>
      <c r="T35" s="223"/>
      <c r="U35" s="223"/>
      <c r="V35" s="206"/>
    </row>
    <row r="36" customFormat="false" ht="19.5" hidden="false" customHeight="true" outlineLevel="0" collapsed="false">
      <c r="A36" s="224"/>
      <c r="B36" s="184"/>
      <c r="C36" s="184"/>
      <c r="D36" s="225" t="s">
        <v>128</v>
      </c>
      <c r="E36" s="226"/>
      <c r="F36" s="227"/>
      <c r="G36" s="230"/>
      <c r="J36" s="228"/>
      <c r="K36" s="228"/>
      <c r="L36" s="229"/>
      <c r="M36" s="229"/>
      <c r="P36" s="224"/>
      <c r="Q36" s="184"/>
      <c r="R36" s="184"/>
      <c r="S36" s="225" t="s">
        <v>128</v>
      </c>
      <c r="T36" s="226"/>
      <c r="U36" s="227"/>
      <c r="V36" s="230"/>
    </row>
    <row r="37" customFormat="false" ht="14.25" hidden="false" customHeight="true" outlineLevel="0" collapsed="false">
      <c r="A37" s="231" t="s">
        <v>130</v>
      </c>
      <c r="B37" s="185"/>
      <c r="C37" s="185"/>
      <c r="D37" s="185"/>
      <c r="E37" s="185"/>
      <c r="F37" s="185"/>
      <c r="G37" s="184"/>
      <c r="J37" s="202"/>
      <c r="K37" s="202"/>
      <c r="L37" s="202"/>
      <c r="M37" s="202"/>
      <c r="P37" s="231" t="s">
        <v>130</v>
      </c>
      <c r="Q37" s="185"/>
      <c r="R37" s="185"/>
      <c r="S37" s="185"/>
      <c r="T37" s="185"/>
      <c r="U37" s="185"/>
      <c r="V37" s="184"/>
    </row>
    <row r="38" customFormat="false" ht="14.25" hidden="false" customHeight="true" outlineLevel="0" collapsed="false">
      <c r="A38" s="232" t="s">
        <v>131</v>
      </c>
      <c r="B38" s="233"/>
      <c r="C38" s="233"/>
      <c r="D38" s="233"/>
      <c r="E38" s="233"/>
      <c r="F38" s="233"/>
      <c r="G38" s="197"/>
      <c r="H38" s="234" t="s">
        <v>132</v>
      </c>
      <c r="I38" s="234"/>
      <c r="J38" s="234"/>
      <c r="K38" s="234"/>
      <c r="L38" s="234"/>
      <c r="M38" s="234"/>
      <c r="N38" s="234"/>
      <c r="O38" s="234"/>
      <c r="P38" s="232" t="s">
        <v>131</v>
      </c>
      <c r="Q38" s="233"/>
      <c r="R38" s="233"/>
      <c r="S38" s="233"/>
      <c r="T38" s="233"/>
      <c r="U38" s="233"/>
      <c r="V38" s="197"/>
    </row>
    <row r="39" customFormat="false" ht="14.25" hidden="false" customHeight="true" outlineLevel="0" collapsed="false">
      <c r="A39" s="235" t="s">
        <v>133</v>
      </c>
      <c r="G39" s="236"/>
      <c r="H39" s="237" t="s">
        <v>124</v>
      </c>
      <c r="I39" s="237"/>
      <c r="J39" s="237"/>
      <c r="K39" s="237"/>
      <c r="L39" s="237"/>
      <c r="M39" s="237"/>
      <c r="N39" s="237"/>
      <c r="O39" s="237"/>
      <c r="P39" s="235" t="s">
        <v>133</v>
      </c>
      <c r="V39" s="236"/>
    </row>
    <row r="40" customFormat="false" ht="19.5" hidden="false" customHeight="true" outlineLevel="0" collapsed="false">
      <c r="A40" s="232" t="s">
        <v>131</v>
      </c>
      <c r="B40" s="233"/>
      <c r="C40" s="233"/>
      <c r="D40" s="233"/>
      <c r="E40" s="233"/>
      <c r="F40" s="233"/>
      <c r="G40" s="197"/>
      <c r="I40" s="238"/>
      <c r="J40" s="239"/>
      <c r="K40" s="239"/>
      <c r="L40" s="240"/>
      <c r="M40" s="240"/>
      <c r="N40" s="238"/>
      <c r="P40" s="232" t="s">
        <v>131</v>
      </c>
      <c r="Q40" s="233"/>
      <c r="R40" s="233"/>
      <c r="S40" s="233"/>
      <c r="T40" s="233"/>
      <c r="U40" s="233"/>
      <c r="V40" s="197"/>
    </row>
    <row r="41" customFormat="false" ht="14.25" hidden="false" customHeight="true" outlineLevel="0" collapsed="false">
      <c r="A41" s="249"/>
      <c r="I41" s="181"/>
      <c r="J41" s="181"/>
      <c r="K41" s="181"/>
      <c r="L41" s="181"/>
      <c r="M41" s="181"/>
      <c r="N41" s="181"/>
      <c r="P41" s="180"/>
      <c r="V41" s="236"/>
    </row>
    <row r="42" customFormat="false" ht="14.25" hidden="false" customHeight="true" outlineLevel="0" collapsed="false">
      <c r="A42" s="241"/>
      <c r="I42" s="181"/>
      <c r="J42" s="202" t="s">
        <v>134</v>
      </c>
      <c r="K42" s="202"/>
      <c r="L42" s="202"/>
      <c r="M42" s="202"/>
      <c r="N42" s="181"/>
      <c r="P42" s="180"/>
      <c r="V42" s="236"/>
    </row>
    <row r="43" customFormat="false" ht="14.25" hidden="false" customHeight="true" outlineLevel="0" collapsed="false">
      <c r="A43" s="232"/>
      <c r="B43" s="233"/>
      <c r="C43" s="233"/>
      <c r="D43" s="233"/>
      <c r="E43" s="233"/>
      <c r="F43" s="233"/>
      <c r="G43" s="233"/>
      <c r="H43" s="233"/>
      <c r="I43" s="242"/>
      <c r="J43" s="242"/>
      <c r="K43" s="242"/>
      <c r="L43" s="242"/>
      <c r="M43" s="242"/>
      <c r="N43" s="242"/>
      <c r="O43" s="233"/>
      <c r="P43" s="243"/>
      <c r="Q43" s="233"/>
      <c r="R43" s="233"/>
      <c r="S43" s="233"/>
      <c r="T43" s="233"/>
      <c r="U43" s="233"/>
      <c r="V43" s="197"/>
    </row>
    <row r="44" customFormat="false" ht="14.25" hidden="false" customHeight="true" outlineLevel="0" collapsed="false">
      <c r="A44" s="180"/>
      <c r="I44" s="181"/>
      <c r="J44" s="181"/>
      <c r="K44" s="181"/>
      <c r="L44" s="181"/>
      <c r="M44" s="181"/>
      <c r="N44" s="181"/>
      <c r="P44" s="180"/>
    </row>
    <row r="45" customFormat="false" ht="15.75" hidden="false" customHeight="true" outlineLevel="0" collapsed="false">
      <c r="A45" s="256"/>
      <c r="B45" s="256"/>
      <c r="C45" s="183" t="str">
        <f aca="false">VLOOKUP(Z2,AA11:AI18,6,FALSE())</f>
        <v>Baan 5</v>
      </c>
      <c r="D45" s="183"/>
      <c r="E45" s="183"/>
      <c r="F45" s="183"/>
      <c r="G45" s="184"/>
      <c r="H45" s="185"/>
      <c r="I45" s="186" t="str">
        <f aca="false">Z2</f>
        <v>Ronde 1</v>
      </c>
      <c r="J45" s="186"/>
      <c r="K45" s="186"/>
      <c r="L45" s="186"/>
      <c r="M45" s="186"/>
      <c r="N45" s="186"/>
      <c r="O45" s="185"/>
      <c r="P45" s="256"/>
      <c r="Q45" s="256"/>
      <c r="R45" s="183" t="str">
        <f aca="false">VLOOKUP(Z2,AA11:AI18,7,FALSE())</f>
        <v>Baan 6</v>
      </c>
      <c r="S45" s="183"/>
      <c r="T45" s="183"/>
      <c r="U45" s="183"/>
      <c r="V45" s="184"/>
    </row>
    <row r="46" customFormat="false" ht="15.75" hidden="false" customHeight="true" outlineLevel="0" collapsed="false">
      <c r="A46" s="256"/>
      <c r="B46" s="256"/>
      <c r="C46" s="250" t="s">
        <v>122</v>
      </c>
      <c r="D46" s="261" t="str">
        <f aca="false">Deelnemers!$B$4</f>
        <v>jjjj-mm-dd</v>
      </c>
      <c r="E46" s="261"/>
      <c r="F46" s="261"/>
      <c r="G46" s="184"/>
      <c r="H46" s="195" t="s">
        <v>123</v>
      </c>
      <c r="I46" s="195"/>
      <c r="J46" s="195"/>
      <c r="K46" s="195"/>
      <c r="L46" s="195"/>
      <c r="M46" s="195"/>
      <c r="N46" s="195"/>
      <c r="O46" s="195"/>
      <c r="P46" s="256"/>
      <c r="Q46" s="256"/>
      <c r="R46" s="250" t="s">
        <v>122</v>
      </c>
      <c r="S46" s="261" t="str">
        <f aca="false">Deelnemers!$B$4</f>
        <v>jjjj-mm-dd</v>
      </c>
      <c r="T46" s="261"/>
      <c r="U46" s="261"/>
      <c r="V46" s="184"/>
    </row>
    <row r="47" customFormat="false" ht="15.75" hidden="false" customHeight="true" outlineLevel="0" collapsed="false">
      <c r="A47" s="256"/>
      <c r="B47" s="256"/>
      <c r="C47" s="252" t="str">
        <f aca="false">Deelnemers!$B$3</f>
        <v>Naam organisator, Plaats</v>
      </c>
      <c r="D47" s="252"/>
      <c r="E47" s="252"/>
      <c r="F47" s="252"/>
      <c r="G47" s="197"/>
      <c r="H47" s="198" t="s">
        <v>124</v>
      </c>
      <c r="I47" s="198"/>
      <c r="J47" s="198"/>
      <c r="K47" s="198"/>
      <c r="L47" s="198"/>
      <c r="M47" s="198"/>
      <c r="N47" s="198"/>
      <c r="O47" s="198"/>
      <c r="P47" s="256"/>
      <c r="Q47" s="256"/>
      <c r="R47" s="252" t="str">
        <f aca="false">Deelnemers!$B$3</f>
        <v>Naam organisator, Plaats</v>
      </c>
      <c r="S47" s="252"/>
      <c r="T47" s="252"/>
      <c r="U47" s="252"/>
      <c r="V47" s="197"/>
    </row>
    <row r="48" customFormat="false" ht="14.25" hidden="false" customHeight="true" outlineLevel="0" collapsed="false">
      <c r="A48" s="199" t="s">
        <v>125</v>
      </c>
      <c r="B48" s="201" t="str">
        <f aca="false">VLOOKUP(Z2,AA2:AI8,6,FALSE())</f>
        <v>Team 5</v>
      </c>
      <c r="C48" s="201"/>
      <c r="D48" s="201"/>
      <c r="E48" s="201"/>
      <c r="F48" s="201"/>
      <c r="G48" s="201"/>
      <c r="J48" s="202" t="s">
        <v>114</v>
      </c>
      <c r="K48" s="202"/>
      <c r="L48" s="202"/>
      <c r="M48" s="202"/>
      <c r="P48" s="199" t="s">
        <v>125</v>
      </c>
      <c r="Q48" s="203" t="str">
        <f aca="false">VLOOKUP(Z2,AA2:AI8,7,FALSE())</f>
        <v>Team 6</v>
      </c>
      <c r="R48" s="203"/>
      <c r="S48" s="203"/>
      <c r="T48" s="203"/>
      <c r="U48" s="203"/>
      <c r="V48" s="203"/>
    </row>
    <row r="49" customFormat="false" ht="14.25" hidden="false" customHeight="true" outlineLevel="0" collapsed="false">
      <c r="A49" s="199" t="s">
        <v>126</v>
      </c>
      <c r="B49" s="258" t="n">
        <f aca="false">IF(B48="","",VLOOKUP(B48,Deelnemers!B8:C46,2,FALSE()))</f>
        <v>0</v>
      </c>
      <c r="C49" s="258"/>
      <c r="D49" s="258"/>
      <c r="E49" s="209" t="s">
        <v>127</v>
      </c>
      <c r="F49" s="209" t="s">
        <v>128</v>
      </c>
      <c r="G49" s="206"/>
      <c r="J49" s="207" t="s">
        <v>129</v>
      </c>
      <c r="K49" s="207"/>
      <c r="L49" s="208" t="s">
        <v>129</v>
      </c>
      <c r="M49" s="208"/>
      <c r="P49" s="199" t="s">
        <v>126</v>
      </c>
      <c r="Q49" s="258" t="n">
        <f aca="false">IF(Q48="","",VLOOKUP(Q48,Deelnemers!B8:C46,2,FALSE()))</f>
        <v>0</v>
      </c>
      <c r="R49" s="258"/>
      <c r="S49" s="258"/>
      <c r="T49" s="209" t="s">
        <v>127</v>
      </c>
      <c r="U49" s="209" t="s">
        <v>128</v>
      </c>
      <c r="V49" s="206"/>
    </row>
    <row r="50" customFormat="false" ht="19.5" hidden="false" customHeight="true" outlineLevel="0" collapsed="false">
      <c r="A50" s="210" t="n">
        <v>1</v>
      </c>
      <c r="B50" s="206"/>
      <c r="C50" s="206"/>
      <c r="D50" s="206"/>
      <c r="E50" s="211"/>
      <c r="F50" s="211"/>
      <c r="G50" s="206"/>
      <c r="J50" s="214"/>
      <c r="K50" s="214"/>
      <c r="L50" s="215"/>
      <c r="M50" s="215"/>
      <c r="P50" s="210" t="n">
        <v>1</v>
      </c>
      <c r="Q50" s="206"/>
      <c r="R50" s="206"/>
      <c r="S50" s="206"/>
      <c r="T50" s="211"/>
      <c r="U50" s="211"/>
      <c r="V50" s="206"/>
    </row>
    <row r="51" customFormat="false" ht="19.5" hidden="false" customHeight="true" outlineLevel="0" collapsed="false">
      <c r="A51" s="210" t="n">
        <v>2</v>
      </c>
      <c r="B51" s="206"/>
      <c r="C51" s="206"/>
      <c r="D51" s="206"/>
      <c r="E51" s="220"/>
      <c r="F51" s="220"/>
      <c r="G51" s="206"/>
      <c r="J51" s="214"/>
      <c r="K51" s="214"/>
      <c r="L51" s="215"/>
      <c r="M51" s="215"/>
      <c r="P51" s="210" t="n">
        <v>2</v>
      </c>
      <c r="Q51" s="206"/>
      <c r="R51" s="206"/>
      <c r="S51" s="206"/>
      <c r="T51" s="220"/>
      <c r="U51" s="220"/>
      <c r="V51" s="206"/>
    </row>
    <row r="52" customFormat="false" ht="19.5" hidden="false" customHeight="true" outlineLevel="0" collapsed="false">
      <c r="A52" s="210" t="n">
        <v>3</v>
      </c>
      <c r="B52" s="206"/>
      <c r="C52" s="206"/>
      <c r="D52" s="206"/>
      <c r="E52" s="220"/>
      <c r="F52" s="220"/>
      <c r="G52" s="206"/>
      <c r="J52" s="214"/>
      <c r="K52" s="214"/>
      <c r="L52" s="215"/>
      <c r="M52" s="215"/>
      <c r="P52" s="210" t="n">
        <v>3</v>
      </c>
      <c r="Q52" s="206"/>
      <c r="R52" s="206"/>
      <c r="S52" s="206"/>
      <c r="T52" s="220"/>
      <c r="U52" s="220"/>
      <c r="V52" s="206"/>
    </row>
    <row r="53" customFormat="false" ht="19.5" hidden="false" customHeight="true" outlineLevel="0" collapsed="false">
      <c r="A53" s="210" t="n">
        <v>4</v>
      </c>
      <c r="B53" s="206"/>
      <c r="C53" s="206"/>
      <c r="D53" s="206"/>
      <c r="E53" s="220"/>
      <c r="F53" s="220"/>
      <c r="G53" s="206"/>
      <c r="J53" s="214"/>
      <c r="K53" s="214"/>
      <c r="L53" s="215"/>
      <c r="M53" s="215"/>
      <c r="P53" s="210" t="n">
        <v>4</v>
      </c>
      <c r="Q53" s="206"/>
      <c r="R53" s="206"/>
      <c r="S53" s="206"/>
      <c r="T53" s="220"/>
      <c r="U53" s="220"/>
      <c r="V53" s="206"/>
    </row>
    <row r="54" customFormat="false" ht="19.5" hidden="false" customHeight="true" outlineLevel="0" collapsed="false">
      <c r="A54" s="210" t="n">
        <v>5</v>
      </c>
      <c r="B54" s="206"/>
      <c r="C54" s="206"/>
      <c r="D54" s="206"/>
      <c r="E54" s="223"/>
      <c r="F54" s="223"/>
      <c r="G54" s="206"/>
      <c r="J54" s="214"/>
      <c r="K54" s="214"/>
      <c r="L54" s="215"/>
      <c r="M54" s="215"/>
      <c r="P54" s="210" t="n">
        <v>5</v>
      </c>
      <c r="Q54" s="206"/>
      <c r="R54" s="206"/>
      <c r="S54" s="206"/>
      <c r="T54" s="223"/>
      <c r="U54" s="223"/>
      <c r="V54" s="206"/>
    </row>
    <row r="55" customFormat="false" ht="19.5" hidden="false" customHeight="true" outlineLevel="0" collapsed="false">
      <c r="A55" s="224"/>
      <c r="B55" s="184"/>
      <c r="C55" s="184"/>
      <c r="D55" s="225" t="s">
        <v>128</v>
      </c>
      <c r="E55" s="226"/>
      <c r="F55" s="227"/>
      <c r="G55" s="230"/>
      <c r="J55" s="228"/>
      <c r="K55" s="228"/>
      <c r="L55" s="229"/>
      <c r="M55" s="229"/>
      <c r="P55" s="224"/>
      <c r="Q55" s="184"/>
      <c r="R55" s="184"/>
      <c r="S55" s="225" t="s">
        <v>128</v>
      </c>
      <c r="T55" s="226"/>
      <c r="U55" s="227"/>
      <c r="V55" s="230"/>
    </row>
    <row r="56" customFormat="false" ht="14.25" hidden="false" customHeight="true" outlineLevel="0" collapsed="false">
      <c r="A56" s="231" t="s">
        <v>130</v>
      </c>
      <c r="B56" s="185"/>
      <c r="C56" s="185"/>
      <c r="D56" s="185"/>
      <c r="E56" s="185"/>
      <c r="F56" s="185"/>
      <c r="G56" s="184"/>
      <c r="J56" s="202"/>
      <c r="K56" s="202"/>
      <c r="L56" s="202"/>
      <c r="M56" s="202"/>
      <c r="P56" s="231" t="s">
        <v>130</v>
      </c>
      <c r="Q56" s="185"/>
      <c r="R56" s="185"/>
      <c r="S56" s="185"/>
      <c r="T56" s="185"/>
      <c r="U56" s="185"/>
      <c r="V56" s="184"/>
    </row>
    <row r="57" customFormat="false" ht="14.25" hidden="false" customHeight="true" outlineLevel="0" collapsed="false">
      <c r="A57" s="232" t="s">
        <v>131</v>
      </c>
      <c r="B57" s="233"/>
      <c r="C57" s="233"/>
      <c r="D57" s="233"/>
      <c r="E57" s="233"/>
      <c r="F57" s="233"/>
      <c r="G57" s="197"/>
      <c r="H57" s="234" t="s">
        <v>132</v>
      </c>
      <c r="I57" s="234"/>
      <c r="J57" s="234"/>
      <c r="K57" s="234"/>
      <c r="L57" s="234"/>
      <c r="M57" s="234"/>
      <c r="N57" s="234"/>
      <c r="O57" s="234"/>
      <c r="P57" s="232" t="s">
        <v>131</v>
      </c>
      <c r="Q57" s="233"/>
      <c r="R57" s="233"/>
      <c r="S57" s="233"/>
      <c r="T57" s="233"/>
      <c r="U57" s="233"/>
      <c r="V57" s="197"/>
    </row>
    <row r="58" customFormat="false" ht="14.25" hidden="false" customHeight="true" outlineLevel="0" collapsed="false">
      <c r="A58" s="235" t="s">
        <v>133</v>
      </c>
      <c r="G58" s="236"/>
      <c r="H58" s="237" t="s">
        <v>124</v>
      </c>
      <c r="I58" s="237"/>
      <c r="J58" s="237"/>
      <c r="K58" s="237"/>
      <c r="L58" s="237"/>
      <c r="M58" s="237"/>
      <c r="N58" s="237"/>
      <c r="O58" s="237"/>
      <c r="P58" s="235" t="s">
        <v>133</v>
      </c>
      <c r="V58" s="236"/>
    </row>
    <row r="59" customFormat="false" ht="19.5" hidden="false" customHeight="true" outlineLevel="0" collapsed="false">
      <c r="A59" s="232" t="s">
        <v>131</v>
      </c>
      <c r="B59" s="233"/>
      <c r="C59" s="233"/>
      <c r="D59" s="233"/>
      <c r="E59" s="233"/>
      <c r="F59" s="233"/>
      <c r="G59" s="197"/>
      <c r="I59" s="238"/>
      <c r="J59" s="239"/>
      <c r="K59" s="239"/>
      <c r="L59" s="240"/>
      <c r="M59" s="240"/>
      <c r="N59" s="238"/>
      <c r="P59" s="232" t="s">
        <v>131</v>
      </c>
      <c r="Q59" s="233"/>
      <c r="R59" s="233"/>
      <c r="S59" s="233"/>
      <c r="T59" s="233"/>
      <c r="U59" s="233"/>
      <c r="V59" s="197"/>
    </row>
    <row r="60" customFormat="false" ht="14.25" hidden="false" customHeight="true" outlineLevel="0" collapsed="false">
      <c r="A60" s="241"/>
      <c r="I60" s="181"/>
      <c r="J60" s="181"/>
      <c r="K60" s="181"/>
      <c r="L60" s="181"/>
      <c r="M60" s="181"/>
      <c r="N60" s="181"/>
      <c r="P60" s="180"/>
      <c r="V60" s="236"/>
    </row>
    <row r="61" customFormat="false" ht="14.25" hidden="false" customHeight="true" outlineLevel="0" collapsed="false">
      <c r="A61" s="241"/>
      <c r="I61" s="181"/>
      <c r="J61" s="202" t="s">
        <v>134</v>
      </c>
      <c r="K61" s="202"/>
      <c r="L61" s="202"/>
      <c r="M61" s="202"/>
      <c r="N61" s="181"/>
      <c r="P61" s="180"/>
      <c r="V61" s="236"/>
    </row>
    <row r="62" customFormat="false" ht="14.25" hidden="false" customHeight="true" outlineLevel="0" collapsed="false">
      <c r="A62" s="232"/>
      <c r="B62" s="233"/>
      <c r="C62" s="233"/>
      <c r="D62" s="233"/>
      <c r="E62" s="233"/>
      <c r="F62" s="233"/>
      <c r="G62" s="233"/>
      <c r="H62" s="233"/>
      <c r="I62" s="242"/>
      <c r="J62" s="242"/>
      <c r="K62" s="242"/>
      <c r="L62" s="242"/>
      <c r="M62" s="242"/>
      <c r="N62" s="242"/>
      <c r="O62" s="233"/>
      <c r="P62" s="243"/>
      <c r="Q62" s="233"/>
      <c r="R62" s="233"/>
      <c r="S62" s="233"/>
      <c r="T62" s="233"/>
      <c r="U62" s="233"/>
      <c r="V62" s="197"/>
    </row>
    <row r="63" customFormat="false" ht="14.25" hidden="false" customHeight="true" outlineLevel="0" collapsed="false">
      <c r="A63" s="244"/>
      <c r="I63" s="181"/>
      <c r="J63" s="181"/>
      <c r="K63" s="245"/>
      <c r="L63" s="245"/>
      <c r="M63" s="245"/>
      <c r="N63" s="181"/>
      <c r="P63" s="180"/>
      <c r="V63" s="185"/>
    </row>
    <row r="64" customFormat="false" ht="14.25" hidden="false" customHeight="true" outlineLevel="0" collapsed="false">
      <c r="A64" s="180"/>
      <c r="I64" s="181"/>
      <c r="J64" s="181"/>
      <c r="K64" s="245"/>
      <c r="L64" s="245"/>
      <c r="M64" s="245"/>
      <c r="N64" s="181"/>
      <c r="P64" s="180"/>
    </row>
    <row r="65" customFormat="false" ht="14.25" hidden="false" customHeight="true" outlineLevel="0" collapsed="false">
      <c r="A65" s="180"/>
      <c r="I65" s="181"/>
      <c r="J65" s="181"/>
      <c r="K65" s="245"/>
      <c r="L65" s="245"/>
      <c r="M65" s="245"/>
      <c r="N65" s="181"/>
      <c r="P65" s="180"/>
    </row>
    <row r="66" customFormat="false" ht="14.25" hidden="false" customHeight="true" outlineLevel="0" collapsed="false">
      <c r="A66" s="180"/>
      <c r="I66" s="181"/>
      <c r="J66" s="181"/>
      <c r="K66" s="245"/>
      <c r="L66" s="245"/>
      <c r="M66" s="245"/>
      <c r="N66" s="181"/>
      <c r="P66" s="180"/>
    </row>
    <row r="67" customFormat="false" ht="14.25" hidden="false" customHeight="true" outlineLevel="0" collapsed="false">
      <c r="A67" s="180"/>
      <c r="I67" s="181"/>
      <c r="J67" s="181"/>
      <c r="K67" s="245"/>
      <c r="L67" s="245"/>
      <c r="M67" s="245"/>
      <c r="N67" s="181"/>
      <c r="P67" s="180"/>
    </row>
    <row r="68" customFormat="false" ht="14.25" hidden="false" customHeight="true" outlineLevel="0" collapsed="false">
      <c r="A68" s="233"/>
      <c r="V68" s="233"/>
    </row>
    <row r="69" customFormat="false" ht="15.75" hidden="false" customHeight="true" outlineLevel="0" collapsed="false">
      <c r="A69" s="256"/>
      <c r="B69" s="256"/>
      <c r="C69" s="183" t="str">
        <f aca="false">VLOOKUP(Z2,AA11:AI18,8,FALSE())</f>
        <v>Baan 7</v>
      </c>
      <c r="D69" s="183"/>
      <c r="E69" s="183"/>
      <c r="F69" s="183"/>
      <c r="G69" s="184"/>
      <c r="H69" s="185"/>
      <c r="I69" s="186" t="str">
        <f aca="false">Z2</f>
        <v>Ronde 1</v>
      </c>
      <c r="J69" s="186"/>
      <c r="K69" s="186"/>
      <c r="L69" s="186"/>
      <c r="M69" s="186"/>
      <c r="N69" s="186"/>
      <c r="O69" s="185"/>
      <c r="P69" s="256"/>
      <c r="Q69" s="256"/>
      <c r="R69" s="183" t="str">
        <f aca="false">VLOOKUP(Z2,AA11:AI18,9,FALSE())</f>
        <v>Baan 8</v>
      </c>
      <c r="S69" s="183"/>
      <c r="T69" s="183"/>
      <c r="U69" s="183"/>
      <c r="V69" s="184"/>
    </row>
    <row r="70" customFormat="false" ht="15.75" hidden="false" customHeight="true" outlineLevel="0" collapsed="false">
      <c r="A70" s="256"/>
      <c r="B70" s="256"/>
      <c r="C70" s="253" t="s">
        <v>122</v>
      </c>
      <c r="D70" s="262" t="str">
        <f aca="false">Deelnemers!$B$4</f>
        <v>jjjj-mm-dd</v>
      </c>
      <c r="E70" s="262"/>
      <c r="F70" s="262"/>
      <c r="G70" s="184"/>
      <c r="H70" s="195" t="s">
        <v>123</v>
      </c>
      <c r="I70" s="195"/>
      <c r="J70" s="195"/>
      <c r="K70" s="195"/>
      <c r="L70" s="195"/>
      <c r="M70" s="195"/>
      <c r="N70" s="195"/>
      <c r="O70" s="195"/>
      <c r="P70" s="256"/>
      <c r="Q70" s="256"/>
      <c r="R70" s="253" t="s">
        <v>122</v>
      </c>
      <c r="S70" s="262" t="str">
        <f aca="false">Deelnemers!$B$4</f>
        <v>jjjj-mm-dd</v>
      </c>
      <c r="T70" s="262"/>
      <c r="U70" s="262"/>
      <c r="V70" s="184"/>
    </row>
    <row r="71" customFormat="false" ht="15.75" hidden="false" customHeight="true" outlineLevel="0" collapsed="false">
      <c r="A71" s="256"/>
      <c r="B71" s="256"/>
      <c r="C71" s="255" t="str">
        <f aca="false">Deelnemers!$B$3</f>
        <v>Naam organisator, Plaats</v>
      </c>
      <c r="D71" s="255"/>
      <c r="E71" s="255"/>
      <c r="F71" s="255"/>
      <c r="G71" s="197"/>
      <c r="H71" s="198" t="s">
        <v>124</v>
      </c>
      <c r="I71" s="198"/>
      <c r="J71" s="198"/>
      <c r="K71" s="198"/>
      <c r="L71" s="198"/>
      <c r="M71" s="198"/>
      <c r="N71" s="198"/>
      <c r="O71" s="198"/>
      <c r="P71" s="256"/>
      <c r="Q71" s="256"/>
      <c r="R71" s="255" t="str">
        <f aca="false">Deelnemers!$B$3</f>
        <v>Naam organisator, Plaats</v>
      </c>
      <c r="S71" s="255"/>
      <c r="T71" s="255"/>
      <c r="U71" s="255"/>
      <c r="V71" s="197"/>
    </row>
    <row r="72" customFormat="false" ht="14.25" hidden="false" customHeight="true" outlineLevel="0" collapsed="false">
      <c r="A72" s="199" t="s">
        <v>125</v>
      </c>
      <c r="B72" s="201" t="str">
        <f aca="false">VLOOKUP(Z2,AA2:AI8,8,FALSE())</f>
        <v>Team 7</v>
      </c>
      <c r="C72" s="201"/>
      <c r="D72" s="201"/>
      <c r="E72" s="201"/>
      <c r="F72" s="201"/>
      <c r="G72" s="201"/>
      <c r="J72" s="202" t="s">
        <v>114</v>
      </c>
      <c r="K72" s="202"/>
      <c r="L72" s="202"/>
      <c r="M72" s="202"/>
      <c r="P72" s="199" t="s">
        <v>125</v>
      </c>
      <c r="Q72" s="203" t="str">
        <f aca="false">VLOOKUP(Z2,AA2:AI8,9,FALSE())</f>
        <v>Team 8</v>
      </c>
      <c r="R72" s="203"/>
      <c r="S72" s="203"/>
      <c r="T72" s="203"/>
      <c r="U72" s="203"/>
      <c r="V72" s="203"/>
    </row>
    <row r="73" customFormat="false" ht="14.25" hidden="false" customHeight="true" outlineLevel="0" collapsed="false">
      <c r="A73" s="199" t="s">
        <v>126</v>
      </c>
      <c r="B73" s="258" t="n">
        <f aca="false">IF(B72="","",VLOOKUP(B72,Deelnemers!B8:C46,2,FALSE()))</f>
        <v>0</v>
      </c>
      <c r="C73" s="258"/>
      <c r="D73" s="258"/>
      <c r="E73" s="209" t="s">
        <v>127</v>
      </c>
      <c r="F73" s="209" t="s">
        <v>128</v>
      </c>
      <c r="G73" s="206"/>
      <c r="J73" s="207" t="s">
        <v>129</v>
      </c>
      <c r="K73" s="207"/>
      <c r="L73" s="208" t="s">
        <v>129</v>
      </c>
      <c r="M73" s="208"/>
      <c r="P73" s="199" t="s">
        <v>126</v>
      </c>
      <c r="Q73" s="258" t="n">
        <f aca="false">IF(Q72="","",VLOOKUP(Q72,Deelnemers!B8:C46,2,FALSE()))</f>
        <v>0</v>
      </c>
      <c r="R73" s="258"/>
      <c r="S73" s="258"/>
      <c r="T73" s="209" t="s">
        <v>127</v>
      </c>
      <c r="U73" s="209" t="s">
        <v>128</v>
      </c>
      <c r="V73" s="206"/>
    </row>
    <row r="74" customFormat="false" ht="19.5" hidden="false" customHeight="true" outlineLevel="0" collapsed="false">
      <c r="A74" s="210" t="n">
        <v>1</v>
      </c>
      <c r="B74" s="206"/>
      <c r="C74" s="206"/>
      <c r="D74" s="206"/>
      <c r="E74" s="211"/>
      <c r="F74" s="211"/>
      <c r="G74" s="206"/>
      <c r="J74" s="214"/>
      <c r="K74" s="214"/>
      <c r="L74" s="215"/>
      <c r="M74" s="215"/>
      <c r="P74" s="210" t="n">
        <v>1</v>
      </c>
      <c r="Q74" s="206"/>
      <c r="R74" s="206"/>
      <c r="S74" s="206"/>
      <c r="T74" s="211"/>
      <c r="U74" s="211"/>
      <c r="V74" s="206"/>
    </row>
    <row r="75" customFormat="false" ht="19.5" hidden="false" customHeight="true" outlineLevel="0" collapsed="false">
      <c r="A75" s="210" t="n">
        <v>2</v>
      </c>
      <c r="B75" s="206"/>
      <c r="C75" s="206"/>
      <c r="D75" s="206"/>
      <c r="E75" s="220"/>
      <c r="F75" s="220"/>
      <c r="G75" s="206"/>
      <c r="J75" s="214"/>
      <c r="K75" s="214"/>
      <c r="L75" s="215"/>
      <c r="M75" s="215"/>
      <c r="P75" s="210" t="n">
        <v>2</v>
      </c>
      <c r="Q75" s="206"/>
      <c r="R75" s="206"/>
      <c r="S75" s="206"/>
      <c r="T75" s="220"/>
      <c r="U75" s="220"/>
      <c r="V75" s="206"/>
    </row>
    <row r="76" customFormat="false" ht="19.5" hidden="false" customHeight="true" outlineLevel="0" collapsed="false">
      <c r="A76" s="210" t="n">
        <v>3</v>
      </c>
      <c r="B76" s="206"/>
      <c r="C76" s="206"/>
      <c r="D76" s="206"/>
      <c r="E76" s="220"/>
      <c r="F76" s="220"/>
      <c r="G76" s="206"/>
      <c r="J76" s="214"/>
      <c r="K76" s="214"/>
      <c r="L76" s="215"/>
      <c r="M76" s="215"/>
      <c r="P76" s="210" t="n">
        <v>3</v>
      </c>
      <c r="Q76" s="206"/>
      <c r="R76" s="206"/>
      <c r="S76" s="206"/>
      <c r="T76" s="220"/>
      <c r="U76" s="220"/>
      <c r="V76" s="206"/>
    </row>
    <row r="77" customFormat="false" ht="19.5" hidden="false" customHeight="true" outlineLevel="0" collapsed="false">
      <c r="A77" s="210" t="n">
        <v>4</v>
      </c>
      <c r="B77" s="206"/>
      <c r="C77" s="206"/>
      <c r="D77" s="206"/>
      <c r="E77" s="220"/>
      <c r="F77" s="220"/>
      <c r="G77" s="206"/>
      <c r="J77" s="214"/>
      <c r="K77" s="214"/>
      <c r="L77" s="215"/>
      <c r="M77" s="215"/>
      <c r="P77" s="210" t="n">
        <v>4</v>
      </c>
      <c r="Q77" s="206"/>
      <c r="R77" s="206"/>
      <c r="S77" s="206"/>
      <c r="T77" s="220"/>
      <c r="U77" s="220"/>
      <c r="V77" s="206"/>
    </row>
    <row r="78" customFormat="false" ht="19.5" hidden="false" customHeight="true" outlineLevel="0" collapsed="false">
      <c r="A78" s="210" t="n">
        <v>5</v>
      </c>
      <c r="B78" s="206"/>
      <c r="C78" s="206"/>
      <c r="D78" s="206"/>
      <c r="E78" s="223"/>
      <c r="F78" s="223"/>
      <c r="G78" s="206"/>
      <c r="J78" s="214"/>
      <c r="K78" s="214"/>
      <c r="L78" s="215"/>
      <c r="M78" s="215"/>
      <c r="P78" s="210" t="n">
        <v>5</v>
      </c>
      <c r="Q78" s="206"/>
      <c r="R78" s="206"/>
      <c r="S78" s="206"/>
      <c r="T78" s="223"/>
      <c r="U78" s="223"/>
      <c r="V78" s="206"/>
    </row>
    <row r="79" customFormat="false" ht="19.5" hidden="false" customHeight="true" outlineLevel="0" collapsed="false">
      <c r="A79" s="224"/>
      <c r="B79" s="184"/>
      <c r="C79" s="184"/>
      <c r="D79" s="225" t="s">
        <v>128</v>
      </c>
      <c r="E79" s="226"/>
      <c r="F79" s="227"/>
      <c r="G79" s="230"/>
      <c r="J79" s="228"/>
      <c r="K79" s="228"/>
      <c r="L79" s="229"/>
      <c r="M79" s="229"/>
      <c r="P79" s="224"/>
      <c r="Q79" s="184"/>
      <c r="R79" s="184"/>
      <c r="S79" s="225" t="s">
        <v>128</v>
      </c>
      <c r="T79" s="226"/>
      <c r="U79" s="227"/>
      <c r="V79" s="230"/>
    </row>
    <row r="80" customFormat="false" ht="14.25" hidden="false" customHeight="true" outlineLevel="0" collapsed="false">
      <c r="A80" s="231" t="s">
        <v>130</v>
      </c>
      <c r="B80" s="185"/>
      <c r="C80" s="185"/>
      <c r="D80" s="185"/>
      <c r="E80" s="185"/>
      <c r="F80" s="185"/>
      <c r="G80" s="184"/>
      <c r="J80" s="202"/>
      <c r="K80" s="202"/>
      <c r="L80" s="202"/>
      <c r="M80" s="202"/>
      <c r="P80" s="231" t="s">
        <v>130</v>
      </c>
      <c r="Q80" s="185"/>
      <c r="R80" s="185"/>
      <c r="S80" s="185"/>
      <c r="T80" s="185"/>
      <c r="U80" s="185"/>
      <c r="V80" s="184"/>
    </row>
    <row r="81" customFormat="false" ht="14.25" hidden="false" customHeight="true" outlineLevel="0" collapsed="false">
      <c r="A81" s="232" t="s">
        <v>131</v>
      </c>
      <c r="B81" s="233"/>
      <c r="C81" s="233"/>
      <c r="D81" s="233"/>
      <c r="E81" s="233"/>
      <c r="F81" s="233"/>
      <c r="G81" s="197"/>
      <c r="H81" s="234" t="s">
        <v>132</v>
      </c>
      <c r="I81" s="234"/>
      <c r="J81" s="234"/>
      <c r="K81" s="234"/>
      <c r="L81" s="234"/>
      <c r="M81" s="234"/>
      <c r="N81" s="234"/>
      <c r="O81" s="234"/>
      <c r="P81" s="232" t="s">
        <v>131</v>
      </c>
      <c r="Q81" s="233"/>
      <c r="R81" s="233"/>
      <c r="S81" s="233"/>
      <c r="T81" s="233"/>
      <c r="U81" s="233"/>
      <c r="V81" s="197"/>
    </row>
    <row r="82" customFormat="false" ht="14.25" hidden="false" customHeight="true" outlineLevel="0" collapsed="false">
      <c r="A82" s="235" t="s">
        <v>133</v>
      </c>
      <c r="G82" s="236"/>
      <c r="H82" s="237" t="s">
        <v>124</v>
      </c>
      <c r="I82" s="237"/>
      <c r="J82" s="237"/>
      <c r="K82" s="237"/>
      <c r="L82" s="237"/>
      <c r="M82" s="237"/>
      <c r="N82" s="237"/>
      <c r="O82" s="237"/>
      <c r="P82" s="235" t="s">
        <v>133</v>
      </c>
      <c r="V82" s="236"/>
    </row>
    <row r="83" customFormat="false" ht="19.5" hidden="false" customHeight="true" outlineLevel="0" collapsed="false">
      <c r="A83" s="232" t="s">
        <v>131</v>
      </c>
      <c r="B83" s="233"/>
      <c r="C83" s="233"/>
      <c r="D83" s="233"/>
      <c r="E83" s="233"/>
      <c r="F83" s="233"/>
      <c r="G83" s="197"/>
      <c r="I83" s="238"/>
      <c r="J83" s="239"/>
      <c r="K83" s="239"/>
      <c r="L83" s="240"/>
      <c r="M83" s="240"/>
      <c r="N83" s="238"/>
      <c r="P83" s="232" t="s">
        <v>131</v>
      </c>
      <c r="Q83" s="233"/>
      <c r="R83" s="233"/>
      <c r="S83" s="233"/>
      <c r="T83" s="233"/>
      <c r="U83" s="233"/>
      <c r="V83" s="197"/>
    </row>
    <row r="84" customFormat="false" ht="14.25" hidden="false" customHeight="true" outlineLevel="0" collapsed="false">
      <c r="A84" s="249"/>
      <c r="I84" s="181"/>
      <c r="J84" s="181"/>
      <c r="K84" s="181"/>
      <c r="L84" s="181"/>
      <c r="M84" s="181"/>
      <c r="N84" s="181"/>
      <c r="P84" s="180"/>
      <c r="V84" s="236"/>
    </row>
    <row r="85" customFormat="false" ht="14.25" hidden="false" customHeight="true" outlineLevel="0" collapsed="false">
      <c r="A85" s="241"/>
      <c r="I85" s="181"/>
      <c r="J85" s="202" t="s">
        <v>134</v>
      </c>
      <c r="K85" s="202"/>
      <c r="L85" s="202"/>
      <c r="M85" s="202"/>
      <c r="N85" s="181"/>
      <c r="P85" s="180"/>
      <c r="V85" s="236"/>
    </row>
    <row r="86" customFormat="false" ht="14.25" hidden="false" customHeight="true" outlineLevel="0" collapsed="false">
      <c r="A86" s="232"/>
      <c r="B86" s="233"/>
      <c r="C86" s="233"/>
      <c r="D86" s="233"/>
      <c r="E86" s="233"/>
      <c r="F86" s="233"/>
      <c r="G86" s="233"/>
      <c r="H86" s="233"/>
      <c r="I86" s="242"/>
      <c r="J86" s="242"/>
      <c r="K86" s="242"/>
      <c r="L86" s="242"/>
      <c r="M86" s="242"/>
      <c r="N86" s="242"/>
      <c r="O86" s="233"/>
      <c r="P86" s="243"/>
      <c r="Q86" s="233"/>
      <c r="R86" s="233"/>
      <c r="S86" s="233"/>
      <c r="T86" s="233"/>
      <c r="U86" s="233"/>
      <c r="V86" s="197"/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sheetProtection sheet="true" password="c982" objects="true" scenarios="true"/>
  <mergeCells count="148">
    <mergeCell ref="A2:B4"/>
    <mergeCell ref="C2:F2"/>
    <mergeCell ref="I2:N2"/>
    <mergeCell ref="P2:Q4"/>
    <mergeCell ref="R2:U2"/>
    <mergeCell ref="D3:F3"/>
    <mergeCell ref="H3:O3"/>
    <mergeCell ref="S3:U3"/>
    <mergeCell ref="C4:F4"/>
    <mergeCell ref="H4:O4"/>
    <mergeCell ref="R4:U4"/>
    <mergeCell ref="B5:G5"/>
    <mergeCell ref="J5:M5"/>
    <mergeCell ref="Q5:V5"/>
    <mergeCell ref="B6:D6"/>
    <mergeCell ref="J6:K6"/>
    <mergeCell ref="L6:M6"/>
    <mergeCell ref="Q6:S6"/>
    <mergeCell ref="J7:K7"/>
    <mergeCell ref="L7:M7"/>
    <mergeCell ref="J8:K8"/>
    <mergeCell ref="L8:M8"/>
    <mergeCell ref="J9:K9"/>
    <mergeCell ref="L9:M9"/>
    <mergeCell ref="J10:K10"/>
    <mergeCell ref="L10:M10"/>
    <mergeCell ref="J11:K11"/>
    <mergeCell ref="L11:M11"/>
    <mergeCell ref="J12:K12"/>
    <mergeCell ref="L12:M12"/>
    <mergeCell ref="J13:M13"/>
    <mergeCell ref="H14:O14"/>
    <mergeCell ref="H15:O15"/>
    <mergeCell ref="J16:K16"/>
    <mergeCell ref="L16:M16"/>
    <mergeCell ref="J18:M18"/>
    <mergeCell ref="J19:M19"/>
    <mergeCell ref="A26:B28"/>
    <mergeCell ref="C26:F26"/>
    <mergeCell ref="I26:N26"/>
    <mergeCell ref="P26:Q28"/>
    <mergeCell ref="R26:U26"/>
    <mergeCell ref="D27:F27"/>
    <mergeCell ref="H27:O27"/>
    <mergeCell ref="S27:U27"/>
    <mergeCell ref="C28:F28"/>
    <mergeCell ref="H28:O28"/>
    <mergeCell ref="R28:U28"/>
    <mergeCell ref="B29:G29"/>
    <mergeCell ref="J29:M29"/>
    <mergeCell ref="Q29:V29"/>
    <mergeCell ref="B30:D30"/>
    <mergeCell ref="J30:K30"/>
    <mergeCell ref="L30:M30"/>
    <mergeCell ref="Q30:S30"/>
    <mergeCell ref="J31:K31"/>
    <mergeCell ref="L31:M31"/>
    <mergeCell ref="J32:K32"/>
    <mergeCell ref="L32:M32"/>
    <mergeCell ref="J33:K33"/>
    <mergeCell ref="L33:M33"/>
    <mergeCell ref="J34:K34"/>
    <mergeCell ref="L34:M34"/>
    <mergeCell ref="J35:K35"/>
    <mergeCell ref="L35:M35"/>
    <mergeCell ref="J36:K36"/>
    <mergeCell ref="L36:M36"/>
    <mergeCell ref="J37:M37"/>
    <mergeCell ref="H38:O38"/>
    <mergeCell ref="H39:O39"/>
    <mergeCell ref="J40:K40"/>
    <mergeCell ref="L40:M40"/>
    <mergeCell ref="J42:M42"/>
    <mergeCell ref="J43:M43"/>
    <mergeCell ref="A45:B47"/>
    <mergeCell ref="C45:F45"/>
    <mergeCell ref="I45:N45"/>
    <mergeCell ref="P45:Q47"/>
    <mergeCell ref="R45:U45"/>
    <mergeCell ref="D46:F46"/>
    <mergeCell ref="H46:O46"/>
    <mergeCell ref="S46:U46"/>
    <mergeCell ref="C47:F47"/>
    <mergeCell ref="H47:O47"/>
    <mergeCell ref="R47:U47"/>
    <mergeCell ref="B48:G48"/>
    <mergeCell ref="J48:M48"/>
    <mergeCell ref="Q48:V48"/>
    <mergeCell ref="B49:D49"/>
    <mergeCell ref="J49:K49"/>
    <mergeCell ref="L49:M49"/>
    <mergeCell ref="Q49:S49"/>
    <mergeCell ref="J50:K50"/>
    <mergeCell ref="L50:M50"/>
    <mergeCell ref="J51:K51"/>
    <mergeCell ref="L51:M51"/>
    <mergeCell ref="J52:K52"/>
    <mergeCell ref="L52:M52"/>
    <mergeCell ref="J53:K53"/>
    <mergeCell ref="L53:M53"/>
    <mergeCell ref="J54:K54"/>
    <mergeCell ref="L54:M54"/>
    <mergeCell ref="J55:K55"/>
    <mergeCell ref="L55:M55"/>
    <mergeCell ref="J56:M56"/>
    <mergeCell ref="H57:O57"/>
    <mergeCell ref="H58:O58"/>
    <mergeCell ref="J59:K59"/>
    <mergeCell ref="L59:M59"/>
    <mergeCell ref="J61:M61"/>
    <mergeCell ref="J62:M62"/>
    <mergeCell ref="A69:B71"/>
    <mergeCell ref="C69:F69"/>
    <mergeCell ref="I69:N69"/>
    <mergeCell ref="P69:Q71"/>
    <mergeCell ref="R69:U69"/>
    <mergeCell ref="D70:F70"/>
    <mergeCell ref="H70:O70"/>
    <mergeCell ref="S70:U70"/>
    <mergeCell ref="C71:F71"/>
    <mergeCell ref="H71:O71"/>
    <mergeCell ref="R71:U71"/>
    <mergeCell ref="B72:G72"/>
    <mergeCell ref="J72:M72"/>
    <mergeCell ref="Q72:V72"/>
    <mergeCell ref="B73:D73"/>
    <mergeCell ref="J73:K73"/>
    <mergeCell ref="L73:M73"/>
    <mergeCell ref="Q73:S73"/>
    <mergeCell ref="J74:K74"/>
    <mergeCell ref="L74:M74"/>
    <mergeCell ref="J75:K75"/>
    <mergeCell ref="L75:M75"/>
    <mergeCell ref="J76:K76"/>
    <mergeCell ref="L76:M76"/>
    <mergeCell ref="J77:K77"/>
    <mergeCell ref="L77:M77"/>
    <mergeCell ref="J78:K78"/>
    <mergeCell ref="L78:M78"/>
    <mergeCell ref="J79:K79"/>
    <mergeCell ref="L79:M79"/>
    <mergeCell ref="J80:M80"/>
    <mergeCell ref="H81:O81"/>
    <mergeCell ref="H82:O82"/>
    <mergeCell ref="J83:K83"/>
    <mergeCell ref="L83:M83"/>
    <mergeCell ref="J85:M85"/>
    <mergeCell ref="J86:M86"/>
  </mergeCells>
  <dataValidations count="1">
    <dataValidation allowBlank="true" errorStyle="stop" operator="between" showDropDown="false" showErrorMessage="true" showInputMessage="true" sqref="Y2" type="list">
      <formula1>"1,2,3,4,5,6,7"</formula1>
      <formula2>0</formula2>
    </dataValidation>
  </dataValidations>
  <printOptions headings="false" gridLines="false" gridLinesSet="true" horizontalCentered="true" verticalCentered="true"/>
  <pageMargins left="0.236111111111111" right="0.354166666666667" top="0.747916666666667" bottom="0.74791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43" man="true" max="16383" min="0"/>
  </row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51" width="19"/>
    <col collapsed="false" customWidth="true" hidden="false" outlineLevel="0" max="2" min="2" style="51" width="63.71"/>
    <col collapsed="false" customWidth="true" hidden="false" outlineLevel="0" max="3" min="3" style="51" width="11.29"/>
    <col collapsed="false" customWidth="true" hidden="false" outlineLevel="0" max="4" min="4" style="51" width="4.86"/>
    <col collapsed="false" customWidth="true" hidden="false" outlineLevel="0" max="5" min="5" style="51" width="23.71"/>
    <col collapsed="false" customWidth="true" hidden="true" outlineLevel="0" max="6" min="6" style="51" width="10.57"/>
    <col collapsed="false" customWidth="true" hidden="true" outlineLevel="0" max="10" min="7" style="51" width="9.14"/>
    <col collapsed="false" customWidth="true" hidden="false" outlineLevel="0" max="27" min="11" style="51" width="8.71"/>
  </cols>
  <sheetData>
    <row r="1" customFormat="false" ht="33" hidden="false" customHeight="true" outlineLevel="0" collapsed="false">
      <c r="A1" s="263" t="str">
        <f aca="false">Deelnemers!$B$1</f>
        <v>Bondscompetie Teams</v>
      </c>
      <c r="B1" s="263"/>
      <c r="C1" s="263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customFormat="false" ht="22.05" hidden="false" customHeight="false" outlineLevel="0" collapsed="false">
      <c r="A2" s="264" t="str">
        <f aca="false">Deelnemers!$B$2</f>
        <v>klasse</v>
      </c>
      <c r="B2" s="264"/>
      <c r="C2" s="264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customFormat="false" ht="19.7" hidden="false" customHeight="false" outlineLevel="0" collapsed="false">
      <c r="A3" s="265" t="str">
        <f aca="false">_xlfn.TEXTJOIN(", ",TRUE(),Deelnemers!B3,Deelnemers!B4)</f>
        <v>Naam organisator, Plaats, jjjj-mm-dd</v>
      </c>
      <c r="B3" s="265"/>
      <c r="C3" s="265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customFormat="false" ht="15" hidden="false" customHeight="false" outlineLevel="0" collapsed="false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customFormat="false" ht="15" hidden="false" customHeight="false" outlineLevel="0" collapsed="false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customFormat="false" ht="22.05" hidden="false" customHeight="false" outlineLevel="0" collapsed="false">
      <c r="A6" s="266" t="n">
        <f aca="false">VLOOKUP(C6,Deelnemers!A8:C46,3,FALSE())</f>
        <v>0</v>
      </c>
      <c r="B6" s="266" t="str">
        <f aca="false">VLOOKUP(C6,Deelnemers!A8:C46,2,FALSE())</f>
        <v>Team 1</v>
      </c>
      <c r="C6" s="267" t="s">
        <v>21</v>
      </c>
      <c r="D6" s="16"/>
      <c r="E6" s="16" t="s">
        <v>135</v>
      </c>
      <c r="F6" s="16" t="n">
        <f aca="false">RIGHT(C6,1)+1</f>
        <v>2</v>
      </c>
      <c r="G6" s="16"/>
      <c r="H6" s="16"/>
      <c r="I6" s="16"/>
      <c r="J6" s="16" t="str">
        <f aca="false">Deelnemers!A8</f>
        <v>Baan 1</v>
      </c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customFormat="false" ht="15" hidden="false" customHeight="false" outlineLevel="0" collapsed="false">
      <c r="A7" s="16"/>
      <c r="B7" s="16"/>
      <c r="C7" s="16"/>
      <c r="D7" s="16"/>
      <c r="E7" s="16"/>
      <c r="F7" s="16"/>
      <c r="G7" s="16"/>
      <c r="H7" s="16"/>
      <c r="I7" s="16"/>
      <c r="J7" s="16" t="str">
        <f aca="false">Deelnemers!A18</f>
        <v>Baan 3</v>
      </c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customFormat="false" ht="17.35" hidden="false" customHeight="false" outlineLevel="0" collapsed="false">
      <c r="A8" s="268" t="s">
        <v>136</v>
      </c>
      <c r="B8" s="269" t="s">
        <v>79</v>
      </c>
      <c r="C8" s="270"/>
      <c r="D8" s="16"/>
      <c r="E8" s="16"/>
      <c r="F8" s="16"/>
      <c r="G8" s="16"/>
      <c r="H8" s="16"/>
      <c r="I8" s="16"/>
      <c r="J8" s="16" t="str">
        <f aca="false">Deelnemers!A28</f>
        <v>Baan 5</v>
      </c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customFormat="false" ht="46.5" hidden="false" customHeight="true" outlineLevel="0" collapsed="false">
      <c r="A9" s="271"/>
      <c r="B9" s="271"/>
      <c r="C9" s="272" t="s">
        <v>25</v>
      </c>
      <c r="D9" s="16"/>
      <c r="E9" s="16"/>
      <c r="F9" s="16"/>
      <c r="G9" s="16"/>
      <c r="H9" s="16"/>
      <c r="I9" s="16"/>
      <c r="J9" s="16" t="str">
        <f aca="false">Deelnemers!A38</f>
        <v>Baan 7</v>
      </c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customFormat="false" ht="46.5" hidden="false" customHeight="true" outlineLevel="0" collapsed="false">
      <c r="A10" s="271"/>
      <c r="B10" s="271"/>
      <c r="C10" s="272" t="s">
        <v>29</v>
      </c>
      <c r="D10" s="16"/>
      <c r="E10" s="16"/>
      <c r="F10" s="16"/>
      <c r="G10" s="16"/>
      <c r="H10" s="16"/>
      <c r="I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customFormat="false" ht="46.5" hidden="false" customHeight="true" outlineLevel="0" collapsed="false">
      <c r="A11" s="271"/>
      <c r="B11" s="271"/>
      <c r="C11" s="272" t="s">
        <v>31</v>
      </c>
      <c r="D11" s="16"/>
      <c r="E11" s="16"/>
      <c r="F11" s="16"/>
      <c r="G11" s="16"/>
      <c r="H11" s="54"/>
      <c r="I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customFormat="false" ht="15" hidden="false" customHeight="false" outlineLevel="0" collapsed="false">
      <c r="A12" s="16"/>
      <c r="B12" s="16"/>
      <c r="C12" s="16"/>
      <c r="D12" s="16"/>
      <c r="E12" s="16"/>
      <c r="F12" s="16"/>
      <c r="G12" s="16"/>
      <c r="H12" s="16"/>
      <c r="I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customFormat="false" ht="15" hidden="false" customHeight="false" outlineLevel="0" collapsed="false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customFormat="false" ht="15" hidden="false" customHeight="false" outlineLevel="0" collapsed="false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customFormat="false" ht="15" hidden="false" customHeight="false" outlineLevel="0" collapsed="false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customFormat="false" ht="15" hidden="false" customHeight="false" outlineLevel="0" collapsed="false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customFormat="false" ht="15" hidden="false" customHeight="false" outlineLevel="0" collapsed="false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customFormat="false" ht="33" hidden="false" customHeight="true" outlineLevel="0" collapsed="false">
      <c r="A18" s="263" t="str">
        <f aca="false">Deelnemers!$B$1</f>
        <v>Bondscompetie Teams</v>
      </c>
      <c r="B18" s="263"/>
      <c r="C18" s="263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customFormat="false" ht="22.05" hidden="false" customHeight="false" outlineLevel="0" collapsed="false">
      <c r="A19" s="264" t="str">
        <f aca="false">Deelnemers!$B$2</f>
        <v>klasse</v>
      </c>
      <c r="B19" s="264"/>
      <c r="C19" s="264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customFormat="false" ht="19.7" hidden="false" customHeight="false" outlineLevel="0" collapsed="false">
      <c r="A20" s="265" t="str">
        <f aca="false">_xlfn.TEXTJOIN(", ",TRUE(),Deelnemers!B3,Deelnemers!B4)</f>
        <v>Naam organisator, Plaats, jjjj-mm-dd</v>
      </c>
      <c r="B20" s="265"/>
      <c r="C20" s="265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customFormat="false" ht="15" hidden="false" customHeight="false" outlineLevel="0" collapsed="false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customFormat="false" ht="15" hidden="false" customHeight="false" outlineLevel="0" collapsed="false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customFormat="false" ht="22.05" hidden="false" customHeight="false" outlineLevel="0" collapsed="false">
      <c r="A23" s="266" t="n">
        <f aca="false">VLOOKUP(C6,Deelnemers!A8:C46,3,FALSE())</f>
        <v>0</v>
      </c>
      <c r="B23" s="266" t="str">
        <f aca="false">VLOOKUP(C23,Deelnemers!A8:C46,2,FALSE())</f>
        <v>Team 2</v>
      </c>
      <c r="C23" s="273" t="str">
        <f aca="false">_xlfn.TEXTJOIN(" ",TRUE(),"Baan",F6)</f>
        <v>Baan 2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customFormat="false" ht="15" hidden="false" customHeight="false" outlineLevel="0" collapsed="false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customFormat="false" ht="17.35" hidden="false" customHeight="false" outlineLevel="0" collapsed="false">
      <c r="A25" s="268" t="s">
        <v>136</v>
      </c>
      <c r="B25" s="269" t="s">
        <v>79</v>
      </c>
      <c r="C25" s="270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customFormat="false" ht="46.5" hidden="false" customHeight="true" outlineLevel="0" collapsed="false">
      <c r="A26" s="271"/>
      <c r="B26" s="271"/>
      <c r="C26" s="272" t="s">
        <v>25</v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customFormat="false" ht="46.5" hidden="false" customHeight="true" outlineLevel="0" collapsed="false">
      <c r="A27" s="271"/>
      <c r="B27" s="271"/>
      <c r="C27" s="272" t="s">
        <v>29</v>
      </c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customFormat="false" ht="46.5" hidden="false" customHeight="true" outlineLevel="0" collapsed="false">
      <c r="A28" s="271"/>
      <c r="B28" s="271"/>
      <c r="C28" s="272" t="s">
        <v>31</v>
      </c>
      <c r="D28" s="16"/>
      <c r="E28" s="16"/>
      <c r="F28" s="16"/>
      <c r="G28" s="16"/>
      <c r="H28" s="54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customFormat="false" ht="15.75" hidden="false" customHeight="true" outlineLevel="0" collapsed="false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customFormat="false" ht="15.75" hidden="false" customHeight="true" outlineLevel="0" collapsed="false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customFormat="false" ht="15.75" hidden="false" customHeight="true" outlineLevel="0" collapsed="false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customFormat="false" ht="15.75" hidden="false" customHeight="true" outlineLevel="0" collapsed="false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customFormat="false" ht="15.75" hidden="false" customHeight="true" outlineLevel="0" collapsed="false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customFormat="false" ht="15.75" hidden="false" customHeight="true" outlineLevel="0" collapsed="false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customFormat="false" ht="15.75" hidden="false" customHeight="true" outlineLevel="0" collapsed="false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customFormat="false" ht="15.75" hidden="false" customHeight="true" outlineLevel="0" collapsed="false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customFormat="false" ht="15.75" hidden="false" customHeight="true" outlineLevel="0" collapsed="false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customFormat="false" ht="15.75" hidden="false" customHeight="true" outlineLevel="0" collapsed="false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customFormat="false" ht="15.75" hidden="false" customHeight="true" outlineLevel="0" collapsed="false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customFormat="false" ht="15.75" hidden="false" customHeight="true" outlineLevel="0" collapsed="false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customFormat="false" ht="15.75" hidden="false" customHeight="true" outlineLevel="0" collapsed="false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customFormat="false" ht="15.75" hidden="false" customHeight="true" outlineLevel="0" collapsed="false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customFormat="false" ht="15.75" hidden="false" customHeight="true" outlineLevel="0" collapsed="false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customFormat="false" ht="15.75" hidden="false" customHeight="true" outlineLevel="0" collapsed="false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customFormat="false" ht="15.75" hidden="false" customHeight="true" outlineLevel="0" collapsed="false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customFormat="false" ht="15.75" hidden="false" customHeight="true" outlineLevel="0" collapsed="false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customFormat="false" ht="15.75" hidden="false" customHeight="true" outlineLevel="0" collapsed="false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customFormat="false" ht="15.75" hidden="false" customHeight="true" outlineLevel="0" collapsed="false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customFormat="false" ht="15.75" hidden="false" customHeight="true" outlineLevel="0" collapsed="false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customFormat="false" ht="15.75" hidden="false" customHeight="true" outlineLevel="0" collapsed="false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customFormat="false" ht="15.75" hidden="false" customHeight="true" outlineLevel="0" collapsed="false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customFormat="false" ht="15.75" hidden="false" customHeight="true" outlineLevel="0" collapsed="false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customFormat="false" ht="15.75" hidden="false" customHeight="true" outlineLevel="0" collapsed="false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customFormat="false" ht="15.75" hidden="false" customHeight="true" outlineLevel="0" collapsed="false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customFormat="false" ht="15.75" hidden="false" customHeight="true" outlineLevel="0" collapsed="false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customFormat="false" ht="15.75" hidden="false" customHeight="true" outlineLevel="0" collapsed="false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customFormat="false" ht="15.75" hidden="false" customHeight="true" outlineLevel="0" collapsed="false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customFormat="false" ht="15.75" hidden="false" customHeight="true" outlineLevel="0" collapsed="false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customFormat="false" ht="15.75" hidden="false" customHeight="true" outlineLevel="0" collapsed="false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customFormat="false" ht="15.75" hidden="false" customHeight="true" outlineLevel="0" collapsed="false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customFormat="false" ht="15.75" hidden="false" customHeight="true" outlineLevel="0" collapsed="false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customFormat="false" ht="15.75" hidden="false" customHeight="true" outlineLevel="0" collapsed="false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customFormat="false" ht="15.75" hidden="false" customHeight="true" outlineLevel="0" collapsed="false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customFormat="false" ht="15.75" hidden="false" customHeight="true" outlineLevel="0" collapsed="false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customFormat="false" ht="15.75" hidden="false" customHeight="true" outlineLevel="0" collapsed="false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customFormat="false" ht="15.75" hidden="false" customHeight="true" outlineLevel="0" collapsed="false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customFormat="false" ht="15.75" hidden="false" customHeight="true" outlineLevel="0" collapsed="false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customFormat="false" ht="15.75" hidden="false" customHeight="true" outlineLevel="0" collapsed="false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customFormat="false" ht="15.75" hidden="false" customHeight="true" outlineLevel="0" collapsed="false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customFormat="false" ht="15.75" hidden="false" customHeight="true" outlineLevel="0" collapsed="false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customFormat="false" ht="15.75" hidden="false" customHeight="true" outlineLevel="0" collapsed="false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customFormat="false" ht="15.75" hidden="false" customHeight="true" outlineLevel="0" collapsed="false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customFormat="false" ht="15.75" hidden="false" customHeight="true" outlineLevel="0" collapsed="false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customFormat="false" ht="15.75" hidden="false" customHeight="true" outlineLevel="0" collapsed="false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customFormat="false" ht="15.75" hidden="false" customHeight="true" outlineLevel="0" collapsed="false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customFormat="false" ht="15.75" hidden="false" customHeight="true" outlineLevel="0" collapsed="false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customFormat="false" ht="15.75" hidden="false" customHeight="true" outlineLevel="0" collapsed="false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customFormat="false" ht="15.75" hidden="false" customHeight="true" outlineLevel="0" collapsed="false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customFormat="false" ht="15.75" hidden="false" customHeight="true" outlineLevel="0" collapsed="false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customFormat="false" ht="15.75" hidden="false" customHeight="true" outlineLevel="0" collapsed="false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customFormat="false" ht="15.75" hidden="false" customHeight="true" outlineLevel="0" collapsed="false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customFormat="false" ht="15.75" hidden="false" customHeight="true" outlineLevel="0" collapsed="false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customFormat="false" ht="15.75" hidden="false" customHeight="true" outlineLevel="0" collapsed="false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customFormat="false" ht="15.75" hidden="false" customHeight="true" outlineLevel="0" collapsed="false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customFormat="false" ht="15.75" hidden="false" customHeight="true" outlineLevel="0" collapsed="false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customFormat="false" ht="15.75" hidden="false" customHeight="true" outlineLevel="0" collapsed="false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customFormat="false" ht="15.75" hidden="false" customHeight="true" outlineLevel="0" collapsed="false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customFormat="false" ht="15.75" hidden="false" customHeight="true" outlineLevel="0" collapsed="false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customFormat="false" ht="15.75" hidden="false" customHeight="true" outlineLevel="0" collapsed="false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customFormat="false" ht="15.75" hidden="false" customHeight="true" outlineLevel="0" collapsed="false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customFormat="false" ht="15.75" hidden="false" customHeight="true" outlineLevel="0" collapsed="false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customFormat="false" ht="15.75" hidden="false" customHeight="true" outlineLevel="0" collapsed="false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customFormat="false" ht="15.75" hidden="false" customHeight="true" outlineLevel="0" collapsed="false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customFormat="false" ht="15.75" hidden="false" customHeight="true" outlineLevel="0" collapsed="false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customFormat="false" ht="15.75" hidden="false" customHeight="true" outlineLevel="0" collapsed="false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customFormat="false" ht="15.75" hidden="false" customHeight="true" outlineLevel="0" collapsed="false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customFormat="false" ht="15.75" hidden="false" customHeight="true" outlineLevel="0" collapsed="false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customFormat="false" ht="15.75" hidden="false" customHeight="true" outlineLevel="0" collapsed="false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customFormat="false" ht="15.75" hidden="false" customHeight="true" outlineLevel="0" collapsed="false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customFormat="false" ht="15.75" hidden="false" customHeight="true" outlineLevel="0" collapsed="false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customFormat="false" ht="15.75" hidden="false" customHeight="true" outlineLevel="0" collapsed="false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customFormat="false" ht="15.75" hidden="false" customHeight="true" outlineLevel="0" collapsed="false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customFormat="false" ht="15.75" hidden="false" customHeight="true" outlineLevel="0" collapsed="false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customFormat="false" ht="15.75" hidden="false" customHeight="true" outlineLevel="0" collapsed="false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customFormat="false" ht="15.75" hidden="false" customHeight="true" outlineLevel="0" collapsed="false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customFormat="false" ht="15.75" hidden="false" customHeight="true" outlineLevel="0" collapsed="false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customFormat="false" ht="15.75" hidden="false" customHeight="true" outlineLevel="0" collapsed="false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customFormat="false" ht="15.75" hidden="false" customHeight="true" outlineLevel="0" collapsed="false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customFormat="false" ht="15.75" hidden="false" customHeight="true" outlineLevel="0" collapsed="false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customFormat="false" ht="15.75" hidden="false" customHeight="true" outlineLevel="0" collapsed="false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customFormat="false" ht="15.75" hidden="false" customHeight="true" outlineLevel="0" collapsed="false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customFormat="false" ht="15.75" hidden="false" customHeight="true" outlineLevel="0" collapsed="false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customFormat="false" ht="15.75" hidden="false" customHeight="true" outlineLevel="0" collapsed="false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customFormat="false" ht="15.75" hidden="false" customHeight="true" outlineLevel="0" collapsed="false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customFormat="false" ht="15.75" hidden="false" customHeight="true" outlineLevel="0" collapsed="false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customFormat="false" ht="15.75" hidden="false" customHeight="true" outlineLevel="0" collapsed="false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customFormat="false" ht="15.75" hidden="false" customHeight="true" outlineLevel="0" collapsed="false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customFormat="false" ht="15.75" hidden="false" customHeight="true" outlineLevel="0" collapsed="false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customFormat="false" ht="15.75" hidden="false" customHeight="true" outlineLevel="0" collapsed="false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customFormat="false" ht="15.75" hidden="false" customHeight="true" outlineLevel="0" collapsed="false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customFormat="false" ht="15.75" hidden="false" customHeight="true" outlineLevel="0" collapsed="false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customFormat="false" ht="15.75" hidden="false" customHeight="true" outlineLevel="0" collapsed="false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customFormat="false" ht="15.75" hidden="false" customHeight="true" outlineLevel="0" collapsed="false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customFormat="false" ht="15.75" hidden="false" customHeight="true" outlineLevel="0" collapsed="false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customFormat="false" ht="15.75" hidden="false" customHeight="true" outlineLevel="0" collapsed="false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customFormat="false" ht="15.75" hidden="false" customHeight="true" outlineLevel="0" collapsed="false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customFormat="false" ht="15.75" hidden="false" customHeight="true" outlineLevel="0" collapsed="false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customFormat="false" ht="15.75" hidden="false" customHeight="true" outlineLevel="0" collapsed="false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customFormat="false" ht="15.75" hidden="false" customHeight="true" outlineLevel="0" collapsed="false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customFormat="false" ht="15.75" hidden="false" customHeight="true" outlineLevel="0" collapsed="false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customFormat="false" ht="15.75" hidden="false" customHeight="true" outlineLevel="0" collapsed="false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customFormat="false" ht="15.75" hidden="false" customHeight="true" outlineLevel="0" collapsed="false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customFormat="false" ht="15.75" hidden="false" customHeight="true" outlineLevel="0" collapsed="false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customFormat="false" ht="15.75" hidden="false" customHeight="true" outlineLevel="0" collapsed="false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customFormat="false" ht="15.75" hidden="false" customHeight="true" outlineLevel="0" collapsed="false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customFormat="false" ht="15.75" hidden="false" customHeight="true" outlineLevel="0" collapsed="false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customFormat="false" ht="15.75" hidden="false" customHeight="true" outlineLevel="0" collapsed="false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customFormat="false" ht="15.75" hidden="false" customHeight="true" outlineLevel="0" collapsed="false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customFormat="false" ht="15.75" hidden="false" customHeight="true" outlineLevel="0" collapsed="false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customFormat="false" ht="15.75" hidden="false" customHeight="true" outlineLevel="0" collapsed="false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customFormat="false" ht="15.75" hidden="false" customHeight="true" outlineLevel="0" collapsed="false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customFormat="false" ht="15.75" hidden="false" customHeight="true" outlineLevel="0" collapsed="false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customFormat="false" ht="15.75" hidden="false" customHeight="true" outlineLevel="0" collapsed="false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customFormat="false" ht="15.75" hidden="false" customHeight="true" outlineLevel="0" collapsed="false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customFormat="false" ht="15.75" hidden="false" customHeight="true" outlineLevel="0" collapsed="false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customFormat="false" ht="15.75" hidden="false" customHeight="true" outlineLevel="0" collapsed="false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customFormat="false" ht="15.75" hidden="false" customHeight="true" outlineLevel="0" collapsed="false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customFormat="false" ht="15.75" hidden="false" customHeight="true" outlineLevel="0" collapsed="false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customFormat="false" ht="15.75" hidden="false" customHeight="true" outlineLevel="0" collapsed="false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customFormat="false" ht="15.75" hidden="false" customHeight="true" outlineLevel="0" collapsed="false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customFormat="false" ht="15.75" hidden="false" customHeight="true" outlineLevel="0" collapsed="false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customFormat="false" ht="15.75" hidden="false" customHeight="true" outlineLevel="0" collapsed="false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customFormat="false" ht="15.75" hidden="false" customHeight="true" outlineLevel="0" collapsed="false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customFormat="false" ht="15.75" hidden="false" customHeight="true" outlineLevel="0" collapsed="false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customFormat="false" ht="15.75" hidden="false" customHeight="true" outlineLevel="0" collapsed="false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customFormat="false" ht="15.75" hidden="false" customHeight="true" outlineLevel="0" collapsed="false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customFormat="false" ht="15.75" hidden="false" customHeight="true" outlineLevel="0" collapsed="false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customFormat="false" ht="15.75" hidden="false" customHeight="true" outlineLevel="0" collapsed="false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customFormat="false" ht="15.75" hidden="false" customHeight="true" outlineLevel="0" collapsed="false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customFormat="false" ht="15.75" hidden="false" customHeight="true" outlineLevel="0" collapsed="false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customFormat="false" ht="15.75" hidden="false" customHeight="true" outlineLevel="0" collapsed="false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customFormat="false" ht="15.75" hidden="false" customHeight="true" outlineLevel="0" collapsed="false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customFormat="false" ht="15.75" hidden="false" customHeight="true" outlineLevel="0" collapsed="false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customFormat="false" ht="15.75" hidden="false" customHeight="true" outlineLevel="0" collapsed="false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customFormat="false" ht="15.75" hidden="false" customHeight="true" outlineLevel="0" collapsed="false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customFormat="false" ht="15.75" hidden="false" customHeight="true" outlineLevel="0" collapsed="false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customFormat="false" ht="15.75" hidden="false" customHeight="true" outlineLevel="0" collapsed="false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customFormat="false" ht="15.75" hidden="false" customHeight="true" outlineLevel="0" collapsed="false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customFormat="false" ht="15.75" hidden="false" customHeight="true" outlineLevel="0" collapsed="false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customFormat="false" ht="15.75" hidden="false" customHeight="true" outlineLevel="0" collapsed="false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customFormat="false" ht="15.75" hidden="false" customHeight="true" outlineLevel="0" collapsed="false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customFormat="false" ht="15.75" hidden="false" customHeight="true" outlineLevel="0" collapsed="false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customFormat="false" ht="15.75" hidden="false" customHeight="true" outlineLevel="0" collapsed="false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customFormat="false" ht="15.75" hidden="false" customHeight="true" outlineLevel="0" collapsed="false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customFormat="false" ht="15.75" hidden="false" customHeight="true" outlineLevel="0" collapsed="false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customFormat="false" ht="15.75" hidden="false" customHeight="true" outlineLevel="0" collapsed="false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customFormat="false" ht="15.75" hidden="false" customHeight="true" outlineLevel="0" collapsed="false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customFormat="false" ht="15.75" hidden="false" customHeight="true" outlineLevel="0" collapsed="false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customFormat="false" ht="15.75" hidden="false" customHeight="true" outlineLevel="0" collapsed="false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customFormat="false" ht="15.75" hidden="false" customHeight="true" outlineLevel="0" collapsed="false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customFormat="false" ht="15.75" hidden="false" customHeight="true" outlineLevel="0" collapsed="false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customFormat="false" ht="15.75" hidden="false" customHeight="true" outlineLevel="0" collapsed="false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customFormat="false" ht="15.75" hidden="false" customHeight="true" outlineLevel="0" collapsed="false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customFormat="false" ht="15.75" hidden="false" customHeight="true" outlineLevel="0" collapsed="false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customFormat="false" ht="15.75" hidden="false" customHeight="true" outlineLevel="0" collapsed="false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customFormat="false" ht="15.75" hidden="false" customHeight="true" outlineLevel="0" collapsed="false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customFormat="false" ht="15.75" hidden="false" customHeight="true" outlineLevel="0" collapsed="false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customFormat="false" ht="15.75" hidden="false" customHeight="true" outlineLevel="0" collapsed="false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customFormat="false" ht="15.75" hidden="false" customHeight="true" outlineLevel="0" collapsed="false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customFormat="false" ht="15.75" hidden="false" customHeight="true" outlineLevel="0" collapsed="false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customFormat="false" ht="15.75" hidden="false" customHeight="true" outlineLevel="0" collapsed="false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customFormat="false" ht="15.75" hidden="false" customHeight="true" outlineLevel="0" collapsed="false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customFormat="false" ht="15.75" hidden="false" customHeight="true" outlineLevel="0" collapsed="false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customFormat="false" ht="15.75" hidden="false" customHeight="true" outlineLevel="0" collapsed="false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customFormat="false" ht="15.75" hidden="false" customHeight="true" outlineLevel="0" collapsed="false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customFormat="false" ht="15.75" hidden="false" customHeight="true" outlineLevel="0" collapsed="false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customFormat="false" ht="15.75" hidden="false" customHeight="true" outlineLevel="0" collapsed="false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customFormat="false" ht="15.75" hidden="false" customHeight="true" outlineLevel="0" collapsed="false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customFormat="false" ht="15.75" hidden="false" customHeight="true" outlineLevel="0" collapsed="false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customFormat="false" ht="15.75" hidden="false" customHeight="true" outlineLevel="0" collapsed="false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customFormat="false" ht="15.75" hidden="false" customHeight="true" outlineLevel="0" collapsed="false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customFormat="false" ht="15.75" hidden="false" customHeight="true" outlineLevel="0" collapsed="false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customFormat="false" ht="15.75" hidden="false" customHeight="true" outlineLevel="0" collapsed="false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  <row r="204" customFormat="false" ht="15.75" hidden="false" customHeight="true" outlineLevel="0" collapsed="false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</row>
    <row r="205" customFormat="false" ht="15.75" hidden="false" customHeight="true" outlineLevel="0" collapsed="false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</row>
    <row r="206" customFormat="false" ht="15.75" hidden="false" customHeight="true" outlineLevel="0" collapsed="false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</row>
    <row r="207" customFormat="false" ht="15.75" hidden="false" customHeight="true" outlineLevel="0" collapsed="false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</row>
    <row r="208" customFormat="false" ht="15.75" hidden="false" customHeight="true" outlineLevel="0" collapsed="false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</row>
    <row r="209" customFormat="false" ht="15.75" hidden="false" customHeight="true" outlineLevel="0" collapsed="false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</row>
    <row r="210" customFormat="false" ht="15.75" hidden="false" customHeight="true" outlineLevel="0" collapsed="false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</row>
    <row r="211" customFormat="false" ht="15.75" hidden="false" customHeight="true" outlineLevel="0" collapsed="false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</row>
    <row r="212" customFormat="false" ht="15.75" hidden="false" customHeight="true" outlineLevel="0" collapsed="false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</row>
    <row r="213" customFormat="false" ht="15.75" hidden="false" customHeight="true" outlineLevel="0" collapsed="false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</row>
    <row r="214" customFormat="false" ht="15.75" hidden="false" customHeight="true" outlineLevel="0" collapsed="false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</row>
    <row r="215" customFormat="false" ht="15.75" hidden="false" customHeight="true" outlineLevel="0" collapsed="false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</row>
    <row r="216" customFormat="false" ht="15.75" hidden="false" customHeight="true" outlineLevel="0" collapsed="false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</row>
    <row r="217" customFormat="false" ht="15.75" hidden="false" customHeight="true" outlineLevel="0" collapsed="false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</row>
    <row r="218" customFormat="false" ht="15.75" hidden="false" customHeight="true" outlineLevel="0" collapsed="false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</row>
    <row r="219" customFormat="false" ht="15.75" hidden="false" customHeight="true" outlineLevel="0" collapsed="false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</row>
    <row r="220" customFormat="false" ht="15.75" hidden="false" customHeight="true" outlineLevel="0" collapsed="false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</row>
    <row r="221" customFormat="false" ht="15.75" hidden="false" customHeight="true" outlineLevel="0" collapsed="false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</row>
    <row r="222" customFormat="false" ht="15.75" hidden="false" customHeight="true" outlineLevel="0" collapsed="false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</row>
    <row r="223" customFormat="false" ht="15.75" hidden="false" customHeight="true" outlineLevel="0" collapsed="false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</row>
    <row r="224" customFormat="false" ht="15.75" hidden="false" customHeight="true" outlineLevel="0" collapsed="false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</row>
    <row r="225" customFormat="false" ht="15.75" hidden="false" customHeight="true" outlineLevel="0" collapsed="false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</row>
    <row r="226" customFormat="false" ht="15.75" hidden="false" customHeight="true" outlineLevel="0" collapsed="false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</row>
    <row r="227" customFormat="false" ht="15.75" hidden="false" customHeight="true" outlineLevel="0" collapsed="false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</row>
    <row r="228" customFormat="false" ht="15.75" hidden="false" customHeight="true" outlineLevel="0" collapsed="false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</row>
    <row r="229" customFormat="false" ht="15.75" hidden="false" customHeight="true" outlineLevel="0" collapsed="false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</row>
    <row r="230" customFormat="false" ht="15.75" hidden="false" customHeight="true" outlineLevel="0" collapsed="false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</row>
    <row r="231" customFormat="false" ht="15.75" hidden="false" customHeight="true" outlineLevel="0" collapsed="false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</row>
    <row r="232" customFormat="false" ht="15.75" hidden="false" customHeight="true" outlineLevel="0" collapsed="false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</row>
    <row r="233" customFormat="false" ht="15.75" hidden="false" customHeight="true" outlineLevel="0" collapsed="false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</row>
    <row r="234" customFormat="false" ht="15.75" hidden="false" customHeight="true" outlineLevel="0" collapsed="false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</row>
    <row r="235" customFormat="false" ht="15.75" hidden="false" customHeight="true" outlineLevel="0" collapsed="false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</row>
    <row r="236" customFormat="false" ht="15.75" hidden="false" customHeight="true" outlineLevel="0" collapsed="false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</row>
    <row r="237" customFormat="false" ht="15.75" hidden="false" customHeight="true" outlineLevel="0" collapsed="false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</row>
    <row r="238" customFormat="false" ht="15.75" hidden="false" customHeight="true" outlineLevel="0" collapsed="false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</row>
    <row r="239" customFormat="false" ht="15.75" hidden="false" customHeight="true" outlineLevel="0" collapsed="false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</row>
    <row r="240" customFormat="false" ht="15.75" hidden="false" customHeight="true" outlineLevel="0" collapsed="false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</row>
    <row r="241" customFormat="false" ht="15.75" hidden="false" customHeight="true" outlineLevel="0" collapsed="false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</row>
    <row r="242" customFormat="false" ht="15.75" hidden="false" customHeight="true" outlineLevel="0" collapsed="false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</row>
    <row r="243" customFormat="false" ht="15.75" hidden="false" customHeight="true" outlineLevel="0" collapsed="false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</row>
    <row r="244" customFormat="false" ht="15.75" hidden="false" customHeight="true" outlineLevel="0" collapsed="false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</row>
    <row r="245" customFormat="false" ht="15.75" hidden="false" customHeight="true" outlineLevel="0" collapsed="false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</row>
    <row r="246" customFormat="false" ht="15.75" hidden="false" customHeight="true" outlineLevel="0" collapsed="false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</row>
    <row r="247" customFormat="false" ht="15.75" hidden="false" customHeight="true" outlineLevel="0" collapsed="false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</row>
    <row r="248" customFormat="false" ht="15.75" hidden="false" customHeight="true" outlineLevel="0" collapsed="false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</row>
    <row r="249" customFormat="false" ht="15.75" hidden="false" customHeight="true" outlineLevel="0" collapsed="false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</row>
    <row r="250" customFormat="false" ht="15.75" hidden="false" customHeight="true" outlineLevel="0" collapsed="false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</row>
    <row r="251" customFormat="false" ht="15.75" hidden="false" customHeight="true" outlineLevel="0" collapsed="false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</row>
    <row r="252" customFormat="false" ht="15.75" hidden="false" customHeight="true" outlineLevel="0" collapsed="false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</row>
    <row r="253" customFormat="false" ht="15.75" hidden="false" customHeight="true" outlineLevel="0" collapsed="false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</row>
    <row r="254" customFormat="false" ht="15.75" hidden="false" customHeight="true" outlineLevel="0" collapsed="false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</row>
    <row r="255" customFormat="false" ht="15.75" hidden="false" customHeight="true" outlineLevel="0" collapsed="false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</row>
    <row r="256" customFormat="false" ht="15.75" hidden="false" customHeight="true" outlineLevel="0" collapsed="false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</row>
    <row r="257" customFormat="false" ht="15.75" hidden="false" customHeight="true" outlineLevel="0" collapsed="false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</row>
    <row r="258" customFormat="false" ht="15.75" hidden="false" customHeight="true" outlineLevel="0" collapsed="false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</row>
    <row r="259" customFormat="false" ht="15.75" hidden="false" customHeight="true" outlineLevel="0" collapsed="false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</row>
    <row r="260" customFormat="false" ht="15.75" hidden="false" customHeight="true" outlineLevel="0" collapsed="false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</row>
    <row r="261" customFormat="false" ht="15.75" hidden="false" customHeight="true" outlineLevel="0" collapsed="false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</row>
    <row r="262" customFormat="false" ht="15.75" hidden="false" customHeight="true" outlineLevel="0" collapsed="false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</row>
    <row r="263" customFormat="false" ht="15.75" hidden="false" customHeight="true" outlineLevel="0" collapsed="false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</row>
    <row r="264" customFormat="false" ht="15.75" hidden="false" customHeight="true" outlineLevel="0" collapsed="false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</row>
    <row r="265" customFormat="false" ht="15.75" hidden="false" customHeight="true" outlineLevel="0" collapsed="false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</row>
    <row r="266" customFormat="false" ht="15.75" hidden="false" customHeight="true" outlineLevel="0" collapsed="false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</row>
    <row r="267" customFormat="false" ht="15.75" hidden="false" customHeight="true" outlineLevel="0" collapsed="false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</row>
    <row r="268" customFormat="false" ht="15.75" hidden="false" customHeight="true" outlineLevel="0" collapsed="false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</row>
    <row r="269" customFormat="false" ht="15.75" hidden="false" customHeight="true" outlineLevel="0" collapsed="false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</row>
    <row r="270" customFormat="false" ht="15.75" hidden="false" customHeight="true" outlineLevel="0" collapsed="false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</row>
    <row r="271" customFormat="false" ht="15.75" hidden="false" customHeight="true" outlineLevel="0" collapsed="false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</row>
    <row r="272" customFormat="false" ht="15.75" hidden="false" customHeight="true" outlineLevel="0" collapsed="false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</row>
    <row r="273" customFormat="false" ht="15.75" hidden="false" customHeight="true" outlineLevel="0" collapsed="false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</row>
    <row r="274" customFormat="false" ht="15.75" hidden="false" customHeight="true" outlineLevel="0" collapsed="false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</row>
    <row r="275" customFormat="false" ht="15.75" hidden="false" customHeight="true" outlineLevel="0" collapsed="false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</row>
    <row r="276" customFormat="false" ht="15.75" hidden="false" customHeight="true" outlineLevel="0" collapsed="false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</row>
    <row r="277" customFormat="false" ht="15.75" hidden="false" customHeight="true" outlineLevel="0" collapsed="false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</row>
    <row r="278" customFormat="false" ht="15.75" hidden="false" customHeight="true" outlineLevel="0" collapsed="false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</row>
    <row r="279" customFormat="false" ht="15.75" hidden="false" customHeight="true" outlineLevel="0" collapsed="false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</row>
    <row r="280" customFormat="false" ht="15.75" hidden="false" customHeight="true" outlineLevel="0" collapsed="false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</row>
    <row r="281" customFormat="false" ht="15.75" hidden="false" customHeight="true" outlineLevel="0" collapsed="false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</row>
    <row r="282" customFormat="false" ht="15.75" hidden="false" customHeight="true" outlineLevel="0" collapsed="false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</row>
    <row r="283" customFormat="false" ht="15.75" hidden="false" customHeight="true" outlineLevel="0" collapsed="false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</row>
    <row r="284" customFormat="false" ht="15.75" hidden="false" customHeight="true" outlineLevel="0" collapsed="false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</row>
    <row r="285" customFormat="false" ht="15.75" hidden="false" customHeight="true" outlineLevel="0" collapsed="false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</row>
    <row r="286" customFormat="false" ht="15.75" hidden="false" customHeight="true" outlineLevel="0" collapsed="false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</row>
    <row r="287" customFormat="false" ht="15.75" hidden="false" customHeight="true" outlineLevel="0" collapsed="false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</row>
    <row r="288" customFormat="false" ht="15.75" hidden="false" customHeight="true" outlineLevel="0" collapsed="false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</row>
    <row r="289" customFormat="false" ht="15.75" hidden="false" customHeight="true" outlineLevel="0" collapsed="false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</row>
    <row r="290" customFormat="false" ht="15.75" hidden="false" customHeight="true" outlineLevel="0" collapsed="false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</row>
    <row r="291" customFormat="false" ht="15.75" hidden="false" customHeight="true" outlineLevel="0" collapsed="false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</row>
    <row r="292" customFormat="false" ht="15.75" hidden="false" customHeight="true" outlineLevel="0" collapsed="false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</row>
    <row r="293" customFormat="false" ht="15.75" hidden="false" customHeight="true" outlineLevel="0" collapsed="false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</row>
    <row r="294" customFormat="false" ht="15.75" hidden="false" customHeight="true" outlineLevel="0" collapsed="false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</row>
    <row r="295" customFormat="false" ht="15.75" hidden="false" customHeight="true" outlineLevel="0" collapsed="false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</row>
    <row r="296" customFormat="false" ht="15.75" hidden="false" customHeight="true" outlineLevel="0" collapsed="false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</row>
    <row r="297" customFormat="false" ht="15.75" hidden="false" customHeight="true" outlineLevel="0" collapsed="false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</row>
    <row r="298" customFormat="false" ht="15.75" hidden="false" customHeight="true" outlineLevel="0" collapsed="false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</row>
    <row r="299" customFormat="false" ht="15.75" hidden="false" customHeight="true" outlineLevel="0" collapsed="false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</row>
    <row r="300" customFormat="false" ht="15.75" hidden="false" customHeight="true" outlineLevel="0" collapsed="false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</row>
    <row r="301" customFormat="false" ht="15.75" hidden="false" customHeight="true" outlineLevel="0" collapsed="false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</row>
    <row r="302" customFormat="false" ht="15.75" hidden="false" customHeight="true" outlineLevel="0" collapsed="false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</row>
    <row r="303" customFormat="false" ht="15.75" hidden="false" customHeight="true" outlineLevel="0" collapsed="false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</row>
    <row r="304" customFormat="false" ht="15.75" hidden="false" customHeight="true" outlineLevel="0" collapsed="false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</row>
    <row r="305" customFormat="false" ht="15.75" hidden="false" customHeight="true" outlineLevel="0" collapsed="false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</row>
    <row r="306" customFormat="false" ht="15.75" hidden="false" customHeight="true" outlineLevel="0" collapsed="false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</row>
    <row r="307" customFormat="false" ht="15.75" hidden="false" customHeight="true" outlineLevel="0" collapsed="false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</row>
    <row r="308" customFormat="false" ht="15.75" hidden="false" customHeight="true" outlineLevel="0" collapsed="false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</row>
    <row r="309" customFormat="false" ht="15.75" hidden="false" customHeight="true" outlineLevel="0" collapsed="false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</row>
    <row r="310" customFormat="false" ht="15.75" hidden="false" customHeight="true" outlineLevel="0" collapsed="false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</row>
    <row r="311" customFormat="false" ht="15.75" hidden="false" customHeight="true" outlineLevel="0" collapsed="false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</row>
    <row r="312" customFormat="false" ht="15.75" hidden="false" customHeight="true" outlineLevel="0" collapsed="false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</row>
    <row r="313" customFormat="false" ht="15.75" hidden="false" customHeight="true" outlineLevel="0" collapsed="false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</row>
    <row r="314" customFormat="false" ht="15.75" hidden="false" customHeight="true" outlineLevel="0" collapsed="false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</row>
    <row r="315" customFormat="false" ht="15.75" hidden="false" customHeight="true" outlineLevel="0" collapsed="false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</row>
    <row r="316" customFormat="false" ht="15.75" hidden="false" customHeight="true" outlineLevel="0" collapsed="false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</row>
    <row r="317" customFormat="false" ht="15.75" hidden="false" customHeight="true" outlineLevel="0" collapsed="false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</row>
    <row r="318" customFormat="false" ht="15.75" hidden="false" customHeight="true" outlineLevel="0" collapsed="false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</row>
    <row r="319" customFormat="false" ht="15.75" hidden="false" customHeight="true" outlineLevel="0" collapsed="false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</row>
    <row r="320" customFormat="false" ht="15.75" hidden="false" customHeight="true" outlineLevel="0" collapsed="false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</row>
    <row r="321" customFormat="false" ht="15.75" hidden="false" customHeight="true" outlineLevel="0" collapsed="false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</row>
    <row r="322" customFormat="false" ht="15.75" hidden="false" customHeight="true" outlineLevel="0" collapsed="false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</row>
    <row r="323" customFormat="false" ht="15.75" hidden="false" customHeight="true" outlineLevel="0" collapsed="false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</row>
    <row r="324" customFormat="false" ht="15.75" hidden="false" customHeight="true" outlineLevel="0" collapsed="false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</row>
    <row r="325" customFormat="false" ht="15.75" hidden="false" customHeight="true" outlineLevel="0" collapsed="false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</row>
    <row r="326" customFormat="false" ht="15.75" hidden="false" customHeight="true" outlineLevel="0" collapsed="false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</row>
    <row r="327" customFormat="false" ht="15.75" hidden="false" customHeight="true" outlineLevel="0" collapsed="false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</row>
    <row r="328" customFormat="false" ht="15.75" hidden="false" customHeight="true" outlineLevel="0" collapsed="false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</row>
    <row r="329" customFormat="false" ht="15.75" hidden="false" customHeight="true" outlineLevel="0" collapsed="false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</row>
    <row r="330" customFormat="false" ht="15.75" hidden="false" customHeight="true" outlineLevel="0" collapsed="false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</row>
    <row r="331" customFormat="false" ht="15.75" hidden="false" customHeight="true" outlineLevel="0" collapsed="false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</row>
    <row r="332" customFormat="false" ht="15.75" hidden="false" customHeight="true" outlineLevel="0" collapsed="false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</row>
    <row r="333" customFormat="false" ht="15.75" hidden="false" customHeight="true" outlineLevel="0" collapsed="false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</row>
    <row r="334" customFormat="false" ht="15.75" hidden="false" customHeight="true" outlineLevel="0" collapsed="false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</row>
    <row r="335" customFormat="false" ht="15.75" hidden="false" customHeight="true" outlineLevel="0" collapsed="false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</row>
    <row r="336" customFormat="false" ht="15.75" hidden="false" customHeight="true" outlineLevel="0" collapsed="false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</row>
    <row r="337" customFormat="false" ht="15.75" hidden="false" customHeight="true" outlineLevel="0" collapsed="false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</row>
    <row r="338" customFormat="false" ht="15.75" hidden="false" customHeight="true" outlineLevel="0" collapsed="false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</row>
    <row r="339" customFormat="false" ht="15.75" hidden="false" customHeight="true" outlineLevel="0" collapsed="false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</row>
    <row r="340" customFormat="false" ht="15.75" hidden="false" customHeight="true" outlineLevel="0" collapsed="false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</row>
    <row r="341" customFormat="false" ht="15.75" hidden="false" customHeight="true" outlineLevel="0" collapsed="false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</row>
    <row r="342" customFormat="false" ht="15.75" hidden="false" customHeight="true" outlineLevel="0" collapsed="false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</row>
    <row r="343" customFormat="false" ht="15.75" hidden="false" customHeight="true" outlineLevel="0" collapsed="false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</row>
    <row r="344" customFormat="false" ht="15.75" hidden="false" customHeight="true" outlineLevel="0" collapsed="false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</row>
    <row r="345" customFormat="false" ht="15.75" hidden="false" customHeight="true" outlineLevel="0" collapsed="false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</row>
    <row r="346" customFormat="false" ht="15.75" hidden="false" customHeight="true" outlineLevel="0" collapsed="false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</row>
    <row r="347" customFormat="false" ht="15.75" hidden="false" customHeight="true" outlineLevel="0" collapsed="false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</row>
    <row r="348" customFormat="false" ht="15.75" hidden="false" customHeight="true" outlineLevel="0" collapsed="false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</row>
    <row r="349" customFormat="false" ht="15.75" hidden="false" customHeight="true" outlineLevel="0" collapsed="false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</row>
    <row r="350" customFormat="false" ht="15.75" hidden="false" customHeight="true" outlineLevel="0" collapsed="false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</row>
    <row r="351" customFormat="false" ht="15.75" hidden="false" customHeight="true" outlineLevel="0" collapsed="false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</row>
    <row r="352" customFormat="false" ht="15.75" hidden="false" customHeight="true" outlineLevel="0" collapsed="false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</row>
    <row r="353" customFormat="false" ht="15.75" hidden="false" customHeight="true" outlineLevel="0" collapsed="false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</row>
    <row r="354" customFormat="false" ht="15.75" hidden="false" customHeight="true" outlineLevel="0" collapsed="false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</row>
    <row r="355" customFormat="false" ht="15.75" hidden="false" customHeight="true" outlineLevel="0" collapsed="false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</row>
    <row r="356" customFormat="false" ht="15.75" hidden="false" customHeight="true" outlineLevel="0" collapsed="false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</row>
    <row r="357" customFormat="false" ht="15.75" hidden="false" customHeight="true" outlineLevel="0" collapsed="false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</row>
    <row r="358" customFormat="false" ht="15.75" hidden="false" customHeight="true" outlineLevel="0" collapsed="false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</row>
    <row r="359" customFormat="false" ht="15.75" hidden="false" customHeight="true" outlineLevel="0" collapsed="false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</row>
    <row r="360" customFormat="false" ht="15.75" hidden="false" customHeight="true" outlineLevel="0" collapsed="false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</row>
    <row r="361" customFormat="false" ht="15.75" hidden="false" customHeight="true" outlineLevel="0" collapsed="false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</row>
    <row r="362" customFormat="false" ht="15.75" hidden="false" customHeight="true" outlineLevel="0" collapsed="false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</row>
    <row r="363" customFormat="false" ht="15.75" hidden="false" customHeight="true" outlineLevel="0" collapsed="false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</row>
    <row r="364" customFormat="false" ht="15.75" hidden="false" customHeight="true" outlineLevel="0" collapsed="false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</row>
    <row r="365" customFormat="false" ht="15.75" hidden="false" customHeight="true" outlineLevel="0" collapsed="false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</row>
    <row r="366" customFormat="false" ht="15.75" hidden="false" customHeight="true" outlineLevel="0" collapsed="false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</row>
    <row r="367" customFormat="false" ht="15.75" hidden="false" customHeight="true" outlineLevel="0" collapsed="false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</row>
    <row r="368" customFormat="false" ht="15.75" hidden="false" customHeight="true" outlineLevel="0" collapsed="false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</row>
    <row r="369" customFormat="false" ht="15.75" hidden="false" customHeight="true" outlineLevel="0" collapsed="false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</row>
    <row r="370" customFormat="false" ht="15.75" hidden="false" customHeight="true" outlineLevel="0" collapsed="false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</row>
    <row r="371" customFormat="false" ht="15.75" hidden="false" customHeight="true" outlineLevel="0" collapsed="false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</row>
    <row r="372" customFormat="false" ht="15.75" hidden="false" customHeight="true" outlineLevel="0" collapsed="false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</row>
    <row r="373" customFormat="false" ht="15.75" hidden="false" customHeight="true" outlineLevel="0" collapsed="false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</row>
    <row r="374" customFormat="false" ht="15.75" hidden="false" customHeight="true" outlineLevel="0" collapsed="false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</row>
    <row r="375" customFormat="false" ht="15.75" hidden="false" customHeight="true" outlineLevel="0" collapsed="false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</row>
    <row r="376" customFormat="false" ht="15.75" hidden="false" customHeight="true" outlineLevel="0" collapsed="false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</row>
    <row r="377" customFormat="false" ht="15.75" hidden="false" customHeight="true" outlineLevel="0" collapsed="false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</row>
    <row r="378" customFormat="false" ht="15.75" hidden="false" customHeight="true" outlineLevel="0" collapsed="false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</row>
    <row r="379" customFormat="false" ht="15.75" hidden="false" customHeight="true" outlineLevel="0" collapsed="false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</row>
    <row r="380" customFormat="false" ht="15.75" hidden="false" customHeight="true" outlineLevel="0" collapsed="false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</row>
    <row r="381" customFormat="false" ht="15.75" hidden="false" customHeight="true" outlineLevel="0" collapsed="false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</row>
    <row r="382" customFormat="false" ht="15.75" hidden="false" customHeight="true" outlineLevel="0" collapsed="false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</row>
    <row r="383" customFormat="false" ht="15.75" hidden="false" customHeight="true" outlineLevel="0" collapsed="false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</row>
    <row r="384" customFormat="false" ht="15.75" hidden="false" customHeight="true" outlineLevel="0" collapsed="false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</row>
    <row r="385" customFormat="false" ht="15.75" hidden="false" customHeight="true" outlineLevel="0" collapsed="false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</row>
    <row r="386" customFormat="false" ht="15.75" hidden="false" customHeight="true" outlineLevel="0" collapsed="false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</row>
    <row r="387" customFormat="false" ht="15.75" hidden="false" customHeight="true" outlineLevel="0" collapsed="false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</row>
    <row r="388" customFormat="false" ht="15.75" hidden="false" customHeight="true" outlineLevel="0" collapsed="false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</row>
    <row r="389" customFormat="false" ht="15.75" hidden="false" customHeight="true" outlineLevel="0" collapsed="false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</row>
    <row r="390" customFormat="false" ht="15.75" hidden="false" customHeight="true" outlineLevel="0" collapsed="false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</row>
    <row r="391" customFormat="false" ht="15.75" hidden="false" customHeight="true" outlineLevel="0" collapsed="false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</row>
    <row r="392" customFormat="false" ht="15.75" hidden="false" customHeight="true" outlineLevel="0" collapsed="false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</row>
    <row r="393" customFormat="false" ht="15.75" hidden="false" customHeight="true" outlineLevel="0" collapsed="false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</row>
    <row r="394" customFormat="false" ht="15.75" hidden="false" customHeight="true" outlineLevel="0" collapsed="false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</row>
    <row r="395" customFormat="false" ht="15.75" hidden="false" customHeight="true" outlineLevel="0" collapsed="false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</row>
    <row r="396" customFormat="false" ht="15.75" hidden="false" customHeight="true" outlineLevel="0" collapsed="false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</row>
    <row r="397" customFormat="false" ht="15.75" hidden="false" customHeight="true" outlineLevel="0" collapsed="false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</row>
    <row r="398" customFormat="false" ht="15.75" hidden="false" customHeight="true" outlineLevel="0" collapsed="false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</row>
    <row r="399" customFormat="false" ht="15.75" hidden="false" customHeight="true" outlineLevel="0" collapsed="false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</row>
    <row r="400" customFormat="false" ht="15.75" hidden="false" customHeight="true" outlineLevel="0" collapsed="false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</row>
    <row r="401" customFormat="false" ht="15.75" hidden="false" customHeight="true" outlineLevel="0" collapsed="false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</row>
    <row r="402" customFormat="false" ht="15.75" hidden="false" customHeight="true" outlineLevel="0" collapsed="false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</row>
    <row r="403" customFormat="false" ht="15.75" hidden="false" customHeight="true" outlineLevel="0" collapsed="false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</row>
    <row r="404" customFormat="false" ht="15.75" hidden="false" customHeight="true" outlineLevel="0" collapsed="false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</row>
    <row r="405" customFormat="false" ht="15.75" hidden="false" customHeight="true" outlineLevel="0" collapsed="false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</row>
    <row r="406" customFormat="false" ht="15.75" hidden="false" customHeight="true" outlineLevel="0" collapsed="false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</row>
    <row r="407" customFormat="false" ht="15.75" hidden="false" customHeight="true" outlineLevel="0" collapsed="false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</row>
    <row r="408" customFormat="false" ht="15.75" hidden="false" customHeight="true" outlineLevel="0" collapsed="false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</row>
    <row r="409" customFormat="false" ht="15.75" hidden="false" customHeight="true" outlineLevel="0" collapsed="false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</row>
    <row r="410" customFormat="false" ht="15.75" hidden="false" customHeight="true" outlineLevel="0" collapsed="false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</row>
    <row r="411" customFormat="false" ht="15.75" hidden="false" customHeight="true" outlineLevel="0" collapsed="false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</row>
    <row r="412" customFormat="false" ht="15.75" hidden="false" customHeight="true" outlineLevel="0" collapsed="false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</row>
    <row r="413" customFormat="false" ht="15.75" hidden="false" customHeight="true" outlineLevel="0" collapsed="false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</row>
    <row r="414" customFormat="false" ht="15.75" hidden="false" customHeight="true" outlineLevel="0" collapsed="false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</row>
    <row r="415" customFormat="false" ht="15.75" hidden="false" customHeight="true" outlineLevel="0" collapsed="false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</row>
    <row r="416" customFormat="false" ht="15.75" hidden="false" customHeight="true" outlineLevel="0" collapsed="false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</row>
    <row r="417" customFormat="false" ht="15.75" hidden="false" customHeight="true" outlineLevel="0" collapsed="false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</row>
    <row r="418" customFormat="false" ht="15.75" hidden="false" customHeight="true" outlineLevel="0" collapsed="false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</row>
    <row r="419" customFormat="false" ht="15.75" hidden="false" customHeight="true" outlineLevel="0" collapsed="false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</row>
    <row r="420" customFormat="false" ht="15.75" hidden="false" customHeight="true" outlineLevel="0" collapsed="false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</row>
    <row r="421" customFormat="false" ht="15.75" hidden="false" customHeight="true" outlineLevel="0" collapsed="false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</row>
    <row r="422" customFormat="false" ht="15.75" hidden="false" customHeight="true" outlineLevel="0" collapsed="false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</row>
    <row r="423" customFormat="false" ht="15.75" hidden="false" customHeight="true" outlineLevel="0" collapsed="false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</row>
    <row r="424" customFormat="false" ht="15.75" hidden="false" customHeight="true" outlineLevel="0" collapsed="false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</row>
    <row r="425" customFormat="false" ht="15.75" hidden="false" customHeight="true" outlineLevel="0" collapsed="false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</row>
    <row r="426" customFormat="false" ht="15.75" hidden="false" customHeight="true" outlineLevel="0" collapsed="false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</row>
    <row r="427" customFormat="false" ht="15.75" hidden="false" customHeight="true" outlineLevel="0" collapsed="false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</row>
    <row r="428" customFormat="false" ht="15.75" hidden="false" customHeight="true" outlineLevel="0" collapsed="false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</row>
    <row r="429" customFormat="false" ht="15.75" hidden="false" customHeight="true" outlineLevel="0" collapsed="false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</row>
    <row r="430" customFormat="false" ht="15.75" hidden="false" customHeight="true" outlineLevel="0" collapsed="false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</row>
    <row r="431" customFormat="false" ht="15.75" hidden="false" customHeight="true" outlineLevel="0" collapsed="false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</row>
    <row r="432" customFormat="false" ht="15.75" hidden="false" customHeight="true" outlineLevel="0" collapsed="false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</row>
    <row r="433" customFormat="false" ht="15.75" hidden="false" customHeight="true" outlineLevel="0" collapsed="false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</row>
    <row r="434" customFormat="false" ht="15.75" hidden="false" customHeight="true" outlineLevel="0" collapsed="false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</row>
    <row r="435" customFormat="false" ht="15.75" hidden="false" customHeight="true" outlineLevel="0" collapsed="false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</row>
    <row r="436" customFormat="false" ht="15.75" hidden="false" customHeight="true" outlineLevel="0" collapsed="false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</row>
    <row r="437" customFormat="false" ht="15.75" hidden="false" customHeight="true" outlineLevel="0" collapsed="false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</row>
    <row r="438" customFormat="false" ht="15.75" hidden="false" customHeight="true" outlineLevel="0" collapsed="false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</row>
    <row r="439" customFormat="false" ht="15.75" hidden="false" customHeight="true" outlineLevel="0" collapsed="false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</row>
    <row r="440" customFormat="false" ht="15.75" hidden="false" customHeight="true" outlineLevel="0" collapsed="false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</row>
    <row r="441" customFormat="false" ht="15.75" hidden="false" customHeight="true" outlineLevel="0" collapsed="false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</row>
    <row r="442" customFormat="false" ht="15.75" hidden="false" customHeight="true" outlineLevel="0" collapsed="false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</row>
    <row r="443" customFormat="false" ht="15.75" hidden="false" customHeight="true" outlineLevel="0" collapsed="false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</row>
    <row r="444" customFormat="false" ht="15.75" hidden="false" customHeight="true" outlineLevel="0" collapsed="false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</row>
    <row r="445" customFormat="false" ht="15.75" hidden="false" customHeight="true" outlineLevel="0" collapsed="false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</row>
    <row r="446" customFormat="false" ht="15.75" hidden="false" customHeight="true" outlineLevel="0" collapsed="false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</row>
    <row r="447" customFormat="false" ht="15.75" hidden="false" customHeight="true" outlineLevel="0" collapsed="false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</row>
    <row r="448" customFormat="false" ht="15.75" hidden="false" customHeight="true" outlineLevel="0" collapsed="false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</row>
    <row r="449" customFormat="false" ht="15.75" hidden="false" customHeight="true" outlineLevel="0" collapsed="false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</row>
    <row r="450" customFormat="false" ht="15.75" hidden="false" customHeight="true" outlineLevel="0" collapsed="false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</row>
    <row r="451" customFormat="false" ht="15.75" hidden="false" customHeight="true" outlineLevel="0" collapsed="false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</row>
    <row r="452" customFormat="false" ht="15.75" hidden="false" customHeight="true" outlineLevel="0" collapsed="false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</row>
    <row r="453" customFormat="false" ht="15.75" hidden="false" customHeight="true" outlineLevel="0" collapsed="false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</row>
    <row r="454" customFormat="false" ht="15.75" hidden="false" customHeight="true" outlineLevel="0" collapsed="false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</row>
    <row r="455" customFormat="false" ht="15.75" hidden="false" customHeight="true" outlineLevel="0" collapsed="false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</row>
    <row r="456" customFormat="false" ht="15.75" hidden="false" customHeight="true" outlineLevel="0" collapsed="false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</row>
    <row r="457" customFormat="false" ht="15.75" hidden="false" customHeight="true" outlineLevel="0" collapsed="false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</row>
    <row r="458" customFormat="false" ht="15.75" hidden="false" customHeight="true" outlineLevel="0" collapsed="false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</row>
    <row r="459" customFormat="false" ht="15.75" hidden="false" customHeight="true" outlineLevel="0" collapsed="false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</row>
    <row r="460" customFormat="false" ht="15.75" hidden="false" customHeight="true" outlineLevel="0" collapsed="false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</row>
    <row r="461" customFormat="false" ht="15.75" hidden="false" customHeight="true" outlineLevel="0" collapsed="false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</row>
    <row r="462" customFormat="false" ht="15.75" hidden="false" customHeight="true" outlineLevel="0" collapsed="false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</row>
    <row r="463" customFormat="false" ht="15.75" hidden="false" customHeight="true" outlineLevel="0" collapsed="false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</row>
    <row r="464" customFormat="false" ht="15.75" hidden="false" customHeight="true" outlineLevel="0" collapsed="false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</row>
    <row r="465" customFormat="false" ht="15.75" hidden="false" customHeight="true" outlineLevel="0" collapsed="false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</row>
    <row r="466" customFormat="false" ht="15.75" hidden="false" customHeight="true" outlineLevel="0" collapsed="false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</row>
    <row r="467" customFormat="false" ht="15.75" hidden="false" customHeight="true" outlineLevel="0" collapsed="false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</row>
    <row r="468" customFormat="false" ht="15.75" hidden="false" customHeight="true" outlineLevel="0" collapsed="false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</row>
    <row r="469" customFormat="false" ht="15.75" hidden="false" customHeight="true" outlineLevel="0" collapsed="false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</row>
    <row r="470" customFormat="false" ht="15.75" hidden="false" customHeight="true" outlineLevel="0" collapsed="false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</row>
    <row r="471" customFormat="false" ht="15.75" hidden="false" customHeight="true" outlineLevel="0" collapsed="false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</row>
    <row r="472" customFormat="false" ht="15.75" hidden="false" customHeight="true" outlineLevel="0" collapsed="false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</row>
    <row r="473" customFormat="false" ht="15.75" hidden="false" customHeight="true" outlineLevel="0" collapsed="false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</row>
    <row r="474" customFormat="false" ht="15.75" hidden="false" customHeight="true" outlineLevel="0" collapsed="false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</row>
    <row r="475" customFormat="false" ht="15.75" hidden="false" customHeight="true" outlineLevel="0" collapsed="false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</row>
    <row r="476" customFormat="false" ht="15.75" hidden="false" customHeight="true" outlineLevel="0" collapsed="false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</row>
    <row r="477" customFormat="false" ht="15.75" hidden="false" customHeight="true" outlineLevel="0" collapsed="false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</row>
    <row r="478" customFormat="false" ht="15.75" hidden="false" customHeight="true" outlineLevel="0" collapsed="false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</row>
    <row r="479" customFormat="false" ht="15.75" hidden="false" customHeight="true" outlineLevel="0" collapsed="false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</row>
    <row r="480" customFormat="false" ht="15.75" hidden="false" customHeight="true" outlineLevel="0" collapsed="false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</row>
    <row r="481" customFormat="false" ht="15.75" hidden="false" customHeight="true" outlineLevel="0" collapsed="false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</row>
    <row r="482" customFormat="false" ht="15.75" hidden="false" customHeight="true" outlineLevel="0" collapsed="false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</row>
    <row r="483" customFormat="false" ht="15.75" hidden="false" customHeight="true" outlineLevel="0" collapsed="false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</row>
    <row r="484" customFormat="false" ht="15.75" hidden="false" customHeight="true" outlineLevel="0" collapsed="false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</row>
    <row r="485" customFormat="false" ht="15.75" hidden="false" customHeight="true" outlineLevel="0" collapsed="false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</row>
    <row r="486" customFormat="false" ht="15.75" hidden="false" customHeight="true" outlineLevel="0" collapsed="false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</row>
    <row r="487" customFormat="false" ht="15.75" hidden="false" customHeight="true" outlineLevel="0" collapsed="false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</row>
    <row r="488" customFormat="false" ht="15.75" hidden="false" customHeight="true" outlineLevel="0" collapsed="false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</row>
    <row r="489" customFormat="false" ht="15.75" hidden="false" customHeight="true" outlineLevel="0" collapsed="false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</row>
    <row r="490" customFormat="false" ht="15.75" hidden="false" customHeight="true" outlineLevel="0" collapsed="false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</row>
    <row r="491" customFormat="false" ht="15.75" hidden="false" customHeight="true" outlineLevel="0" collapsed="false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</row>
    <row r="492" customFormat="false" ht="15.75" hidden="false" customHeight="true" outlineLevel="0" collapsed="false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</row>
    <row r="493" customFormat="false" ht="15.75" hidden="false" customHeight="true" outlineLevel="0" collapsed="false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</row>
    <row r="494" customFormat="false" ht="15.75" hidden="false" customHeight="true" outlineLevel="0" collapsed="false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</row>
    <row r="495" customFormat="false" ht="15.75" hidden="false" customHeight="true" outlineLevel="0" collapsed="false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</row>
    <row r="496" customFormat="false" ht="15.75" hidden="false" customHeight="true" outlineLevel="0" collapsed="false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</row>
    <row r="497" customFormat="false" ht="15.75" hidden="false" customHeight="true" outlineLevel="0" collapsed="false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</row>
    <row r="498" customFormat="false" ht="15.75" hidden="false" customHeight="true" outlineLevel="0" collapsed="false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</row>
    <row r="499" customFormat="false" ht="15.75" hidden="false" customHeight="true" outlineLevel="0" collapsed="false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</row>
    <row r="500" customFormat="false" ht="15.75" hidden="false" customHeight="true" outlineLevel="0" collapsed="false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</row>
    <row r="501" customFormat="false" ht="15.75" hidden="false" customHeight="true" outlineLevel="0" collapsed="false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</row>
    <row r="502" customFormat="false" ht="15.75" hidden="false" customHeight="true" outlineLevel="0" collapsed="false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</row>
    <row r="503" customFormat="false" ht="15.75" hidden="false" customHeight="true" outlineLevel="0" collapsed="false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</row>
    <row r="504" customFormat="false" ht="15.75" hidden="false" customHeight="true" outlineLevel="0" collapsed="false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</row>
    <row r="505" customFormat="false" ht="15.75" hidden="false" customHeight="true" outlineLevel="0" collapsed="false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</row>
    <row r="506" customFormat="false" ht="15.75" hidden="false" customHeight="true" outlineLevel="0" collapsed="false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</row>
    <row r="507" customFormat="false" ht="15.75" hidden="false" customHeight="true" outlineLevel="0" collapsed="false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</row>
    <row r="508" customFormat="false" ht="15.75" hidden="false" customHeight="true" outlineLevel="0" collapsed="false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</row>
    <row r="509" customFormat="false" ht="15.75" hidden="false" customHeight="true" outlineLevel="0" collapsed="false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</row>
    <row r="510" customFormat="false" ht="15.75" hidden="false" customHeight="true" outlineLevel="0" collapsed="false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</row>
    <row r="511" customFormat="false" ht="15.75" hidden="false" customHeight="true" outlineLevel="0" collapsed="false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</row>
    <row r="512" customFormat="false" ht="15.75" hidden="false" customHeight="true" outlineLevel="0" collapsed="false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</row>
    <row r="513" customFormat="false" ht="15.75" hidden="false" customHeight="true" outlineLevel="0" collapsed="false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</row>
    <row r="514" customFormat="false" ht="15.75" hidden="false" customHeight="true" outlineLevel="0" collapsed="false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</row>
    <row r="515" customFormat="false" ht="15.75" hidden="false" customHeight="true" outlineLevel="0" collapsed="false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</row>
    <row r="516" customFormat="false" ht="15.75" hidden="false" customHeight="true" outlineLevel="0" collapsed="false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</row>
    <row r="517" customFormat="false" ht="15.75" hidden="false" customHeight="true" outlineLevel="0" collapsed="false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</row>
    <row r="518" customFormat="false" ht="15.75" hidden="false" customHeight="true" outlineLevel="0" collapsed="false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</row>
    <row r="519" customFormat="false" ht="15.75" hidden="false" customHeight="true" outlineLevel="0" collapsed="false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</row>
    <row r="520" customFormat="false" ht="15.75" hidden="false" customHeight="true" outlineLevel="0" collapsed="false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</row>
    <row r="521" customFormat="false" ht="15.75" hidden="false" customHeight="true" outlineLevel="0" collapsed="false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</row>
    <row r="522" customFormat="false" ht="15.75" hidden="false" customHeight="true" outlineLevel="0" collapsed="false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</row>
    <row r="523" customFormat="false" ht="15.75" hidden="false" customHeight="true" outlineLevel="0" collapsed="false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</row>
    <row r="524" customFormat="false" ht="15.75" hidden="false" customHeight="true" outlineLevel="0" collapsed="false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</row>
    <row r="525" customFormat="false" ht="15.75" hidden="false" customHeight="true" outlineLevel="0" collapsed="false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</row>
    <row r="526" customFormat="false" ht="15.75" hidden="false" customHeight="true" outlineLevel="0" collapsed="false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</row>
    <row r="527" customFormat="false" ht="15.75" hidden="false" customHeight="true" outlineLevel="0" collapsed="false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</row>
    <row r="528" customFormat="false" ht="15.75" hidden="false" customHeight="true" outlineLevel="0" collapsed="false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</row>
    <row r="529" customFormat="false" ht="15.75" hidden="false" customHeight="true" outlineLevel="0" collapsed="false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</row>
    <row r="530" customFormat="false" ht="15.75" hidden="false" customHeight="true" outlineLevel="0" collapsed="false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</row>
    <row r="531" customFormat="false" ht="15.75" hidden="false" customHeight="true" outlineLevel="0" collapsed="false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</row>
    <row r="532" customFormat="false" ht="15.75" hidden="false" customHeight="true" outlineLevel="0" collapsed="false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</row>
    <row r="533" customFormat="false" ht="15.75" hidden="false" customHeight="true" outlineLevel="0" collapsed="false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</row>
    <row r="534" customFormat="false" ht="15.75" hidden="false" customHeight="true" outlineLevel="0" collapsed="false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</row>
    <row r="535" customFormat="false" ht="15.75" hidden="false" customHeight="true" outlineLevel="0" collapsed="false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</row>
    <row r="536" customFormat="false" ht="15.75" hidden="false" customHeight="true" outlineLevel="0" collapsed="false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</row>
    <row r="537" customFormat="false" ht="15.75" hidden="false" customHeight="true" outlineLevel="0" collapsed="false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</row>
    <row r="538" customFormat="false" ht="15.75" hidden="false" customHeight="true" outlineLevel="0" collapsed="false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</row>
    <row r="539" customFormat="false" ht="15.75" hidden="false" customHeight="true" outlineLevel="0" collapsed="false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</row>
    <row r="540" customFormat="false" ht="15.75" hidden="false" customHeight="true" outlineLevel="0" collapsed="false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</row>
    <row r="541" customFormat="false" ht="15.75" hidden="false" customHeight="true" outlineLevel="0" collapsed="false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</row>
    <row r="542" customFormat="false" ht="15.75" hidden="false" customHeight="true" outlineLevel="0" collapsed="false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</row>
    <row r="543" customFormat="false" ht="15.75" hidden="false" customHeight="true" outlineLevel="0" collapsed="false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</row>
    <row r="544" customFormat="false" ht="15.75" hidden="false" customHeight="true" outlineLevel="0" collapsed="false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</row>
    <row r="545" customFormat="false" ht="15.75" hidden="false" customHeight="true" outlineLevel="0" collapsed="false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</row>
    <row r="546" customFormat="false" ht="15.75" hidden="false" customHeight="true" outlineLevel="0" collapsed="false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</row>
    <row r="547" customFormat="false" ht="15.75" hidden="false" customHeight="true" outlineLevel="0" collapsed="false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</row>
    <row r="548" customFormat="false" ht="15.75" hidden="false" customHeight="true" outlineLevel="0" collapsed="false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</row>
    <row r="549" customFormat="false" ht="15.75" hidden="false" customHeight="true" outlineLevel="0" collapsed="false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</row>
    <row r="550" customFormat="false" ht="15.75" hidden="false" customHeight="true" outlineLevel="0" collapsed="false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</row>
    <row r="551" customFormat="false" ht="15.75" hidden="false" customHeight="true" outlineLevel="0" collapsed="false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</row>
    <row r="552" customFormat="false" ht="15.75" hidden="false" customHeight="true" outlineLevel="0" collapsed="false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</row>
    <row r="553" customFormat="false" ht="15.75" hidden="false" customHeight="true" outlineLevel="0" collapsed="false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</row>
    <row r="554" customFormat="false" ht="15.75" hidden="false" customHeight="true" outlineLevel="0" collapsed="false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</row>
    <row r="555" customFormat="false" ht="15.75" hidden="false" customHeight="true" outlineLevel="0" collapsed="false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</row>
    <row r="556" customFormat="false" ht="15.75" hidden="false" customHeight="true" outlineLevel="0" collapsed="false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</row>
    <row r="557" customFormat="false" ht="15.75" hidden="false" customHeight="true" outlineLevel="0" collapsed="false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</row>
    <row r="558" customFormat="false" ht="15.75" hidden="false" customHeight="true" outlineLevel="0" collapsed="false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</row>
    <row r="559" customFormat="false" ht="15.75" hidden="false" customHeight="true" outlineLevel="0" collapsed="false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</row>
    <row r="560" customFormat="false" ht="15.75" hidden="false" customHeight="true" outlineLevel="0" collapsed="false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</row>
    <row r="561" customFormat="false" ht="15.75" hidden="false" customHeight="true" outlineLevel="0" collapsed="false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</row>
    <row r="562" customFormat="false" ht="15.75" hidden="false" customHeight="true" outlineLevel="0" collapsed="false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</row>
    <row r="563" customFormat="false" ht="15.75" hidden="false" customHeight="true" outlineLevel="0" collapsed="false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</row>
    <row r="564" customFormat="false" ht="15.75" hidden="false" customHeight="true" outlineLevel="0" collapsed="false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</row>
    <row r="565" customFormat="false" ht="15.75" hidden="false" customHeight="true" outlineLevel="0" collapsed="false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</row>
    <row r="566" customFormat="false" ht="15.75" hidden="false" customHeight="true" outlineLevel="0" collapsed="false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</row>
    <row r="567" customFormat="false" ht="15.75" hidden="false" customHeight="true" outlineLevel="0" collapsed="false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</row>
    <row r="568" customFormat="false" ht="15.75" hidden="false" customHeight="true" outlineLevel="0" collapsed="false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</row>
    <row r="569" customFormat="false" ht="15.75" hidden="false" customHeight="true" outlineLevel="0" collapsed="false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</row>
    <row r="570" customFormat="false" ht="15.75" hidden="false" customHeight="true" outlineLevel="0" collapsed="false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</row>
    <row r="571" customFormat="false" ht="15.75" hidden="false" customHeight="true" outlineLevel="0" collapsed="false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</row>
    <row r="572" customFormat="false" ht="15.75" hidden="false" customHeight="true" outlineLevel="0" collapsed="false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</row>
    <row r="573" customFormat="false" ht="15.75" hidden="false" customHeight="true" outlineLevel="0" collapsed="false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</row>
    <row r="574" customFormat="false" ht="15.75" hidden="false" customHeight="true" outlineLevel="0" collapsed="false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</row>
    <row r="575" customFormat="false" ht="15.75" hidden="false" customHeight="true" outlineLevel="0" collapsed="false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</row>
    <row r="576" customFormat="false" ht="15.75" hidden="false" customHeight="true" outlineLevel="0" collapsed="false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</row>
    <row r="577" customFormat="false" ht="15.75" hidden="false" customHeight="true" outlineLevel="0" collapsed="false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</row>
    <row r="578" customFormat="false" ht="15.75" hidden="false" customHeight="true" outlineLevel="0" collapsed="false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</row>
    <row r="579" customFormat="false" ht="15.75" hidden="false" customHeight="true" outlineLevel="0" collapsed="false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</row>
    <row r="580" customFormat="false" ht="15.75" hidden="false" customHeight="true" outlineLevel="0" collapsed="false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</row>
    <row r="581" customFormat="false" ht="15.75" hidden="false" customHeight="true" outlineLevel="0" collapsed="false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</row>
    <row r="582" customFormat="false" ht="15.75" hidden="false" customHeight="true" outlineLevel="0" collapsed="false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</row>
    <row r="583" customFormat="false" ht="15.75" hidden="false" customHeight="true" outlineLevel="0" collapsed="false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</row>
    <row r="584" customFormat="false" ht="15.75" hidden="false" customHeight="true" outlineLevel="0" collapsed="false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</row>
    <row r="585" customFormat="false" ht="15.75" hidden="false" customHeight="true" outlineLevel="0" collapsed="false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</row>
    <row r="586" customFormat="false" ht="15.75" hidden="false" customHeight="true" outlineLevel="0" collapsed="false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</row>
    <row r="587" customFormat="false" ht="15.75" hidden="false" customHeight="true" outlineLevel="0" collapsed="false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</row>
    <row r="588" customFormat="false" ht="15.75" hidden="false" customHeight="true" outlineLevel="0" collapsed="false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</row>
    <row r="589" customFormat="false" ht="15.75" hidden="false" customHeight="true" outlineLevel="0" collapsed="false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</row>
    <row r="590" customFormat="false" ht="15.75" hidden="false" customHeight="true" outlineLevel="0" collapsed="false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</row>
    <row r="591" customFormat="false" ht="15.75" hidden="false" customHeight="true" outlineLevel="0" collapsed="false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</row>
    <row r="592" customFormat="false" ht="15.75" hidden="false" customHeight="true" outlineLevel="0" collapsed="false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</row>
    <row r="593" customFormat="false" ht="15.75" hidden="false" customHeight="true" outlineLevel="0" collapsed="false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</row>
    <row r="594" customFormat="false" ht="15.75" hidden="false" customHeight="true" outlineLevel="0" collapsed="false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</row>
    <row r="595" customFormat="false" ht="15.75" hidden="false" customHeight="true" outlineLevel="0" collapsed="false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</row>
    <row r="596" customFormat="false" ht="15.75" hidden="false" customHeight="true" outlineLevel="0" collapsed="false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</row>
    <row r="597" customFormat="false" ht="15.75" hidden="false" customHeight="true" outlineLevel="0" collapsed="false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</row>
    <row r="598" customFormat="false" ht="15.75" hidden="false" customHeight="true" outlineLevel="0" collapsed="false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</row>
    <row r="599" customFormat="false" ht="15.75" hidden="false" customHeight="true" outlineLevel="0" collapsed="false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</row>
    <row r="600" customFormat="false" ht="15.75" hidden="false" customHeight="true" outlineLevel="0" collapsed="false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</row>
    <row r="601" customFormat="false" ht="15.75" hidden="false" customHeight="true" outlineLevel="0" collapsed="false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</row>
    <row r="602" customFormat="false" ht="15.75" hidden="false" customHeight="true" outlineLevel="0" collapsed="false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</row>
    <row r="603" customFormat="false" ht="15.75" hidden="false" customHeight="true" outlineLevel="0" collapsed="false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</row>
    <row r="604" customFormat="false" ht="15.75" hidden="false" customHeight="true" outlineLevel="0" collapsed="false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</row>
    <row r="605" customFormat="false" ht="15.75" hidden="false" customHeight="true" outlineLevel="0" collapsed="false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</row>
    <row r="606" customFormat="false" ht="15.75" hidden="false" customHeight="true" outlineLevel="0" collapsed="false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</row>
    <row r="607" customFormat="false" ht="15.75" hidden="false" customHeight="true" outlineLevel="0" collapsed="false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</row>
    <row r="608" customFormat="false" ht="15.75" hidden="false" customHeight="true" outlineLevel="0" collapsed="false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</row>
    <row r="609" customFormat="false" ht="15.75" hidden="false" customHeight="true" outlineLevel="0" collapsed="false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</row>
    <row r="610" customFormat="false" ht="15.75" hidden="false" customHeight="true" outlineLevel="0" collapsed="false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</row>
    <row r="611" customFormat="false" ht="15.75" hidden="false" customHeight="true" outlineLevel="0" collapsed="false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</row>
    <row r="612" customFormat="false" ht="15.75" hidden="false" customHeight="true" outlineLevel="0" collapsed="false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</row>
    <row r="613" customFormat="false" ht="15.75" hidden="false" customHeight="true" outlineLevel="0" collapsed="false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</row>
    <row r="614" customFormat="false" ht="15.75" hidden="false" customHeight="true" outlineLevel="0" collapsed="false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</row>
    <row r="615" customFormat="false" ht="15.75" hidden="false" customHeight="true" outlineLevel="0" collapsed="false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</row>
    <row r="616" customFormat="false" ht="15.75" hidden="false" customHeight="true" outlineLevel="0" collapsed="false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</row>
    <row r="617" customFormat="false" ht="15.75" hidden="false" customHeight="true" outlineLevel="0" collapsed="false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</row>
    <row r="618" customFormat="false" ht="15.75" hidden="false" customHeight="true" outlineLevel="0" collapsed="false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</row>
    <row r="619" customFormat="false" ht="15.75" hidden="false" customHeight="true" outlineLevel="0" collapsed="false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</row>
    <row r="620" customFormat="false" ht="15.75" hidden="false" customHeight="true" outlineLevel="0" collapsed="false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</row>
    <row r="621" customFormat="false" ht="15.75" hidden="false" customHeight="true" outlineLevel="0" collapsed="false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</row>
    <row r="622" customFormat="false" ht="15.75" hidden="false" customHeight="true" outlineLevel="0" collapsed="false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</row>
    <row r="623" customFormat="false" ht="15.75" hidden="false" customHeight="true" outlineLevel="0" collapsed="false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</row>
    <row r="624" customFormat="false" ht="15.75" hidden="false" customHeight="true" outlineLevel="0" collapsed="false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</row>
    <row r="625" customFormat="false" ht="15.75" hidden="false" customHeight="true" outlineLevel="0" collapsed="false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</row>
    <row r="626" customFormat="false" ht="15.75" hidden="false" customHeight="true" outlineLevel="0" collapsed="false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</row>
    <row r="627" customFormat="false" ht="15.75" hidden="false" customHeight="true" outlineLevel="0" collapsed="false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</row>
    <row r="628" customFormat="false" ht="15.75" hidden="false" customHeight="true" outlineLevel="0" collapsed="false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</row>
    <row r="629" customFormat="false" ht="15.75" hidden="false" customHeight="true" outlineLevel="0" collapsed="false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</row>
    <row r="630" customFormat="false" ht="15.75" hidden="false" customHeight="true" outlineLevel="0" collapsed="false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</row>
    <row r="631" customFormat="false" ht="15.75" hidden="false" customHeight="true" outlineLevel="0" collapsed="false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</row>
    <row r="632" customFormat="false" ht="15.75" hidden="false" customHeight="true" outlineLevel="0" collapsed="false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</row>
    <row r="633" customFormat="false" ht="15.75" hidden="false" customHeight="true" outlineLevel="0" collapsed="false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</row>
    <row r="634" customFormat="false" ht="15.75" hidden="false" customHeight="true" outlineLevel="0" collapsed="false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</row>
    <row r="635" customFormat="false" ht="15.75" hidden="false" customHeight="true" outlineLevel="0" collapsed="false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</row>
    <row r="636" customFormat="false" ht="15.75" hidden="false" customHeight="true" outlineLevel="0" collapsed="false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</row>
    <row r="637" customFormat="false" ht="15.75" hidden="false" customHeight="true" outlineLevel="0" collapsed="false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</row>
    <row r="638" customFormat="false" ht="15.75" hidden="false" customHeight="true" outlineLevel="0" collapsed="false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</row>
    <row r="639" customFormat="false" ht="15.75" hidden="false" customHeight="true" outlineLevel="0" collapsed="false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</row>
    <row r="640" customFormat="false" ht="15.75" hidden="false" customHeight="true" outlineLevel="0" collapsed="false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</row>
    <row r="641" customFormat="false" ht="15.75" hidden="false" customHeight="true" outlineLevel="0" collapsed="false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</row>
    <row r="642" customFormat="false" ht="15.75" hidden="false" customHeight="true" outlineLevel="0" collapsed="false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</row>
    <row r="643" customFormat="false" ht="15.75" hidden="false" customHeight="true" outlineLevel="0" collapsed="false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</row>
    <row r="644" customFormat="false" ht="15.75" hidden="false" customHeight="true" outlineLevel="0" collapsed="false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</row>
    <row r="645" customFormat="false" ht="15.75" hidden="false" customHeight="true" outlineLevel="0" collapsed="false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</row>
    <row r="646" customFormat="false" ht="15.75" hidden="false" customHeight="true" outlineLevel="0" collapsed="false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</row>
    <row r="647" customFormat="false" ht="15.75" hidden="false" customHeight="true" outlineLevel="0" collapsed="false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</row>
    <row r="648" customFormat="false" ht="15.75" hidden="false" customHeight="true" outlineLevel="0" collapsed="false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</row>
    <row r="649" customFormat="false" ht="15.75" hidden="false" customHeight="true" outlineLevel="0" collapsed="false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</row>
    <row r="650" customFormat="false" ht="15.75" hidden="false" customHeight="true" outlineLevel="0" collapsed="false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</row>
    <row r="651" customFormat="false" ht="15.75" hidden="false" customHeight="true" outlineLevel="0" collapsed="false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</row>
    <row r="652" customFormat="false" ht="15.75" hidden="false" customHeight="true" outlineLevel="0" collapsed="false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</row>
    <row r="653" customFormat="false" ht="15.75" hidden="false" customHeight="true" outlineLevel="0" collapsed="false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</row>
    <row r="654" customFormat="false" ht="15.75" hidden="false" customHeight="true" outlineLevel="0" collapsed="false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</row>
    <row r="655" customFormat="false" ht="15.75" hidden="false" customHeight="true" outlineLevel="0" collapsed="false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</row>
    <row r="656" customFormat="false" ht="15.75" hidden="false" customHeight="true" outlineLevel="0" collapsed="false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</row>
    <row r="657" customFormat="false" ht="15.75" hidden="false" customHeight="true" outlineLevel="0" collapsed="false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</row>
    <row r="658" customFormat="false" ht="15.75" hidden="false" customHeight="true" outlineLevel="0" collapsed="false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</row>
    <row r="659" customFormat="false" ht="15.75" hidden="false" customHeight="true" outlineLevel="0" collapsed="false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</row>
    <row r="660" customFormat="false" ht="15.75" hidden="false" customHeight="true" outlineLevel="0" collapsed="false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</row>
    <row r="661" customFormat="false" ht="15.75" hidden="false" customHeight="true" outlineLevel="0" collapsed="false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</row>
    <row r="662" customFormat="false" ht="15.75" hidden="false" customHeight="true" outlineLevel="0" collapsed="false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</row>
    <row r="663" customFormat="false" ht="15.75" hidden="false" customHeight="true" outlineLevel="0" collapsed="false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</row>
    <row r="664" customFormat="false" ht="15.75" hidden="false" customHeight="true" outlineLevel="0" collapsed="false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</row>
    <row r="665" customFormat="false" ht="15.75" hidden="false" customHeight="true" outlineLevel="0" collapsed="false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</row>
    <row r="666" customFormat="false" ht="15.75" hidden="false" customHeight="true" outlineLevel="0" collapsed="false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</row>
    <row r="667" customFormat="false" ht="15.75" hidden="false" customHeight="true" outlineLevel="0" collapsed="false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</row>
    <row r="668" customFormat="false" ht="15.75" hidden="false" customHeight="true" outlineLevel="0" collapsed="false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</row>
    <row r="669" customFormat="false" ht="15.75" hidden="false" customHeight="true" outlineLevel="0" collapsed="false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</row>
    <row r="670" customFormat="false" ht="15.75" hidden="false" customHeight="true" outlineLevel="0" collapsed="false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</row>
    <row r="671" customFormat="false" ht="15.75" hidden="false" customHeight="true" outlineLevel="0" collapsed="false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</row>
    <row r="672" customFormat="false" ht="15.75" hidden="false" customHeight="true" outlineLevel="0" collapsed="false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</row>
    <row r="673" customFormat="false" ht="15.75" hidden="false" customHeight="true" outlineLevel="0" collapsed="false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</row>
    <row r="674" customFormat="false" ht="15.75" hidden="false" customHeight="true" outlineLevel="0" collapsed="false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</row>
    <row r="675" customFormat="false" ht="15.75" hidden="false" customHeight="true" outlineLevel="0" collapsed="false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</row>
    <row r="676" customFormat="false" ht="15.75" hidden="false" customHeight="true" outlineLevel="0" collapsed="false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</row>
    <row r="677" customFormat="false" ht="15.75" hidden="false" customHeight="true" outlineLevel="0" collapsed="false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</row>
    <row r="678" customFormat="false" ht="15.75" hidden="false" customHeight="true" outlineLevel="0" collapsed="false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</row>
    <row r="679" customFormat="false" ht="15.75" hidden="false" customHeight="true" outlineLevel="0" collapsed="false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</row>
    <row r="680" customFormat="false" ht="15.75" hidden="false" customHeight="true" outlineLevel="0" collapsed="false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</row>
    <row r="681" customFormat="false" ht="15.75" hidden="false" customHeight="true" outlineLevel="0" collapsed="false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</row>
    <row r="682" customFormat="false" ht="15.75" hidden="false" customHeight="true" outlineLevel="0" collapsed="false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</row>
    <row r="683" customFormat="false" ht="15.75" hidden="false" customHeight="true" outlineLevel="0" collapsed="false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</row>
    <row r="684" customFormat="false" ht="15.75" hidden="false" customHeight="true" outlineLevel="0" collapsed="false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</row>
    <row r="685" customFormat="false" ht="15.75" hidden="false" customHeight="true" outlineLevel="0" collapsed="false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</row>
    <row r="686" customFormat="false" ht="15.75" hidden="false" customHeight="true" outlineLevel="0" collapsed="false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</row>
    <row r="687" customFormat="false" ht="15.75" hidden="false" customHeight="true" outlineLevel="0" collapsed="false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</row>
    <row r="688" customFormat="false" ht="15.75" hidden="false" customHeight="true" outlineLevel="0" collapsed="false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</row>
    <row r="689" customFormat="false" ht="15.75" hidden="false" customHeight="true" outlineLevel="0" collapsed="false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</row>
    <row r="690" customFormat="false" ht="15.75" hidden="false" customHeight="true" outlineLevel="0" collapsed="false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</row>
    <row r="691" customFormat="false" ht="15.75" hidden="false" customHeight="true" outlineLevel="0" collapsed="false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</row>
    <row r="692" customFormat="false" ht="15.75" hidden="false" customHeight="true" outlineLevel="0" collapsed="false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</row>
    <row r="693" customFormat="false" ht="15.75" hidden="false" customHeight="true" outlineLevel="0" collapsed="false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</row>
    <row r="694" customFormat="false" ht="15.75" hidden="false" customHeight="true" outlineLevel="0" collapsed="false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</row>
    <row r="695" customFormat="false" ht="15.75" hidden="false" customHeight="true" outlineLevel="0" collapsed="false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</row>
    <row r="696" customFormat="false" ht="15.75" hidden="false" customHeight="true" outlineLevel="0" collapsed="false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</row>
    <row r="697" customFormat="false" ht="15.75" hidden="false" customHeight="true" outlineLevel="0" collapsed="false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</row>
    <row r="698" customFormat="false" ht="15.75" hidden="false" customHeight="true" outlineLevel="0" collapsed="false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</row>
    <row r="699" customFormat="false" ht="15.75" hidden="false" customHeight="true" outlineLevel="0" collapsed="false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</row>
    <row r="700" customFormat="false" ht="15.75" hidden="false" customHeight="true" outlineLevel="0" collapsed="false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</row>
    <row r="701" customFormat="false" ht="15.75" hidden="false" customHeight="true" outlineLevel="0" collapsed="false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</row>
    <row r="702" customFormat="false" ht="15.75" hidden="false" customHeight="true" outlineLevel="0" collapsed="false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</row>
    <row r="703" customFormat="false" ht="15.75" hidden="false" customHeight="true" outlineLevel="0" collapsed="false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</row>
    <row r="704" customFormat="false" ht="15.75" hidden="false" customHeight="true" outlineLevel="0" collapsed="false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</row>
    <row r="705" customFormat="false" ht="15.75" hidden="false" customHeight="true" outlineLevel="0" collapsed="false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</row>
    <row r="706" customFormat="false" ht="15.75" hidden="false" customHeight="true" outlineLevel="0" collapsed="false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</row>
    <row r="707" customFormat="false" ht="15.75" hidden="false" customHeight="true" outlineLevel="0" collapsed="false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</row>
    <row r="708" customFormat="false" ht="15.75" hidden="false" customHeight="true" outlineLevel="0" collapsed="false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</row>
    <row r="709" customFormat="false" ht="15.75" hidden="false" customHeight="true" outlineLevel="0" collapsed="false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</row>
    <row r="710" customFormat="false" ht="15.75" hidden="false" customHeight="true" outlineLevel="0" collapsed="false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</row>
    <row r="711" customFormat="false" ht="15.75" hidden="false" customHeight="true" outlineLevel="0" collapsed="false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</row>
    <row r="712" customFormat="false" ht="15.75" hidden="false" customHeight="true" outlineLevel="0" collapsed="false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</row>
    <row r="713" customFormat="false" ht="15.75" hidden="false" customHeight="true" outlineLevel="0" collapsed="false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</row>
    <row r="714" customFormat="false" ht="15.75" hidden="false" customHeight="true" outlineLevel="0" collapsed="false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</row>
    <row r="715" customFormat="false" ht="15.75" hidden="false" customHeight="true" outlineLevel="0" collapsed="false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</row>
    <row r="716" customFormat="false" ht="15.75" hidden="false" customHeight="true" outlineLevel="0" collapsed="false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</row>
    <row r="717" customFormat="false" ht="15.75" hidden="false" customHeight="true" outlineLevel="0" collapsed="false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</row>
    <row r="718" customFormat="false" ht="15.75" hidden="false" customHeight="true" outlineLevel="0" collapsed="false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</row>
    <row r="719" customFormat="false" ht="15.75" hidden="false" customHeight="true" outlineLevel="0" collapsed="false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</row>
    <row r="720" customFormat="false" ht="15.75" hidden="false" customHeight="true" outlineLevel="0" collapsed="false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</row>
    <row r="721" customFormat="false" ht="15.75" hidden="false" customHeight="true" outlineLevel="0" collapsed="false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</row>
    <row r="722" customFormat="false" ht="15.75" hidden="false" customHeight="true" outlineLevel="0" collapsed="false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</row>
    <row r="723" customFormat="false" ht="15.75" hidden="false" customHeight="true" outlineLevel="0" collapsed="false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</row>
    <row r="724" customFormat="false" ht="15.75" hidden="false" customHeight="true" outlineLevel="0" collapsed="false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</row>
    <row r="725" customFormat="false" ht="15.75" hidden="false" customHeight="true" outlineLevel="0" collapsed="false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</row>
    <row r="726" customFormat="false" ht="15.75" hidden="false" customHeight="true" outlineLevel="0" collapsed="false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</row>
    <row r="727" customFormat="false" ht="15.75" hidden="false" customHeight="true" outlineLevel="0" collapsed="false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</row>
    <row r="728" customFormat="false" ht="15.75" hidden="false" customHeight="true" outlineLevel="0" collapsed="false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</row>
    <row r="729" customFormat="false" ht="15.75" hidden="false" customHeight="true" outlineLevel="0" collapsed="false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</row>
    <row r="730" customFormat="false" ht="15.75" hidden="false" customHeight="true" outlineLevel="0" collapsed="false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</row>
    <row r="731" customFormat="false" ht="15.75" hidden="false" customHeight="true" outlineLevel="0" collapsed="false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</row>
    <row r="732" customFormat="false" ht="15.75" hidden="false" customHeight="true" outlineLevel="0" collapsed="false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</row>
    <row r="733" customFormat="false" ht="15.75" hidden="false" customHeight="true" outlineLevel="0" collapsed="false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</row>
    <row r="734" customFormat="false" ht="15.75" hidden="false" customHeight="true" outlineLevel="0" collapsed="false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</row>
    <row r="735" customFormat="false" ht="15.75" hidden="false" customHeight="true" outlineLevel="0" collapsed="false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</row>
    <row r="736" customFormat="false" ht="15.75" hidden="false" customHeight="true" outlineLevel="0" collapsed="false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</row>
    <row r="737" customFormat="false" ht="15.75" hidden="false" customHeight="true" outlineLevel="0" collapsed="false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</row>
    <row r="738" customFormat="false" ht="15.75" hidden="false" customHeight="true" outlineLevel="0" collapsed="false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</row>
    <row r="739" customFormat="false" ht="15.75" hidden="false" customHeight="true" outlineLevel="0" collapsed="false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</row>
    <row r="740" customFormat="false" ht="15.75" hidden="false" customHeight="true" outlineLevel="0" collapsed="false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</row>
    <row r="741" customFormat="false" ht="15.75" hidden="false" customHeight="true" outlineLevel="0" collapsed="false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</row>
    <row r="742" customFormat="false" ht="15.75" hidden="false" customHeight="true" outlineLevel="0" collapsed="false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</row>
    <row r="743" customFormat="false" ht="15.75" hidden="false" customHeight="true" outlineLevel="0" collapsed="false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</row>
    <row r="744" customFormat="false" ht="15.75" hidden="false" customHeight="true" outlineLevel="0" collapsed="false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</row>
    <row r="745" customFormat="false" ht="15.75" hidden="false" customHeight="true" outlineLevel="0" collapsed="false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</row>
    <row r="746" customFormat="false" ht="15.75" hidden="false" customHeight="true" outlineLevel="0" collapsed="false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</row>
    <row r="747" customFormat="false" ht="15.75" hidden="false" customHeight="true" outlineLevel="0" collapsed="false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</row>
    <row r="748" customFormat="false" ht="15.75" hidden="false" customHeight="true" outlineLevel="0" collapsed="false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</row>
    <row r="749" customFormat="false" ht="15.75" hidden="false" customHeight="true" outlineLevel="0" collapsed="false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</row>
    <row r="750" customFormat="false" ht="15.75" hidden="false" customHeight="true" outlineLevel="0" collapsed="false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</row>
    <row r="751" customFormat="false" ht="15.75" hidden="false" customHeight="true" outlineLevel="0" collapsed="false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</row>
    <row r="752" customFormat="false" ht="15.75" hidden="false" customHeight="true" outlineLevel="0" collapsed="false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</row>
    <row r="753" customFormat="false" ht="15.75" hidden="false" customHeight="true" outlineLevel="0" collapsed="false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</row>
    <row r="754" customFormat="false" ht="15.75" hidden="false" customHeight="true" outlineLevel="0" collapsed="false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</row>
    <row r="755" customFormat="false" ht="15.75" hidden="false" customHeight="true" outlineLevel="0" collapsed="false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</row>
    <row r="756" customFormat="false" ht="15.75" hidden="false" customHeight="true" outlineLevel="0" collapsed="false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</row>
    <row r="757" customFormat="false" ht="15.75" hidden="false" customHeight="true" outlineLevel="0" collapsed="false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</row>
    <row r="758" customFormat="false" ht="15.75" hidden="false" customHeight="true" outlineLevel="0" collapsed="false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</row>
    <row r="759" customFormat="false" ht="15.75" hidden="false" customHeight="true" outlineLevel="0" collapsed="false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</row>
    <row r="760" customFormat="false" ht="15.75" hidden="false" customHeight="true" outlineLevel="0" collapsed="false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</row>
    <row r="761" customFormat="false" ht="15.75" hidden="false" customHeight="true" outlineLevel="0" collapsed="false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</row>
    <row r="762" customFormat="false" ht="15.75" hidden="false" customHeight="true" outlineLevel="0" collapsed="false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</row>
    <row r="763" customFormat="false" ht="15.75" hidden="false" customHeight="true" outlineLevel="0" collapsed="false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</row>
    <row r="764" customFormat="false" ht="15.75" hidden="false" customHeight="true" outlineLevel="0" collapsed="false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</row>
    <row r="765" customFormat="false" ht="15.75" hidden="false" customHeight="true" outlineLevel="0" collapsed="false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</row>
    <row r="766" customFormat="false" ht="15.75" hidden="false" customHeight="true" outlineLevel="0" collapsed="false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</row>
    <row r="767" customFormat="false" ht="15.75" hidden="false" customHeight="true" outlineLevel="0" collapsed="false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</row>
    <row r="768" customFormat="false" ht="15.75" hidden="false" customHeight="true" outlineLevel="0" collapsed="false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</row>
    <row r="769" customFormat="false" ht="15.75" hidden="false" customHeight="true" outlineLevel="0" collapsed="false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</row>
    <row r="770" customFormat="false" ht="15.75" hidden="false" customHeight="true" outlineLevel="0" collapsed="false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</row>
    <row r="771" customFormat="false" ht="15.75" hidden="false" customHeight="true" outlineLevel="0" collapsed="false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</row>
    <row r="772" customFormat="false" ht="15.75" hidden="false" customHeight="true" outlineLevel="0" collapsed="false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</row>
    <row r="773" customFormat="false" ht="15.75" hidden="false" customHeight="true" outlineLevel="0" collapsed="false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</row>
    <row r="774" customFormat="false" ht="15.75" hidden="false" customHeight="true" outlineLevel="0" collapsed="false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</row>
    <row r="775" customFormat="false" ht="15.75" hidden="false" customHeight="true" outlineLevel="0" collapsed="false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</row>
    <row r="776" customFormat="false" ht="15.75" hidden="false" customHeight="true" outlineLevel="0" collapsed="false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</row>
    <row r="777" customFormat="false" ht="15.75" hidden="false" customHeight="true" outlineLevel="0" collapsed="false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</row>
    <row r="778" customFormat="false" ht="15.75" hidden="false" customHeight="true" outlineLevel="0" collapsed="false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</row>
    <row r="779" customFormat="false" ht="15.75" hidden="false" customHeight="true" outlineLevel="0" collapsed="false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</row>
    <row r="780" customFormat="false" ht="15.75" hidden="false" customHeight="true" outlineLevel="0" collapsed="false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</row>
    <row r="781" customFormat="false" ht="15.75" hidden="false" customHeight="true" outlineLevel="0" collapsed="false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</row>
    <row r="782" customFormat="false" ht="15.75" hidden="false" customHeight="true" outlineLevel="0" collapsed="false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</row>
    <row r="783" customFormat="false" ht="15.75" hidden="false" customHeight="true" outlineLevel="0" collapsed="false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</row>
    <row r="784" customFormat="false" ht="15.75" hidden="false" customHeight="true" outlineLevel="0" collapsed="false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</row>
    <row r="785" customFormat="false" ht="15.75" hidden="false" customHeight="true" outlineLevel="0" collapsed="false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</row>
    <row r="786" customFormat="false" ht="15.75" hidden="false" customHeight="true" outlineLevel="0" collapsed="false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</row>
    <row r="787" customFormat="false" ht="15.75" hidden="false" customHeight="true" outlineLevel="0" collapsed="false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</row>
    <row r="788" customFormat="false" ht="15.75" hidden="false" customHeight="true" outlineLevel="0" collapsed="false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</row>
    <row r="789" customFormat="false" ht="15.75" hidden="false" customHeight="true" outlineLevel="0" collapsed="false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</row>
    <row r="790" customFormat="false" ht="15.75" hidden="false" customHeight="true" outlineLevel="0" collapsed="false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</row>
    <row r="791" customFormat="false" ht="15.75" hidden="false" customHeight="true" outlineLevel="0" collapsed="false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</row>
    <row r="792" customFormat="false" ht="15.75" hidden="false" customHeight="true" outlineLevel="0" collapsed="false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</row>
    <row r="793" customFormat="false" ht="15.75" hidden="false" customHeight="true" outlineLevel="0" collapsed="false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</row>
    <row r="794" customFormat="false" ht="15.75" hidden="false" customHeight="true" outlineLevel="0" collapsed="false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</row>
    <row r="795" customFormat="false" ht="15.75" hidden="false" customHeight="true" outlineLevel="0" collapsed="false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</row>
    <row r="796" customFormat="false" ht="15.75" hidden="false" customHeight="true" outlineLevel="0" collapsed="false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</row>
    <row r="797" customFormat="false" ht="15.75" hidden="false" customHeight="true" outlineLevel="0" collapsed="false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</row>
    <row r="798" customFormat="false" ht="15.75" hidden="false" customHeight="true" outlineLevel="0" collapsed="false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</row>
    <row r="799" customFormat="false" ht="15.75" hidden="false" customHeight="true" outlineLevel="0" collapsed="false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</row>
    <row r="800" customFormat="false" ht="15.75" hidden="false" customHeight="true" outlineLevel="0" collapsed="false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</row>
    <row r="801" customFormat="false" ht="15.75" hidden="false" customHeight="true" outlineLevel="0" collapsed="false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</row>
    <row r="802" customFormat="false" ht="15.75" hidden="false" customHeight="true" outlineLevel="0" collapsed="false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</row>
    <row r="803" customFormat="false" ht="15.75" hidden="false" customHeight="true" outlineLevel="0" collapsed="false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</row>
    <row r="804" customFormat="false" ht="15.75" hidden="false" customHeight="true" outlineLevel="0" collapsed="false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</row>
    <row r="805" customFormat="false" ht="15.75" hidden="false" customHeight="true" outlineLevel="0" collapsed="false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</row>
    <row r="806" customFormat="false" ht="15.75" hidden="false" customHeight="true" outlineLevel="0" collapsed="false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</row>
    <row r="807" customFormat="false" ht="15.75" hidden="false" customHeight="true" outlineLevel="0" collapsed="false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</row>
    <row r="808" customFormat="false" ht="15.75" hidden="false" customHeight="true" outlineLevel="0" collapsed="false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</row>
    <row r="809" customFormat="false" ht="15.75" hidden="false" customHeight="true" outlineLevel="0" collapsed="false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</row>
    <row r="810" customFormat="false" ht="15.75" hidden="false" customHeight="true" outlineLevel="0" collapsed="false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</row>
    <row r="811" customFormat="false" ht="15.75" hidden="false" customHeight="true" outlineLevel="0" collapsed="false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</row>
    <row r="812" customFormat="false" ht="15.75" hidden="false" customHeight="true" outlineLevel="0" collapsed="false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</row>
    <row r="813" customFormat="false" ht="15.75" hidden="false" customHeight="true" outlineLevel="0" collapsed="false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</row>
    <row r="814" customFormat="false" ht="15.75" hidden="false" customHeight="true" outlineLevel="0" collapsed="false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</row>
    <row r="815" customFormat="false" ht="15.75" hidden="false" customHeight="true" outlineLevel="0" collapsed="false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</row>
    <row r="816" customFormat="false" ht="15.75" hidden="false" customHeight="true" outlineLevel="0" collapsed="false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</row>
    <row r="817" customFormat="false" ht="15.75" hidden="false" customHeight="true" outlineLevel="0" collapsed="false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</row>
    <row r="818" customFormat="false" ht="15.75" hidden="false" customHeight="true" outlineLevel="0" collapsed="false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</row>
    <row r="819" customFormat="false" ht="15.75" hidden="false" customHeight="true" outlineLevel="0" collapsed="false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</row>
    <row r="820" customFormat="false" ht="15.75" hidden="false" customHeight="true" outlineLevel="0" collapsed="false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</row>
    <row r="821" customFormat="false" ht="15.75" hidden="false" customHeight="true" outlineLevel="0" collapsed="false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</row>
    <row r="822" customFormat="false" ht="15.75" hidden="false" customHeight="true" outlineLevel="0" collapsed="false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</row>
    <row r="823" customFormat="false" ht="15.75" hidden="false" customHeight="true" outlineLevel="0" collapsed="false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</row>
    <row r="824" customFormat="false" ht="15.75" hidden="false" customHeight="true" outlineLevel="0" collapsed="false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</row>
    <row r="825" customFormat="false" ht="15.75" hidden="false" customHeight="true" outlineLevel="0" collapsed="false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</row>
    <row r="826" customFormat="false" ht="15.75" hidden="false" customHeight="true" outlineLevel="0" collapsed="false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</row>
    <row r="827" customFormat="false" ht="15.75" hidden="false" customHeight="true" outlineLevel="0" collapsed="false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</row>
    <row r="828" customFormat="false" ht="15.75" hidden="false" customHeight="true" outlineLevel="0" collapsed="false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</row>
    <row r="829" customFormat="false" ht="15.75" hidden="false" customHeight="true" outlineLevel="0" collapsed="false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</row>
    <row r="830" customFormat="false" ht="15.75" hidden="false" customHeight="true" outlineLevel="0" collapsed="false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</row>
    <row r="831" customFormat="false" ht="15.75" hidden="false" customHeight="true" outlineLevel="0" collapsed="false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</row>
    <row r="832" customFormat="false" ht="15.75" hidden="false" customHeight="true" outlineLevel="0" collapsed="false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</row>
    <row r="833" customFormat="false" ht="15.75" hidden="false" customHeight="true" outlineLevel="0" collapsed="false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</row>
    <row r="834" customFormat="false" ht="15.75" hidden="false" customHeight="true" outlineLevel="0" collapsed="false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</row>
    <row r="835" customFormat="false" ht="15.75" hidden="false" customHeight="true" outlineLevel="0" collapsed="false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</row>
    <row r="836" customFormat="false" ht="15.75" hidden="false" customHeight="true" outlineLevel="0" collapsed="false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</row>
    <row r="837" customFormat="false" ht="15.75" hidden="false" customHeight="true" outlineLevel="0" collapsed="false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</row>
    <row r="838" customFormat="false" ht="15.75" hidden="false" customHeight="true" outlineLevel="0" collapsed="false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</row>
    <row r="839" customFormat="false" ht="15.75" hidden="false" customHeight="true" outlineLevel="0" collapsed="false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</row>
    <row r="840" customFormat="false" ht="15.75" hidden="false" customHeight="true" outlineLevel="0" collapsed="false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</row>
    <row r="841" customFormat="false" ht="15.75" hidden="false" customHeight="true" outlineLevel="0" collapsed="false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</row>
    <row r="842" customFormat="false" ht="15.75" hidden="false" customHeight="true" outlineLevel="0" collapsed="false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</row>
    <row r="843" customFormat="false" ht="15.75" hidden="false" customHeight="true" outlineLevel="0" collapsed="false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</row>
    <row r="844" customFormat="false" ht="15.75" hidden="false" customHeight="true" outlineLevel="0" collapsed="false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</row>
    <row r="845" customFormat="false" ht="15.75" hidden="false" customHeight="true" outlineLevel="0" collapsed="false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</row>
    <row r="846" customFormat="false" ht="15.75" hidden="false" customHeight="true" outlineLevel="0" collapsed="false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</row>
    <row r="847" customFormat="false" ht="15.75" hidden="false" customHeight="true" outlineLevel="0" collapsed="false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</row>
    <row r="848" customFormat="false" ht="15.75" hidden="false" customHeight="true" outlineLevel="0" collapsed="false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</row>
    <row r="849" customFormat="false" ht="15.75" hidden="false" customHeight="true" outlineLevel="0" collapsed="false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</row>
    <row r="850" customFormat="false" ht="15.75" hidden="false" customHeight="true" outlineLevel="0" collapsed="false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</row>
    <row r="851" customFormat="false" ht="15.75" hidden="false" customHeight="true" outlineLevel="0" collapsed="false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</row>
    <row r="852" customFormat="false" ht="15.75" hidden="false" customHeight="true" outlineLevel="0" collapsed="false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</row>
    <row r="853" customFormat="false" ht="15.75" hidden="false" customHeight="true" outlineLevel="0" collapsed="false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</row>
    <row r="854" customFormat="false" ht="15.75" hidden="false" customHeight="true" outlineLevel="0" collapsed="false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</row>
    <row r="855" customFormat="false" ht="15.75" hidden="false" customHeight="true" outlineLevel="0" collapsed="false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</row>
    <row r="856" customFormat="false" ht="15.75" hidden="false" customHeight="true" outlineLevel="0" collapsed="false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</row>
    <row r="857" customFormat="false" ht="15.75" hidden="false" customHeight="true" outlineLevel="0" collapsed="false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</row>
    <row r="858" customFormat="false" ht="15.75" hidden="false" customHeight="true" outlineLevel="0" collapsed="false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</row>
    <row r="859" customFormat="false" ht="15.75" hidden="false" customHeight="true" outlineLevel="0" collapsed="false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</row>
    <row r="860" customFormat="false" ht="15.75" hidden="false" customHeight="true" outlineLevel="0" collapsed="false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</row>
    <row r="861" customFormat="false" ht="15.75" hidden="false" customHeight="true" outlineLevel="0" collapsed="false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</row>
    <row r="862" customFormat="false" ht="15.75" hidden="false" customHeight="true" outlineLevel="0" collapsed="false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</row>
    <row r="863" customFormat="false" ht="15.75" hidden="false" customHeight="true" outlineLevel="0" collapsed="false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</row>
    <row r="864" customFormat="false" ht="15.75" hidden="false" customHeight="true" outlineLevel="0" collapsed="false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</row>
    <row r="865" customFormat="false" ht="15.75" hidden="false" customHeight="true" outlineLevel="0" collapsed="false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</row>
    <row r="866" customFormat="false" ht="15.75" hidden="false" customHeight="true" outlineLevel="0" collapsed="false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</row>
    <row r="867" customFormat="false" ht="15.75" hidden="false" customHeight="true" outlineLevel="0" collapsed="false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</row>
    <row r="868" customFormat="false" ht="15.75" hidden="false" customHeight="true" outlineLevel="0" collapsed="false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</row>
    <row r="869" customFormat="false" ht="15.75" hidden="false" customHeight="true" outlineLevel="0" collapsed="false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</row>
    <row r="870" customFormat="false" ht="15.75" hidden="false" customHeight="true" outlineLevel="0" collapsed="false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</row>
    <row r="871" customFormat="false" ht="15.75" hidden="false" customHeight="true" outlineLevel="0" collapsed="false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</row>
    <row r="872" customFormat="false" ht="15.75" hidden="false" customHeight="true" outlineLevel="0" collapsed="false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</row>
    <row r="873" customFormat="false" ht="15.75" hidden="false" customHeight="true" outlineLevel="0" collapsed="false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</row>
    <row r="874" customFormat="false" ht="15.75" hidden="false" customHeight="true" outlineLevel="0" collapsed="false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</row>
    <row r="875" customFormat="false" ht="15.75" hidden="false" customHeight="true" outlineLevel="0" collapsed="false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</row>
    <row r="876" customFormat="false" ht="15.75" hidden="false" customHeight="true" outlineLevel="0" collapsed="false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</row>
    <row r="877" customFormat="false" ht="15.75" hidden="false" customHeight="true" outlineLevel="0" collapsed="false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</row>
    <row r="878" customFormat="false" ht="15.75" hidden="false" customHeight="true" outlineLevel="0" collapsed="false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</row>
    <row r="879" customFormat="false" ht="15.75" hidden="false" customHeight="true" outlineLevel="0" collapsed="false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</row>
    <row r="880" customFormat="false" ht="15.75" hidden="false" customHeight="true" outlineLevel="0" collapsed="false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</row>
    <row r="881" customFormat="false" ht="15.75" hidden="false" customHeight="true" outlineLevel="0" collapsed="false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</row>
    <row r="882" customFormat="false" ht="15.75" hidden="false" customHeight="true" outlineLevel="0" collapsed="false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</row>
    <row r="883" customFormat="false" ht="15.75" hidden="false" customHeight="true" outlineLevel="0" collapsed="false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</row>
    <row r="884" customFormat="false" ht="15.75" hidden="false" customHeight="true" outlineLevel="0" collapsed="false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</row>
    <row r="885" customFormat="false" ht="15.75" hidden="false" customHeight="true" outlineLevel="0" collapsed="false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</row>
    <row r="886" customFormat="false" ht="15.75" hidden="false" customHeight="true" outlineLevel="0" collapsed="false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</row>
    <row r="887" customFormat="false" ht="15.75" hidden="false" customHeight="true" outlineLevel="0" collapsed="false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</row>
    <row r="888" customFormat="false" ht="15.75" hidden="false" customHeight="true" outlineLevel="0" collapsed="false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</row>
    <row r="889" customFormat="false" ht="15.75" hidden="false" customHeight="true" outlineLevel="0" collapsed="false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</row>
    <row r="890" customFormat="false" ht="15.75" hidden="false" customHeight="true" outlineLevel="0" collapsed="false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</row>
    <row r="891" customFormat="false" ht="15.75" hidden="false" customHeight="true" outlineLevel="0" collapsed="false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</row>
    <row r="892" customFormat="false" ht="15.75" hidden="false" customHeight="true" outlineLevel="0" collapsed="false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</row>
    <row r="893" customFormat="false" ht="15.75" hidden="false" customHeight="true" outlineLevel="0" collapsed="false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</row>
    <row r="894" customFormat="false" ht="15.75" hidden="false" customHeight="true" outlineLevel="0" collapsed="false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</row>
    <row r="895" customFormat="false" ht="15.75" hidden="false" customHeight="true" outlineLevel="0" collapsed="false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</row>
    <row r="896" customFormat="false" ht="15.75" hidden="false" customHeight="true" outlineLevel="0" collapsed="false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</row>
    <row r="897" customFormat="false" ht="15.75" hidden="false" customHeight="true" outlineLevel="0" collapsed="false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</row>
    <row r="898" customFormat="false" ht="15.75" hidden="false" customHeight="true" outlineLevel="0" collapsed="false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</row>
    <row r="899" customFormat="false" ht="15.75" hidden="false" customHeight="true" outlineLevel="0" collapsed="false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</row>
    <row r="900" customFormat="false" ht="15.75" hidden="false" customHeight="true" outlineLevel="0" collapsed="false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</row>
    <row r="901" customFormat="false" ht="15.75" hidden="false" customHeight="true" outlineLevel="0" collapsed="false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</row>
    <row r="902" customFormat="false" ht="15.75" hidden="false" customHeight="true" outlineLevel="0" collapsed="false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</row>
    <row r="903" customFormat="false" ht="15.75" hidden="false" customHeight="true" outlineLevel="0" collapsed="false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</row>
    <row r="904" customFormat="false" ht="15.75" hidden="false" customHeight="true" outlineLevel="0" collapsed="false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</row>
    <row r="905" customFormat="false" ht="15.75" hidden="false" customHeight="true" outlineLevel="0" collapsed="false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</row>
    <row r="906" customFormat="false" ht="15.75" hidden="false" customHeight="true" outlineLevel="0" collapsed="false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</row>
    <row r="907" customFormat="false" ht="15.75" hidden="false" customHeight="true" outlineLevel="0" collapsed="false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</row>
    <row r="908" customFormat="false" ht="15.75" hidden="false" customHeight="true" outlineLevel="0" collapsed="false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</row>
    <row r="909" customFormat="false" ht="15.75" hidden="false" customHeight="true" outlineLevel="0" collapsed="false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</row>
    <row r="910" customFormat="false" ht="15.75" hidden="false" customHeight="true" outlineLevel="0" collapsed="false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</row>
    <row r="911" customFormat="false" ht="15.75" hidden="false" customHeight="true" outlineLevel="0" collapsed="false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</row>
    <row r="912" customFormat="false" ht="15.75" hidden="false" customHeight="true" outlineLevel="0" collapsed="false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</row>
    <row r="913" customFormat="false" ht="15.75" hidden="false" customHeight="true" outlineLevel="0" collapsed="false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</row>
    <row r="914" customFormat="false" ht="15.75" hidden="false" customHeight="true" outlineLevel="0" collapsed="false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</row>
    <row r="915" customFormat="false" ht="15.75" hidden="false" customHeight="true" outlineLevel="0" collapsed="false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</row>
    <row r="916" customFormat="false" ht="15.75" hidden="false" customHeight="true" outlineLevel="0" collapsed="false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</row>
    <row r="917" customFormat="false" ht="15.75" hidden="false" customHeight="true" outlineLevel="0" collapsed="false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</row>
    <row r="918" customFormat="false" ht="15.75" hidden="false" customHeight="true" outlineLevel="0" collapsed="false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</row>
    <row r="919" customFormat="false" ht="15.75" hidden="false" customHeight="true" outlineLevel="0" collapsed="false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</row>
    <row r="920" customFormat="false" ht="15.75" hidden="false" customHeight="true" outlineLevel="0" collapsed="false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</row>
    <row r="921" customFormat="false" ht="15.75" hidden="false" customHeight="true" outlineLevel="0" collapsed="false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</row>
    <row r="922" customFormat="false" ht="15.75" hidden="false" customHeight="true" outlineLevel="0" collapsed="false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</row>
    <row r="923" customFormat="false" ht="15.75" hidden="false" customHeight="true" outlineLevel="0" collapsed="false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</row>
    <row r="924" customFormat="false" ht="15.75" hidden="false" customHeight="true" outlineLevel="0" collapsed="false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</row>
    <row r="925" customFormat="false" ht="15.75" hidden="false" customHeight="true" outlineLevel="0" collapsed="false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</row>
    <row r="926" customFormat="false" ht="15.75" hidden="false" customHeight="true" outlineLevel="0" collapsed="false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</row>
    <row r="927" customFormat="false" ht="15.75" hidden="false" customHeight="true" outlineLevel="0" collapsed="false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</row>
    <row r="928" customFormat="false" ht="15.75" hidden="false" customHeight="true" outlineLevel="0" collapsed="false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</row>
    <row r="929" customFormat="false" ht="15.75" hidden="false" customHeight="true" outlineLevel="0" collapsed="false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</row>
    <row r="930" customFormat="false" ht="15.75" hidden="false" customHeight="true" outlineLevel="0" collapsed="false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</row>
    <row r="931" customFormat="false" ht="15.75" hidden="false" customHeight="true" outlineLevel="0" collapsed="false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</row>
    <row r="932" customFormat="false" ht="15.75" hidden="false" customHeight="true" outlineLevel="0" collapsed="false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</row>
    <row r="933" customFormat="false" ht="15.75" hidden="false" customHeight="true" outlineLevel="0" collapsed="false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</row>
    <row r="934" customFormat="false" ht="15.75" hidden="false" customHeight="true" outlineLevel="0" collapsed="false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</row>
    <row r="935" customFormat="false" ht="15.75" hidden="false" customHeight="true" outlineLevel="0" collapsed="false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</row>
    <row r="936" customFormat="false" ht="15.75" hidden="false" customHeight="true" outlineLevel="0" collapsed="false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</row>
    <row r="937" customFormat="false" ht="15.75" hidden="false" customHeight="true" outlineLevel="0" collapsed="false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</row>
    <row r="938" customFormat="false" ht="15.75" hidden="false" customHeight="true" outlineLevel="0" collapsed="false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</row>
    <row r="939" customFormat="false" ht="15.75" hidden="false" customHeight="true" outlineLevel="0" collapsed="false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</row>
    <row r="940" customFormat="false" ht="15.75" hidden="false" customHeight="true" outlineLevel="0" collapsed="false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</row>
    <row r="941" customFormat="false" ht="15.75" hidden="false" customHeight="true" outlineLevel="0" collapsed="false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</row>
    <row r="942" customFormat="false" ht="15.75" hidden="false" customHeight="true" outlineLevel="0" collapsed="false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</row>
    <row r="943" customFormat="false" ht="15.75" hidden="false" customHeight="true" outlineLevel="0" collapsed="false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</row>
    <row r="944" customFormat="false" ht="15.75" hidden="false" customHeight="true" outlineLevel="0" collapsed="false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</row>
    <row r="945" customFormat="false" ht="15.75" hidden="false" customHeight="true" outlineLevel="0" collapsed="false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</row>
    <row r="946" customFormat="false" ht="15.75" hidden="false" customHeight="true" outlineLevel="0" collapsed="false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</row>
    <row r="947" customFormat="false" ht="15.75" hidden="false" customHeight="true" outlineLevel="0" collapsed="false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</row>
    <row r="948" customFormat="false" ht="15.75" hidden="false" customHeight="true" outlineLevel="0" collapsed="false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</row>
    <row r="949" customFormat="false" ht="15.75" hidden="false" customHeight="true" outlineLevel="0" collapsed="false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</row>
    <row r="950" customFormat="false" ht="15.75" hidden="false" customHeight="true" outlineLevel="0" collapsed="false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</row>
    <row r="951" customFormat="false" ht="15.75" hidden="false" customHeight="true" outlineLevel="0" collapsed="false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</row>
    <row r="952" customFormat="false" ht="15.75" hidden="false" customHeight="true" outlineLevel="0" collapsed="false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</row>
    <row r="953" customFormat="false" ht="15.75" hidden="false" customHeight="true" outlineLevel="0" collapsed="false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</row>
    <row r="954" customFormat="false" ht="15.75" hidden="false" customHeight="true" outlineLevel="0" collapsed="false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</row>
    <row r="955" customFormat="false" ht="15.75" hidden="false" customHeight="true" outlineLevel="0" collapsed="false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</row>
    <row r="956" customFormat="false" ht="15.75" hidden="false" customHeight="true" outlineLevel="0" collapsed="false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</row>
    <row r="957" customFormat="false" ht="15.75" hidden="false" customHeight="true" outlineLevel="0" collapsed="false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</row>
    <row r="958" customFormat="false" ht="15.75" hidden="false" customHeight="true" outlineLevel="0" collapsed="false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</row>
    <row r="959" customFormat="false" ht="15.75" hidden="false" customHeight="true" outlineLevel="0" collapsed="false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</row>
    <row r="960" customFormat="false" ht="15.75" hidden="false" customHeight="true" outlineLevel="0" collapsed="false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</row>
    <row r="961" customFormat="false" ht="15.75" hidden="false" customHeight="true" outlineLevel="0" collapsed="false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</row>
    <row r="962" customFormat="false" ht="15.75" hidden="false" customHeight="true" outlineLevel="0" collapsed="false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</row>
    <row r="963" customFormat="false" ht="15.75" hidden="false" customHeight="true" outlineLevel="0" collapsed="false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</row>
    <row r="964" customFormat="false" ht="15.75" hidden="false" customHeight="true" outlineLevel="0" collapsed="false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</row>
    <row r="965" customFormat="false" ht="15.75" hidden="false" customHeight="true" outlineLevel="0" collapsed="false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</row>
    <row r="966" customFormat="false" ht="15.75" hidden="false" customHeight="true" outlineLevel="0" collapsed="false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</row>
    <row r="967" customFormat="false" ht="15.75" hidden="false" customHeight="true" outlineLevel="0" collapsed="false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</row>
    <row r="968" customFormat="false" ht="15.75" hidden="false" customHeight="true" outlineLevel="0" collapsed="false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</row>
    <row r="969" customFormat="false" ht="15.75" hidden="false" customHeight="true" outlineLevel="0" collapsed="false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</row>
    <row r="970" customFormat="false" ht="15.75" hidden="false" customHeight="true" outlineLevel="0" collapsed="false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</row>
    <row r="971" customFormat="false" ht="15.75" hidden="false" customHeight="true" outlineLevel="0" collapsed="false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</row>
    <row r="972" customFormat="false" ht="15.75" hidden="false" customHeight="true" outlineLevel="0" collapsed="false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</row>
    <row r="973" customFormat="false" ht="15.75" hidden="false" customHeight="true" outlineLevel="0" collapsed="false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</row>
    <row r="974" customFormat="false" ht="15.75" hidden="false" customHeight="true" outlineLevel="0" collapsed="false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</row>
    <row r="975" customFormat="false" ht="15.75" hidden="false" customHeight="true" outlineLevel="0" collapsed="false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</row>
    <row r="976" customFormat="false" ht="15.75" hidden="false" customHeight="true" outlineLevel="0" collapsed="false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</row>
    <row r="977" customFormat="false" ht="15.75" hidden="false" customHeight="true" outlineLevel="0" collapsed="false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</row>
    <row r="978" customFormat="false" ht="15.75" hidden="false" customHeight="true" outlineLevel="0" collapsed="false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</row>
    <row r="979" customFormat="false" ht="15.75" hidden="false" customHeight="true" outlineLevel="0" collapsed="false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</row>
    <row r="980" customFormat="false" ht="15.75" hidden="false" customHeight="true" outlineLevel="0" collapsed="false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</row>
    <row r="981" customFormat="false" ht="15.75" hidden="false" customHeight="true" outlineLevel="0" collapsed="false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</row>
    <row r="982" customFormat="false" ht="15.75" hidden="false" customHeight="true" outlineLevel="0" collapsed="false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</row>
    <row r="983" customFormat="false" ht="15.75" hidden="false" customHeight="true" outlineLevel="0" collapsed="false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</row>
    <row r="984" customFormat="false" ht="15.75" hidden="false" customHeight="true" outlineLevel="0" collapsed="false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</row>
    <row r="985" customFormat="false" ht="15.75" hidden="false" customHeight="true" outlineLevel="0" collapsed="false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</row>
    <row r="986" customFormat="false" ht="15.75" hidden="false" customHeight="true" outlineLevel="0" collapsed="false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</row>
    <row r="987" customFormat="false" ht="15.75" hidden="false" customHeight="true" outlineLevel="0" collapsed="false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</row>
    <row r="988" customFormat="false" ht="15.75" hidden="false" customHeight="true" outlineLevel="0" collapsed="false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</row>
    <row r="989" customFormat="false" ht="15.75" hidden="false" customHeight="true" outlineLevel="0" collapsed="false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</row>
    <row r="990" customFormat="false" ht="15.75" hidden="false" customHeight="true" outlineLevel="0" collapsed="false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</row>
    <row r="991" customFormat="false" ht="15.75" hidden="false" customHeight="true" outlineLevel="0" collapsed="false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</row>
    <row r="992" customFormat="false" ht="15.75" hidden="false" customHeight="true" outlineLevel="0" collapsed="false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</row>
    <row r="993" customFormat="false" ht="15.75" hidden="false" customHeight="true" outlineLevel="0" collapsed="false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</row>
    <row r="994" customFormat="false" ht="15.75" hidden="false" customHeight="true" outlineLevel="0" collapsed="false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</row>
    <row r="995" customFormat="false" ht="15.75" hidden="false" customHeight="true" outlineLevel="0" collapsed="false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</row>
    <row r="996" customFormat="false" ht="15.75" hidden="false" customHeight="true" outlineLevel="0" collapsed="false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</row>
    <row r="997" customFormat="false" ht="15.75" hidden="false" customHeight="true" outlineLevel="0" collapsed="false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</row>
    <row r="998" customFormat="false" ht="15.75" hidden="false" customHeight="true" outlineLevel="0" collapsed="false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</row>
    <row r="999" customFormat="false" ht="15.75" hidden="false" customHeight="true" outlineLevel="0" collapsed="false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</row>
    <row r="1000" customFormat="false" ht="15.75" hidden="false" customHeight="true" outlineLevel="0" collapsed="false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</row>
    <row r="1001" customFormat="false" ht="15.75" hidden="false" customHeight="true" outlineLevel="0" collapsed="false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</row>
    <row r="1002" customFormat="false" ht="15.75" hidden="false" customHeight="true" outlineLevel="0" collapsed="false">
      <c r="A1002" s="1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</row>
  </sheetData>
  <sheetProtection sheet="true" password="c982" objects="true" scenarios="true"/>
  <mergeCells count="6">
    <mergeCell ref="A1:C1"/>
    <mergeCell ref="A2:C2"/>
    <mergeCell ref="A3:C3"/>
    <mergeCell ref="A18:C18"/>
    <mergeCell ref="A19:C19"/>
    <mergeCell ref="A20:C20"/>
  </mergeCells>
  <dataValidations count="2">
    <dataValidation allowBlank="true" errorStyle="stop" operator="between" showDropDown="false" showErrorMessage="true" showInputMessage="false" sqref="C23" type="none">
      <formula1>0</formula1>
      <formula2>0</formula2>
    </dataValidation>
    <dataValidation allowBlank="true" errorStyle="stop" operator="between" showDropDown="false" showErrorMessage="true" showInputMessage="false" sqref="C6" type="list">
      <formula1>$J$6:$J$9</formula1>
      <formula2>0</formula2>
    </dataValidation>
  </dataValidations>
  <printOptions headings="false" gridLines="false" gridLinesSet="true" horizontalCentered="false" verticalCentered="false"/>
  <pageMargins left="0.315277777777778" right="0.315277777777778" top="0.747916666666667" bottom="0.747916666666667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888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2025-01-23T08:45:24Z</dcterms:created>
  <dc:creator/>
  <dc:description/>
  <dc:language>en-GB</dc:language>
  <cp:lastModifiedBy/>
  <cp:lastPrinted>2025-10-27T19:45:56Z</cp:lastPrinted>
  <dcterms:modified xsi:type="dcterms:W3CDTF">2025-12-21T09:38:41Z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