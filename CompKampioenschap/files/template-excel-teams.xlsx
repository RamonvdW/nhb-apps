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Handleiding" sheetId="1" state="visible" r:id="rId3"/>
    <sheet name="Toegestane deelnemers" sheetId="2" state="visible" r:id="rId4"/>
    <sheet name="Deelnemers" sheetId="3" state="visible" r:id="rId5"/>
    <sheet name="Scores" sheetId="4" state="visible" r:id="rId6"/>
    <sheet name="Stand" sheetId="5" state="visible" r:id="rId7"/>
    <sheet name="Wedstrijdschema" sheetId="6" state="visible" r:id="rId8"/>
    <sheet name="Score briefjes Indoor" sheetId="7" state="visible" r:id="rId9"/>
    <sheet name="Score briefjes 25M1P" sheetId="8" state="visible" r:id="rId10"/>
    <sheet name="Naambriefje" sheetId="9" state="visible" r:id="rId11"/>
  </sheets>
  <definedNames>
    <definedName function="false" hidden="false" localSheetId="8" name="_xlnm.Print_Area" vbProcedure="false">Naambriefje!$A$1:$D$28</definedName>
    <definedName function="false" hidden="false" localSheetId="7" name="_xlnm.Print_Area" vbProcedure="false">'Score briefjes 25M1P'!$A$2:$V$86</definedName>
    <definedName function="false" hidden="false" localSheetId="6" name="_xlnm.Print_Area" vbProcedure="false">'Score briefjes Indoor'!$A$1:$V$97</definedName>
    <definedName function="false" hidden="false" localSheetId="3" name="_xlnm.Print_Area" vbProcedure="false">Scores!$H$2:$AA$14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<sst xmlns="http://schemas.openxmlformats.org/spreadsheetml/2006/main" count="566" uniqueCount="174">
  <si>
    <t xml:space="preserve">Tabblad deelnemers</t>
  </si>
  <si>
    <t xml:space="preserve">Bij aanvang invullen de licht grijze velden:</t>
  </si>
  <si>
    <t xml:space="preserve">Niet vergeten!!</t>
  </si>
  <si>
    <t xml:space="preserve">Dit Excel blad opsturen naar:</t>
  </si>
  <si>
    <t xml:space="preserve">mh-support@handboogsport.nl</t>
  </si>
  <si>
    <t xml:space="preserve">zodat we de uitslag kunnen publiceren op MijnHandboogsport.</t>
  </si>
  <si>
    <t xml:space="preserve">1e baan nummer (veld D4) (zie hieronder de verklaring)</t>
  </si>
  <si>
    <t xml:space="preserve">Indien er gelijktijdig meerdere boogsoorten of klassen wordt verschoten dan worden er meerdere downloads vanuit MijnHandboogsport gedaan. Deze hebben dan alle correcte info in de naam en in het sheet.</t>
  </si>
  <si>
    <t xml:space="preserve">Indien er één boogsoort en klasse wordt verschoten 1e baan invullen als 1, als dit de 1e baan van je indeling is.</t>
  </si>
  <si>
    <t xml:space="preserve">Voor de 2e boogsoort of klasse op tabblad deelnemers het veld achter 1e baan, cel D4, aanpassen naar het baannummer waarop het eerste team van die boogsoort of klasse staat, bijvoorbeeld  9.</t>
  </si>
  <si>
    <t xml:space="preserve">Aantal Aangemelde teams:  cel D5, keuze 2, 3 of 4, 5 of 6, 7 of 8, bepaald het schema. Bij 3 of 4 deelnemende teams schiet men een dubbele ronde, en bij 2 teams schiet men 4 rondes. Zie ook regel 38 en 39</t>
  </si>
  <si>
    <t xml:space="preserve">LET OP: bij afmeldingen vooraf kun je dit aanpassen maar dan moet je ook alle sheets opnieuw afdrukken. Bij een no-show het betreffende team gewoon laten staan, of in het sheet de naam in een bye veranderen en de rest laten zo als het is.</t>
  </si>
  <si>
    <t xml:space="preserve">Bij een no-show waarbij het aantal teams voor de indeling, cel D5, niet veranderd, kun je de naam veranderen in een Bye. Je hoeft dan niets opnieuw te printen en kan gewoon volgens het bestaande schema schieten.</t>
  </si>
  <si>
    <t xml:space="preserve">Bij een no-show waarbij het aantal teams voor de indeling, cel D5, WEL veranderd, moet je het team verwijderen en ervoor zorgen dat de deelnemende teams aan een gesloten in de lijst staan, dus geen lege teams tussen deelnemende teams.</t>
  </si>
  <si>
    <t xml:space="preserve">Vervolgens pas je veld D5, aangemelde teams aan naar de nieuwe indeling en print je de benodigde formulieren opnieuw. Dit moet omdat het schema van schieten hierdoor veranderd.</t>
  </si>
  <si>
    <t xml:space="preserve">tbv deelnemers achter de volgende omschrijving, indien nioet al automatisch gevuld</t>
  </si>
  <si>
    <t xml:space="preserve">Baan 1</t>
  </si>
  <si>
    <t xml:space="preserve">Naam Team</t>
  </si>
  <si>
    <t xml:space="preserve">Verenigingsnummer</t>
  </si>
  <si>
    <t xml:space="preserve">Team info is op voorhand in te vullen n.a.v. de gegevens die van de bond zijn aangeleverd</t>
  </si>
  <si>
    <t xml:space="preserve">Sporter 1</t>
  </si>
  <si>
    <t xml:space="preserve">Naam 1</t>
  </si>
  <si>
    <t xml:space="preserve">Bondsnummer</t>
  </si>
  <si>
    <t xml:space="preserve">Sporters info invullen door de teams het Naambriefje in te laten vullen. Zie tabblad Naambriefje, selecteer de betreffende baan van het bovenste team , print het formulier, snijd of knip het in 2-en, en deel het uit. Dit is vooral handig bij wijziging van teamleden.</t>
  </si>
  <si>
    <t xml:space="preserve">Sporter 2</t>
  </si>
  <si>
    <t xml:space="preserve">Naam 2</t>
  </si>
  <si>
    <t xml:space="preserve">Sporter 3</t>
  </si>
  <si>
    <t xml:space="preserve">Naam 3</t>
  </si>
  <si>
    <t xml:space="preserve">Als de namen ingevuld zijn verschijnt er automatisch in het vak wedstrijden wie tegen wie schiet in welke ronde</t>
  </si>
  <si>
    <t xml:space="preserve">Via het tabblad wedstrijdschema kun je nu ook een overzicht printen wie in welke ronde tegen wie schiet</t>
  </si>
  <si>
    <t xml:space="preserve">Op ditzelfde overzicht staan ook eventueel kleuren welke per ronde boven de betreffende baan gehangen kunnen worden.  Zorg voor papier rood, blauw, groen en geel.</t>
  </si>
  <si>
    <t xml:space="preserve">Deze gekleurde vellen boven de baan kunnen duidelijk maken wie er tegen wie schiet.</t>
  </si>
  <si>
    <t xml:space="preserve">Hierna kan men naar het betreffende tabblad Score briefjes (indoor of 25M1P)</t>
  </si>
  <si>
    <t xml:space="preserve">Vul in ronde 1 (veld Y2) en print 2 exemplaren van de betreffende scorebriefjes</t>
  </si>
  <si>
    <t xml:space="preserve">Vul in ronde 2 (veld Y2) en print 2 exemplaren van de betreffende scorebriefjes</t>
  </si>
  <si>
    <t xml:space="preserve">Vul in ronde 3 (veld Y2) en print 2 exemplaren van de betreffende scorebriefjes</t>
  </si>
  <si>
    <t xml:space="preserve">idem voor ronde 4, 5, 6 en 7</t>
  </si>
  <si>
    <t xml:space="preserve">Bij 3 of 4 deelnemende teams alleen ronde 1, 2 en 3 invullen, en dan 2 keer pagina 1 printen voor een dubbele ronde</t>
  </si>
  <si>
    <t xml:space="preserve">Bij 2 deelnemende teams alleen ronde 1 invullen en pagina 1 dan 4 keer printen voor een 4 dubbele ronde</t>
  </si>
  <si>
    <t xml:space="preserve">Tabblad scores:</t>
  </si>
  <si>
    <t xml:space="preserve">Vul per ronde de gewonnen setpunten in, op het tabblad scores in het vak wedstrijden, zoals vermeld op de scorebriefjes. </t>
  </si>
  <si>
    <t xml:space="preserve">Bij een wedstrijd waarin een team tegen een bye schiet vul je 10-0 in voor het team</t>
  </si>
  <si>
    <t xml:space="preserve">Indien er toch nog 2 bye tegen elkaar schieten, of een bij tegen een no-show, wat eigenlijk niet kan( zie regel 16-20) vul dan de stand 0-0 in. Dan worden er 0 matchpunten toegekend.</t>
  </si>
  <si>
    <t xml:space="preserve">Voor een tussenstand kun je hiervandaan printen. </t>
  </si>
  <si>
    <t xml:space="preserve">Als deze ingevuld zijn verschijnt automatisch  in het vak set/matchpunten de stand van zaken na elke verwerkte score</t>
  </si>
  <si>
    <t xml:space="preserve">Als er na de verwerking van de laatst ronde nog rode cellen staan in het vak set/matchpunten op het score sheet betekent dit dat er een shoot-off of een loting gehouden moet worden.</t>
  </si>
  <si>
    <t xml:space="preserve">Een shoot-off is ALLEEN  voor de plaatsen 1,2 of 3. Voor de plaatsen 4 en lager zullen de teams de plaats delen indien er meerdere teams op dezelfde plaats zijn geëindigd</t>
  </si>
  <si>
    <t xml:space="preserve">Na de de shoot-off kan de score ingevuld worden in de kolom sh-off.</t>
  </si>
  <si>
    <t xml:space="preserve">Tabblad Stand</t>
  </si>
  <si>
    <t xml:space="preserve">Als alle rondes verschoten zijn kan men het tablad stand printen voor de einduitslag</t>
  </si>
  <si>
    <t xml:space="preserve">Als er een foutmelding staat op het tabblad stand dan moet waarschijnlijk er nog een shoot-off ingevuld worden. Zie regel 47-48-49</t>
  </si>
  <si>
    <t xml:space="preserve">RK Teams Rayon 4, 25m 1pijl competitie 2025/2026, Recurve klasse D</t>
  </si>
  <si>
    <t xml:space="preserve">Alleen onderstaande sporters mogen invallen op deze wedstrijd</t>
  </si>
  <si>
    <t xml:space="preserve">- Ze hebben genoeg scores neergezet in de regiocompetitie</t>
  </si>
  <si>
    <t xml:space="preserve">- Ze hebben een toestaan boogtype voor deze team wedstrijdklasse</t>
  </si>
  <si>
    <t xml:space="preserve">Controleer dat de invaller geen hoger gemiddelde heeft</t>
  </si>
  <si>
    <t xml:space="preserve">Controleer dat ze met hetzelfde type boog gaan schieten als hier genoemd</t>
  </si>
  <si>
    <t xml:space="preserve">Controleer dat ze voor hun eigen vereniging invallen</t>
  </si>
  <si>
    <t xml:space="preserve">Kopieer naam en bondsnummer naar het blad Deelnemers</t>
  </si>
  <si>
    <t xml:space="preserve">Regio</t>
  </si>
  <si>
    <t xml:space="preserve">Vereniging</t>
  </si>
  <si>
    <t xml:space="preserve">Sporter</t>
  </si>
  <si>
    <t xml:space="preserve">Gemiddelde</t>
  </si>
  <si>
    <t xml:space="preserve">Boog type</t>
  </si>
  <si>
    <t xml:space="preserve">Notitie</t>
  </si>
  <si>
    <t xml:space="preserve">[5000] Vereniging 1</t>
  </si>
  <si>
    <t xml:space="preserve">8,827</t>
  </si>
  <si>
    <t xml:space="preserve">Recurve</t>
  </si>
  <si>
    <t xml:space="preserve">8,733</t>
  </si>
  <si>
    <t xml:space="preserve">8,033</t>
  </si>
  <si>
    <t xml:space="preserve">Naam 4</t>
  </si>
  <si>
    <t xml:space="preserve">7,927</t>
  </si>
  <si>
    <t xml:space="preserve">Naam 5</t>
  </si>
  <si>
    <t xml:space="preserve">7,407</t>
  </si>
  <si>
    <t xml:space="preserve">Naam 6</t>
  </si>
  <si>
    <t xml:space="preserve">7,313</t>
  </si>
  <si>
    <t xml:space="preserve">Naam 7</t>
  </si>
  <si>
    <t xml:space="preserve">6,827</t>
  </si>
  <si>
    <t xml:space="preserve">Longbow</t>
  </si>
  <si>
    <t xml:space="preserve">Naam 8</t>
  </si>
  <si>
    <t xml:space="preserve">5,153</t>
  </si>
  <si>
    <t xml:space="preserve">Barebow</t>
  </si>
  <si>
    <t xml:space="preserve">[5001] Vereniging 2</t>
  </si>
  <si>
    <t xml:space="preserve">500181</t>
  </si>
  <si>
    <t xml:space="preserve">9,713</t>
  </si>
  <si>
    <t xml:space="preserve">500123</t>
  </si>
  <si>
    <t xml:space="preserve">9,487</t>
  </si>
  <si>
    <t xml:space="preserve">500142</t>
  </si>
  <si>
    <t xml:space="preserve">9,180</t>
  </si>
  <si>
    <t xml:space="preserve">500154</t>
  </si>
  <si>
    <t xml:space="preserve">9,160</t>
  </si>
  <si>
    <t xml:space="preserve">500115</t>
  </si>
  <si>
    <t xml:space="preserve">9,113</t>
  </si>
  <si>
    <t xml:space="preserve">500171</t>
  </si>
  <si>
    <t xml:space="preserve">8,907</t>
  </si>
  <si>
    <t xml:space="preserve">500116</t>
  </si>
  <si>
    <t xml:space="preserve">8,780</t>
  </si>
  <si>
    <t xml:space="preserve">500199</t>
  </si>
  <si>
    <t xml:space="preserve">7,340</t>
  </si>
  <si>
    <t xml:space="preserve">Traditional</t>
  </si>
  <si>
    <t xml:space="preserve">Deze gegevens zijn opgehaald op 2026-03-17 21:20:36</t>
  </si>
  <si>
    <t xml:space="preserve">RK Teams Rayon 4, 25m 1pijl competitie 2025/2026</t>
  </si>
  <si>
    <t xml:space="preserve">Klasse</t>
  </si>
  <si>
    <t xml:space="preserve">Recurve klasse D</t>
  </si>
  <si>
    <t xml:space="preserve">Organisator</t>
  </si>
  <si>
    <t xml:space="preserve">Willem Tell 1921, Kerkrade</t>
  </si>
  <si>
    <t xml:space="preserve">Datum</t>
  </si>
  <si>
    <t xml:space="preserve">2026-04-11</t>
  </si>
  <si>
    <t xml:space="preserve">1e baan:</t>
  </si>
  <si>
    <t xml:space="preserve">Aantal aangemelde teams:</t>
  </si>
  <si>
    <t xml:space="preserve">7 of 8</t>
  </si>
  <si>
    <t xml:space="preserve">Teams</t>
  </si>
  <si>
    <t xml:space="preserve">Naam</t>
  </si>
  <si>
    <t xml:space="preserve">Nummer</t>
  </si>
  <si>
    <t xml:space="preserve">Wedstrijden</t>
  </si>
  <si>
    <t xml:space="preserve">set/matchpunten</t>
  </si>
  <si>
    <t xml:space="preserve">Ronde 1</t>
  </si>
  <si>
    <t xml:space="preserve">Score</t>
  </si>
  <si>
    <t xml:space="preserve">Matchpunten</t>
  </si>
  <si>
    <t xml:space="preserve">Ronde</t>
  </si>
  <si>
    <t xml:space="preserve">Tot.</t>
  </si>
  <si>
    <t xml:space="preserve">Sh-off</t>
  </si>
  <si>
    <t xml:space="preserve">Pos.</t>
  </si>
  <si>
    <t xml:space="preserve">S</t>
  </si>
  <si>
    <t xml:space="preserve">M</t>
  </si>
  <si>
    <t xml:space="preserve">Setp.</t>
  </si>
  <si>
    <t xml:space="preserve">Matchp.</t>
  </si>
  <si>
    <t xml:space="preserve">Ronde 2</t>
  </si>
  <si>
    <t xml:space="preserve">Gesorteerd op rang</t>
  </si>
  <si>
    <t xml:space="preserve">Ronde 3</t>
  </si>
  <si>
    <t xml:space="preserve">Voor printen tussenstand klik op de printer of selecteer afdrukken</t>
  </si>
  <si>
    <t xml:space="preserve">LET OP indien hierboven nog rode cellen zijn dan MOET er een shoot-off geschoten worden</t>
  </si>
  <si>
    <t xml:space="preserve">Dit betreft namelijk medaille plaatsen.</t>
  </si>
  <si>
    <t xml:space="preserve">Kijk goed welke plaatsen tegen elkaar moeten.</t>
  </si>
  <si>
    <t xml:space="preserve">Ronde 4</t>
  </si>
  <si>
    <t xml:space="preserve">Ronde 5</t>
  </si>
  <si>
    <t xml:space="preserve">Ronde 6</t>
  </si>
  <si>
    <t xml:space="preserve">Ronde 7</t>
  </si>
  <si>
    <t xml:space="preserve">Plaats</t>
  </si>
  <si>
    <t xml:space="preserve">Team</t>
  </si>
  <si>
    <t xml:space="preserve">Ver.Nummer</t>
  </si>
  <si>
    <t xml:space="preserve">Shoot-off</t>
  </si>
  <si>
    <t xml:space="preserve">Rayonkampioen</t>
  </si>
  <si>
    <t xml:space="preserve">2e</t>
  </si>
  <si>
    <t xml:space="preserve">Wedstrijd schema</t>
  </si>
  <si>
    <t xml:space="preserve">Deelnemers:</t>
  </si>
  <si>
    <t xml:space="preserve">ronde</t>
  </si>
  <si>
    <t xml:space="preserve">Wedstr 1</t>
  </si>
  <si>
    <t xml:space="preserve">Wedstr 2</t>
  </si>
  <si>
    <t xml:space="preserve">Wedstr 3</t>
  </si>
  <si>
    <t xml:space="preserve">Wedstr 4</t>
  </si>
  <si>
    <t xml:space="preserve">-</t>
  </si>
  <si>
    <t xml:space="preserve">Welke ronde?</t>
  </si>
  <si>
    <t xml:space="preserve">Datum:</t>
  </si>
  <si>
    <t xml:space="preserve">Setpunten per set</t>
  </si>
  <si>
    <t xml:space="preserve">Winst:2 ;Gelijk:1 ;Verlies:0</t>
  </si>
  <si>
    <t xml:space="preserve">Naam:</t>
  </si>
  <si>
    <t xml:space="preserve">Setpunten</t>
  </si>
  <si>
    <t xml:space="preserve">nr</t>
  </si>
  <si>
    <t xml:space="preserve">Sub</t>
  </si>
  <si>
    <t xml:space="preserve">Totaal</t>
  </si>
  <si>
    <t xml:space="preserve">Punten</t>
  </si>
  <si>
    <t xml:space="preserve">Deelnemer</t>
  </si>
  <si>
    <t xml:space="preserve">Handtekening</t>
  </si>
  <si>
    <t xml:space="preserve">Martchpunten</t>
  </si>
  <si>
    <t xml:space="preserve">Controle</t>
  </si>
  <si>
    <t xml:space="preserve">Winnaar</t>
  </si>
  <si>
    <t xml:space="preserve">Naam organisator, Plaats</t>
  </si>
  <si>
    <t xml:space="preserve">Voor printen:</t>
  </si>
  <si>
    <t xml:space="preserve">Selecteer eerst het juiste baannummer</t>
  </si>
  <si>
    <t xml:space="preserve">Bondsnr.</t>
  </si>
  <si>
    <t xml:space="preserve">Schutter 1</t>
  </si>
  <si>
    <t xml:space="preserve">Schutter 2</t>
  </si>
  <si>
    <t xml:space="preserve">Schutter 3</t>
  </si>
</sst>
</file>

<file path=xl/styles.xml><?xml version="1.0" encoding="utf-8"?>
<styleSheet xmlns="http://schemas.openxmlformats.org/spreadsheetml/2006/main">
  <numFmts count="7">
    <numFmt numFmtId="164" formatCode="General"/>
    <numFmt numFmtId="165" formatCode="0.000"/>
    <numFmt numFmtId="166" formatCode="[$-413]d/mmm/yyyy"/>
    <numFmt numFmtId="167" formatCode="0"/>
    <numFmt numFmtId="168" formatCode="0.0"/>
    <numFmt numFmtId="169" formatCode="dd/mm/yyyy"/>
    <numFmt numFmtId="170" formatCode="[$-413]d\ mmmm\ yyyy"/>
  </numFmts>
  <fonts count="34">
    <font>
      <sz val="11"/>
      <color rgb="FF000000"/>
      <name val="Calibri"/>
      <family val="0"/>
      <charset val="1"/>
    </font>
    <font>
      <sz val="10"/>
      <name val="Arial"/>
      <family val="0"/>
    </font>
    <font>
      <sz val="10"/>
      <name val="Arial"/>
      <family val="0"/>
    </font>
    <font>
      <sz val="10"/>
      <name val="Arial"/>
      <family val="0"/>
    </font>
    <font>
      <sz val="11"/>
      <name val="Roboto"/>
      <family val="0"/>
      <charset val="1"/>
    </font>
    <font>
      <b val="true"/>
      <sz val="11"/>
      <name val="Roboto"/>
      <family val="0"/>
      <charset val="1"/>
    </font>
    <font>
      <b val="true"/>
      <sz val="11"/>
      <color rgb="FFFF0000"/>
      <name val="Roboto"/>
      <family val="0"/>
      <charset val="1"/>
    </font>
    <font>
      <sz val="11"/>
      <color rgb="FF000000"/>
      <name val="Roboto"/>
      <family val="0"/>
      <charset val="1"/>
    </font>
    <font>
      <b val="true"/>
      <sz val="11"/>
      <color rgb="FF0000FF"/>
      <name val="Roboto"/>
      <family val="0"/>
      <charset val="1"/>
    </font>
    <font>
      <strike val="true"/>
      <sz val="11"/>
      <color rgb="FFB2B2B2"/>
      <name val="Roboto"/>
      <family val="0"/>
      <charset val="1"/>
    </font>
    <font>
      <sz val="11"/>
      <color rgb="FFB2B2B2"/>
      <name val="Roboto"/>
      <family val="0"/>
      <charset val="1"/>
    </font>
    <font>
      <sz val="10"/>
      <name val="Roboto"/>
      <family val="0"/>
      <charset val="1"/>
    </font>
    <font>
      <b val="true"/>
      <sz val="18"/>
      <name val="Roboto"/>
      <family val="0"/>
      <charset val="1"/>
    </font>
    <font>
      <b val="true"/>
      <sz val="10"/>
      <name val="Roboto"/>
      <family val="0"/>
      <charset val="1"/>
    </font>
    <font>
      <sz val="16"/>
      <color rgb="FFFF0000"/>
      <name val="Roboto"/>
      <family val="0"/>
      <charset val="1"/>
    </font>
    <font>
      <sz val="11"/>
      <color rgb="FFFF0000"/>
      <name val="Roboto"/>
      <family val="0"/>
      <charset val="1"/>
    </font>
    <font>
      <sz val="11"/>
      <name val="Arial"/>
      <family val="2"/>
      <charset val="1"/>
    </font>
    <font>
      <sz val="10"/>
      <name val="Arial"/>
      <family val="2"/>
      <charset val="1"/>
    </font>
    <font>
      <sz val="11"/>
      <name val="Calibri"/>
      <family val="0"/>
      <charset val="1"/>
    </font>
    <font>
      <b val="true"/>
      <sz val="11"/>
      <name val="Calibri"/>
      <family val="2"/>
      <charset val="1"/>
    </font>
    <font>
      <sz val="16"/>
      <name val="Roboto"/>
      <family val="0"/>
      <charset val="1"/>
    </font>
    <font>
      <b val="true"/>
      <sz val="11"/>
      <color rgb="FF0000FF"/>
      <name val="Roboto"/>
      <family val="0"/>
    </font>
    <font>
      <b val="true"/>
      <sz val="16"/>
      <name val="Roboto"/>
      <family val="0"/>
      <charset val="1"/>
    </font>
    <font>
      <b val="true"/>
      <sz val="14"/>
      <name val="Roboto"/>
      <family val="0"/>
      <charset val="1"/>
    </font>
    <font>
      <sz val="11"/>
      <name val="Calibri"/>
      <family val="2"/>
      <charset val="1"/>
    </font>
    <font>
      <sz val="8"/>
      <name val="Arial"/>
      <family val="2"/>
      <charset val="1"/>
    </font>
    <font>
      <b val="true"/>
      <sz val="10"/>
      <name val="Arial"/>
      <family val="2"/>
      <charset val="1"/>
    </font>
    <font>
      <b val="true"/>
      <sz val="8"/>
      <name val="Arial"/>
      <family val="2"/>
      <charset val="1"/>
    </font>
    <font>
      <b val="true"/>
      <sz val="9"/>
      <name val="Arial"/>
      <family val="2"/>
      <charset val="1"/>
    </font>
    <font>
      <sz val="7"/>
      <name val="Arial"/>
      <family val="2"/>
      <charset val="1"/>
    </font>
    <font>
      <b val="true"/>
      <sz val="18"/>
      <color rgb="FF000000"/>
      <name val="Calibri"/>
      <family val="2"/>
      <charset val="1"/>
    </font>
    <font>
      <sz val="16"/>
      <color rgb="FF000000"/>
      <name val="Calibri"/>
      <family val="2"/>
      <charset val="1"/>
    </font>
    <font>
      <b val="true"/>
      <sz val="14"/>
      <color rgb="FF000000"/>
      <name val="Calibri"/>
      <family val="2"/>
      <charset val="1"/>
    </font>
    <font>
      <b val="true"/>
      <sz val="11"/>
      <color rgb="FF000000"/>
      <name val="Calibri"/>
      <family val="2"/>
      <charset val="1"/>
    </font>
  </fonts>
  <fills count="13">
    <fill>
      <patternFill patternType="none"/>
    </fill>
    <fill>
      <patternFill patternType="gray125"/>
    </fill>
    <fill>
      <patternFill patternType="solid">
        <fgColor rgb="FFF2F2F2"/>
        <bgColor rgb="FFFFFFFF"/>
      </patternFill>
    </fill>
    <fill>
      <patternFill patternType="solid">
        <fgColor rgb="FFFFFFA6"/>
        <bgColor rgb="FFF2F2F2"/>
      </patternFill>
    </fill>
    <fill>
      <patternFill patternType="solid">
        <fgColor theme="0" tint="-0.15"/>
        <bgColor rgb="FFD8D8D8"/>
      </patternFill>
    </fill>
    <fill>
      <patternFill patternType="solid">
        <fgColor theme="0"/>
        <bgColor rgb="FFF2F2F2"/>
      </patternFill>
    </fill>
    <fill>
      <patternFill patternType="solid">
        <fgColor rgb="FFFF0000"/>
        <bgColor rgb="FF993300"/>
      </patternFill>
    </fill>
    <fill>
      <patternFill patternType="solid">
        <fgColor rgb="FF00B0F0"/>
        <bgColor rgb="FF33CCCC"/>
      </patternFill>
    </fill>
    <fill>
      <patternFill patternType="solid">
        <fgColor rgb="FF00B050"/>
        <bgColor rgb="FF00A933"/>
      </patternFill>
    </fill>
    <fill>
      <patternFill patternType="solid">
        <fgColor rgb="FFFFFF00"/>
        <bgColor rgb="FFFFFF00"/>
      </patternFill>
    </fill>
    <fill>
      <patternFill patternType="solid">
        <fgColor rgb="FFD8D8D8"/>
        <bgColor rgb="FFD9D9D9"/>
      </patternFill>
    </fill>
    <fill>
      <patternFill patternType="solid">
        <fgColor rgb="FF00A933"/>
        <bgColor rgb="FF00B050"/>
      </patternFill>
    </fill>
    <fill>
      <patternFill patternType="solid">
        <fgColor rgb="FFC6D9F0"/>
        <bgColor rgb="FFD8D8D8"/>
      </patternFill>
    </fill>
  </fills>
  <borders count="70">
    <border diagonalUp="false" diagonalDown="false">
      <left/>
      <right/>
      <top/>
      <bottom/>
      <diagonal/>
    </border>
    <border diagonalUp="false" diagonalDown="false">
      <left style="thin">
        <color rgb="FFFF0000"/>
      </left>
      <right/>
      <top style="thin">
        <color rgb="FFFF0000"/>
      </top>
      <bottom style="thin">
        <color rgb="FFFF0000"/>
      </bottom>
      <diagonal/>
    </border>
    <border diagonalUp="false" diagonalDown="false">
      <left/>
      <right/>
      <top style="thin">
        <color rgb="FFFF0000"/>
      </top>
      <bottom/>
      <diagonal/>
    </border>
    <border diagonalUp="false" diagonalDown="false">
      <left/>
      <right style="thin">
        <color rgb="FFFF0000"/>
      </right>
      <top style="thin">
        <color rgb="FFFF0000"/>
      </top>
      <bottom/>
      <diagonal/>
    </border>
    <border diagonalUp="false" diagonalDown="false">
      <left/>
      <right/>
      <top/>
      <bottom style="thin">
        <color rgb="FFFF0000"/>
      </bottom>
      <diagonal/>
    </border>
    <border diagonalUp="false" diagonalDown="false">
      <left/>
      <right style="thin">
        <color rgb="FFFF0000"/>
      </right>
      <top/>
      <bottom style="thin">
        <color rgb="FFFF0000"/>
      </bottom>
      <diagonal/>
    </border>
    <border diagonalUp="false" diagonalDown="false">
      <left style="medium"/>
      <right/>
      <top/>
      <bottom/>
      <diagonal/>
    </border>
    <border diagonalUp="false" diagonalDown="false">
      <left style="medium"/>
      <right style="medium"/>
      <top style="medium"/>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right style="medium"/>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top style="medium"/>
      <bottom style="medium"/>
      <diagonal/>
    </border>
    <border diagonalUp="false" diagonalDown="false">
      <left/>
      <right/>
      <top style="thin"/>
      <bottom/>
      <diagonal/>
    </border>
    <border diagonalUp="false" diagonalDown="false">
      <left style="medium"/>
      <right/>
      <top/>
      <bottom style="dotted"/>
      <diagonal/>
    </border>
    <border diagonalUp="false" diagonalDown="false">
      <left/>
      <right style="medium"/>
      <top/>
      <bottom style="dotted"/>
      <diagonal/>
    </border>
    <border diagonalUp="false" diagonalDown="false">
      <left/>
      <right/>
      <top/>
      <bottom style="dotted"/>
      <diagonal/>
    </border>
    <border diagonalUp="false" diagonalDown="false">
      <left/>
      <right style="medium"/>
      <top style="thin"/>
      <bottom/>
      <diagonal/>
    </border>
    <border diagonalUp="false" diagonalDown="false">
      <left style="medium"/>
      <right/>
      <top style="dotted"/>
      <bottom style="dotted"/>
      <diagonal/>
    </border>
    <border diagonalUp="false" diagonalDown="false">
      <left/>
      <right style="medium"/>
      <top style="dotted"/>
      <bottom style="dotted"/>
      <diagonal/>
    </border>
    <border diagonalUp="false" diagonalDown="false">
      <left/>
      <right/>
      <top style="dotted"/>
      <bottom style="dotted"/>
      <diagonal/>
    </border>
    <border diagonalUp="false" diagonalDown="false">
      <left style="medium"/>
      <right/>
      <top style="dotted"/>
      <bottom style="medium"/>
      <diagonal/>
    </border>
    <border diagonalUp="false" diagonalDown="false">
      <left/>
      <right style="medium"/>
      <top style="dotted"/>
      <bottom style="medium"/>
      <diagonal/>
    </border>
    <border diagonalUp="false" diagonalDown="false">
      <left/>
      <right/>
      <top style="dotted"/>
      <bottom style="medium"/>
      <diagonal/>
    </border>
    <border diagonalUp="false" diagonalDown="false">
      <left/>
      <right style="medium"/>
      <top/>
      <bottom style="thin"/>
      <diagonal/>
    </border>
    <border diagonalUp="false" diagonalDown="false">
      <left/>
      <right/>
      <top/>
      <bottom style="thin"/>
      <diagonal/>
    </border>
    <border diagonalUp="false" diagonalDown="false">
      <left style="thick"/>
      <right style="thick"/>
      <top style="thick"/>
      <bottom/>
      <diagonal/>
    </border>
    <border diagonalUp="false" diagonalDown="false">
      <left style="thick"/>
      <right style="thick"/>
      <top/>
      <bottom/>
      <diagonal/>
    </border>
    <border diagonalUp="false" diagonalDown="false">
      <left style="thick"/>
      <right style="thick"/>
      <top/>
      <bottom style="thin"/>
      <diagonal/>
    </border>
    <border diagonalUp="false" diagonalDown="false">
      <left style="thick"/>
      <right style="thick"/>
      <top style="thin"/>
      <bottom style="thin"/>
      <diagonal/>
    </border>
    <border diagonalUp="false" diagonalDown="false">
      <left style="thick"/>
      <right/>
      <top/>
      <bottom/>
      <diagonal/>
    </border>
    <border diagonalUp="false" diagonalDown="false">
      <left/>
      <right style="thick"/>
      <top/>
      <bottom/>
      <diagonal/>
    </border>
    <border diagonalUp="false" diagonalDown="false">
      <left style="thick"/>
      <right/>
      <top style="thin"/>
      <bottom/>
      <diagonal/>
    </border>
    <border diagonalUp="false" diagonalDown="false">
      <left style="thick"/>
      <right/>
      <top/>
      <bottom style="thick"/>
      <diagonal/>
    </border>
    <border diagonalUp="false" diagonalDown="false">
      <left/>
      <right/>
      <top/>
      <bottom style="thick"/>
      <diagonal/>
    </border>
    <border diagonalUp="false" diagonalDown="false">
      <left/>
      <right style="thick"/>
      <top/>
      <bottom style="thick"/>
      <diagonal/>
    </border>
    <border diagonalUp="false" diagonalDown="false">
      <left style="thin"/>
      <right/>
      <top style="thin"/>
      <bottom style="thin"/>
      <diagonal/>
    </border>
    <border diagonalUp="false" diagonalDown="false">
      <left style="thin"/>
      <right style="thin"/>
      <top/>
      <bottom/>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thin"/>
      <diagonal/>
    </border>
    <border diagonalUp="false" diagonalDown="false">
      <left style="medium"/>
      <right style="medium"/>
      <top style="medium"/>
      <bottom style="thin"/>
      <diagonal/>
    </border>
    <border diagonalUp="false" diagonalDown="false">
      <left style="medium"/>
      <right style="medium"/>
      <top/>
      <bottom style="thin"/>
      <diagonal/>
    </border>
    <border diagonalUp="false" diagonalDown="false">
      <left/>
      <right style="thick"/>
      <top style="thin"/>
      <bottom style="thin"/>
      <diagonal/>
    </border>
    <border diagonalUp="false" diagonalDown="false">
      <left style="thick"/>
      <right/>
      <top style="thin"/>
      <bottom style="thin"/>
      <diagonal/>
    </border>
    <border diagonalUp="false" diagonalDown="false">
      <left style="medium"/>
      <right style="medium"/>
      <top style="thin"/>
      <bottom style="thin"/>
      <diagonal/>
    </border>
    <border diagonalUp="false" diagonalDown="false">
      <left style="medium"/>
      <right style="medium"/>
      <top style="thin"/>
      <bottom/>
      <diagonal/>
    </border>
    <border diagonalUp="false" diagonalDown="false">
      <left style="medium"/>
      <right style="medium"/>
      <top style="thin"/>
      <bottom style="medium"/>
      <diagonal/>
    </border>
    <border diagonalUp="false" diagonalDown="false">
      <left style="thin"/>
      <right style="thick"/>
      <top style="thick"/>
      <bottom style="thin"/>
      <diagonal/>
    </border>
    <border diagonalUp="false" diagonalDown="false">
      <left style="thick"/>
      <right style="thin"/>
      <top style="thick"/>
      <bottom style="thin"/>
      <diagonal/>
    </border>
    <border diagonalUp="false" diagonalDown="false">
      <left style="medium"/>
      <right style="thick"/>
      <top style="medium"/>
      <bottom style="medium"/>
      <diagonal/>
    </border>
    <border diagonalUp="false" diagonalDown="false">
      <left style="thick"/>
      <right style="medium"/>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4" fillId="3" borderId="2" xfId="0" applyFont="true" applyBorder="true" applyAlignment="false" applyProtection="false">
      <alignment horizontal="general"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4" xfId="0" applyFont="true" applyBorder="true" applyAlignment="false" applyProtection="false">
      <alignment horizontal="general" vertical="bottom" textRotation="0" wrapText="false" indent="0" shrinkToFit="false"/>
      <protection locked="true" hidden="false"/>
    </xf>
    <xf numFmtId="164" fontId="4" fillId="3" borderId="5"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6"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4" borderId="7" xfId="0" applyFont="true" applyBorder="true" applyAlignment="true" applyProtection="true">
      <alignment horizontal="center" vertical="center" textRotation="0" wrapText="false" indent="0" shrinkToFit="false"/>
      <protection locked="fals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fals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4" fillId="5" borderId="8" xfId="0" applyFont="true" applyBorder="true" applyAlignment="true" applyProtection="false">
      <alignment horizontal="left" vertical="center" textRotation="0" wrapText="false" indent="0" shrinkToFit="false"/>
      <protection locked="true" hidden="false"/>
    </xf>
    <xf numFmtId="164" fontId="5" fillId="5" borderId="9" xfId="0" applyFont="true" applyBorder="true" applyAlignment="true" applyProtection="false">
      <alignment horizontal="center" vertical="center" textRotation="0" wrapText="false" indent="0" shrinkToFit="false"/>
      <protection locked="true" hidden="false"/>
    </xf>
    <xf numFmtId="164" fontId="5" fillId="5" borderId="9" xfId="0" applyFont="true" applyBorder="true" applyAlignment="true" applyProtection="false">
      <alignment horizontal="left" vertical="center" textRotation="0" wrapText="false" indent="0" shrinkToFit="false"/>
      <protection locked="true" hidden="false"/>
    </xf>
    <xf numFmtId="165" fontId="5" fillId="5" borderId="9" xfId="0" applyFont="true" applyBorder="true" applyAlignment="true" applyProtection="false">
      <alignment horizontal="left" vertical="center" textRotation="0" wrapText="false" indent="0" shrinkToFit="false"/>
      <protection locked="true" hidden="false"/>
    </xf>
    <xf numFmtId="165" fontId="5" fillId="5" borderId="10" xfId="0" applyFont="true" applyBorder="true" applyAlignment="true" applyProtection="false">
      <alignment horizontal="right" vertical="center" textRotation="0" wrapText="false" indent="0" shrinkToFit="false"/>
      <protection locked="true" hidden="false"/>
    </xf>
    <xf numFmtId="164" fontId="4" fillId="5" borderId="11" xfId="0" applyFont="true" applyBorder="true" applyAlignment="true" applyProtection="false">
      <alignment horizontal="left" vertical="center" textRotation="0" wrapText="false" indent="0" shrinkToFit="false"/>
      <protection locked="true" hidden="false"/>
    </xf>
    <xf numFmtId="164" fontId="5" fillId="5" borderId="12" xfId="0" applyFont="true" applyBorder="true" applyAlignment="true" applyProtection="false">
      <alignment horizontal="center" vertical="center" textRotation="0" wrapText="false" indent="0" shrinkToFit="false"/>
      <protection locked="true" hidden="false"/>
    </xf>
    <xf numFmtId="164" fontId="5" fillId="5" borderId="12" xfId="0" applyFont="true" applyBorder="true" applyAlignment="true" applyProtection="false">
      <alignment horizontal="left" vertical="center" textRotation="0" wrapText="false" indent="0" shrinkToFit="false"/>
      <protection locked="true" hidden="false"/>
    </xf>
    <xf numFmtId="165" fontId="5" fillId="5" borderId="12" xfId="0" applyFont="true" applyBorder="true" applyAlignment="true" applyProtection="false">
      <alignment horizontal="left" vertical="center" textRotation="0" wrapText="false" indent="0" shrinkToFit="false"/>
      <protection locked="true" hidden="false"/>
    </xf>
    <xf numFmtId="165" fontId="5" fillId="5" borderId="13" xfId="0" applyFont="true" applyBorder="true" applyAlignment="true" applyProtection="false">
      <alignment horizontal="left" vertical="center"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false" hidden="false"/>
    </xf>
    <xf numFmtId="165" fontId="4" fillId="0" borderId="0" xfId="0" applyFont="true" applyBorder="false" applyAlignment="true" applyProtection="true">
      <alignment horizontal="left" vertical="bottom" textRotation="0" wrapText="false" indent="0" shrinkToFit="false"/>
      <protection locked="fals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0" borderId="6"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true">
      <alignment horizontal="center" vertical="bottom" textRotation="0" wrapText="false" indent="0" shrinkToFit="false"/>
      <protection locked="false" hidden="false"/>
    </xf>
    <xf numFmtId="166" fontId="4" fillId="0" borderId="15" xfId="0" applyFont="true" applyBorder="true" applyAlignment="true" applyProtection="true">
      <alignment horizontal="center" vertical="bottom" textRotation="0" wrapText="false" indent="0" shrinkToFit="false"/>
      <protection locked="fals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5" fillId="2" borderId="14" xfId="0" applyFont="true" applyBorder="true" applyAlignment="true" applyProtection="true">
      <alignment horizontal="center" vertical="bottom" textRotation="0" wrapText="false" indent="0" shrinkToFit="false"/>
      <protection locked="false" hidden="false"/>
    </xf>
    <xf numFmtId="164" fontId="5" fillId="0" borderId="15" xfId="0" applyFont="true" applyBorder="true" applyAlignment="true" applyProtection="false">
      <alignment horizontal="right" vertical="center" textRotation="0" wrapText="false" indent="0" shrinkToFit="false"/>
      <protection locked="true" hidden="false"/>
    </xf>
    <xf numFmtId="167" fontId="5" fillId="2" borderId="16" xfId="0" applyFont="true" applyBorder="true" applyAlignment="true" applyProtection="true">
      <alignment horizontal="center" vertical="bottom" textRotation="0" wrapText="false" indent="0" shrinkToFit="false"/>
      <protection locked="false" hidden="false"/>
    </xf>
    <xf numFmtId="164" fontId="19" fillId="0" borderId="6" xfId="0" applyFont="true" applyBorder="true" applyAlignment="false" applyProtection="false">
      <alignment horizontal="general"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5" fillId="0" borderId="6" xfId="0" applyFont="true" applyBorder="true" applyAlignment="false" applyProtection="false">
      <alignment horizontal="general" vertical="bottom" textRotation="0" wrapText="false" indent="0" shrinkToFit="false"/>
      <protection locked="true" hidden="false"/>
    </xf>
    <xf numFmtId="164" fontId="4" fillId="2" borderId="18" xfId="0" applyFont="true" applyBorder="true" applyAlignment="false" applyProtection="true">
      <alignment horizontal="general" vertical="bottom" textRotation="0" wrapText="false" indent="0" shrinkToFit="false"/>
      <protection locked="false" hidden="false"/>
    </xf>
    <xf numFmtId="164" fontId="4" fillId="2" borderId="19" xfId="0" applyFont="true" applyBorder="true" applyAlignment="false" applyProtection="true">
      <alignment horizontal="general" vertical="bottom" textRotation="0" wrapText="false" indent="0" shrinkToFit="false"/>
      <protection locked="false" hidden="false"/>
    </xf>
    <xf numFmtId="164" fontId="4" fillId="0" borderId="17" xfId="0" applyFont="true" applyBorder="true" applyAlignment="true" applyProtection="true">
      <alignment horizontal="left" vertical="bottom" textRotation="0" wrapText="false" indent="0" shrinkToFit="false"/>
      <protection locked="false" hidden="false"/>
    </xf>
    <xf numFmtId="164" fontId="4" fillId="2" borderId="20" xfId="0" applyFont="true" applyBorder="true" applyAlignment="false" applyProtection="true">
      <alignment horizontal="general" vertical="bottom" textRotation="0" wrapText="false" indent="0" shrinkToFit="false"/>
      <protection locked="false" hidden="false"/>
    </xf>
    <xf numFmtId="164" fontId="4" fillId="2" borderId="21" xfId="0" applyFont="true" applyBorder="true" applyAlignment="false" applyProtection="true">
      <alignment horizontal="general" vertical="bottom" textRotation="0" wrapText="false" indent="0" shrinkToFit="false"/>
      <protection locked="false" hidden="false"/>
    </xf>
    <xf numFmtId="164" fontId="4" fillId="2" borderId="22" xfId="0" applyFont="true" applyBorder="true" applyAlignment="false" applyProtection="true">
      <alignment horizontal="general" vertical="bottom" textRotation="0" wrapText="false" indent="0" shrinkToFit="false"/>
      <protection locked="false" hidden="false"/>
    </xf>
    <xf numFmtId="164" fontId="4" fillId="2" borderId="23" xfId="0" applyFont="true" applyBorder="true" applyAlignment="false" applyProtection="true">
      <alignment horizontal="general" vertical="bottom" textRotation="0" wrapText="false" indent="0" shrinkToFit="false"/>
      <protection locked="false" hidden="false"/>
    </xf>
    <xf numFmtId="164" fontId="18" fillId="0" borderId="11" xfId="0" applyFont="true" applyBorder="true" applyAlignment="false" applyProtection="false">
      <alignment horizontal="general" vertical="bottom" textRotation="0" wrapText="false" indent="0" shrinkToFit="false"/>
      <protection locked="true" hidden="false"/>
    </xf>
    <xf numFmtId="164" fontId="18" fillId="0" borderId="12" xfId="0" applyFont="true" applyBorder="true" applyAlignment="false" applyProtection="false">
      <alignment horizontal="general" vertical="bottom" textRotation="0" wrapText="false" indent="0" shrinkToFit="false"/>
      <protection locked="true" hidden="false"/>
    </xf>
    <xf numFmtId="164" fontId="18" fillId="0" borderId="1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false" applyProtection="false">
      <alignment horizontal="general" vertical="bottom" textRotation="0" wrapText="false" indent="0" shrinkToFit="false"/>
      <protection locked="true" hidden="false"/>
    </xf>
    <xf numFmtId="164" fontId="5" fillId="0" borderId="25" xfId="0" applyFont="true" applyBorder="true" applyAlignment="true" applyProtection="false">
      <alignment horizontal="center" vertical="bottom" textRotation="0" wrapText="false" indent="0" shrinkToFit="false"/>
      <protection locked="true" hidden="false"/>
    </xf>
    <xf numFmtId="164" fontId="5" fillId="0" borderId="8" xfId="0" applyFont="true" applyBorder="true" applyAlignment="false" applyProtection="false">
      <alignment horizontal="general" vertical="bottom" textRotation="0" wrapText="false" indent="0" shrinkToFit="false"/>
      <protection locked="true" hidden="false"/>
    </xf>
    <xf numFmtId="164" fontId="5" fillId="0" borderId="8"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9" xfId="0" applyFont="true" applyBorder="true" applyAlignment="fals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4" fontId="5" fillId="0" borderId="6"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false" applyProtection="false">
      <alignment horizontal="general" vertical="bottom" textRotation="0" wrapText="false" indent="0" shrinkToFit="false"/>
      <protection locked="true" hidden="false"/>
    </xf>
    <xf numFmtId="167" fontId="4" fillId="0" borderId="0" xfId="0" applyFont="true" applyBorder="true" applyAlignment="true" applyProtection="false">
      <alignment horizontal="center" vertical="bottom"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false" applyProtection="false">
      <alignment horizontal="general" vertical="bottom" textRotation="0" wrapText="false" indent="0" shrinkToFit="false"/>
      <protection locked="true" hidden="false"/>
    </xf>
    <xf numFmtId="164" fontId="5" fillId="6" borderId="6" xfId="0" applyFont="true" applyBorder="true" applyAlignment="false" applyProtection="false">
      <alignment horizontal="general" vertical="bottom" textRotation="0" wrapText="false" indent="0" shrinkToFit="false"/>
      <protection locked="true" hidden="false"/>
    </xf>
    <xf numFmtId="164" fontId="4" fillId="2" borderId="18" xfId="0" applyFont="true" applyBorder="true" applyAlignment="true" applyProtection="true">
      <alignment horizontal="center" vertical="bottom" textRotation="0" wrapText="false" indent="0" shrinkToFit="false"/>
      <protection locked="false" hidden="false"/>
    </xf>
    <xf numFmtId="164" fontId="4" fillId="2" borderId="19" xfId="0" applyFont="true" applyBorder="true" applyAlignment="true" applyProtection="true">
      <alignment horizontal="center" vertical="bottom" textRotation="0" wrapText="false" indent="0" shrinkToFit="false"/>
      <protection locked="false" hidden="false"/>
    </xf>
    <xf numFmtId="164" fontId="4" fillId="0" borderId="25" xfId="0" applyFont="true" applyBorder="true" applyAlignment="false" applyProtection="false">
      <alignment horizontal="general" vertical="bottom" textRotation="0" wrapText="false" indent="0" shrinkToFit="false"/>
      <protection locked="true" hidden="false"/>
    </xf>
    <xf numFmtId="164" fontId="4" fillId="0" borderId="24"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center" vertical="bottom" textRotation="0" wrapText="false" indent="0" shrinkToFit="false"/>
      <protection locked="true" hidden="false"/>
    </xf>
    <xf numFmtId="164" fontId="4" fillId="0" borderId="26"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false" applyProtection="false">
      <alignment horizontal="general" vertical="bottom" textRotation="0" wrapText="false" indent="0" shrinkToFit="false"/>
      <protection locked="true" hidden="false"/>
    </xf>
    <xf numFmtId="164" fontId="4" fillId="0" borderId="13" xfId="0" applyFont="true" applyBorder="true" applyAlignment="false" applyProtection="false">
      <alignment horizontal="general" vertical="bottom" textRotation="0" wrapText="false" indent="0" shrinkToFit="false"/>
      <protection locked="true" hidden="false"/>
    </xf>
    <xf numFmtId="164" fontId="4" fillId="0" borderId="18" xfId="0" applyFont="true" applyBorder="true" applyAlignment="false" applyProtection="false">
      <alignment horizontal="general" vertical="bottom" textRotation="0" wrapText="false" indent="0" shrinkToFit="false"/>
      <protection locked="true" hidden="false"/>
    </xf>
    <xf numFmtId="164" fontId="4" fillId="0" borderId="27" xfId="0" applyFont="true" applyBorder="true" applyAlignment="false" applyProtection="false">
      <alignment horizontal="general" vertical="bottom" textRotation="0" wrapText="false" indent="0" shrinkToFit="false"/>
      <protection locked="true" hidden="false"/>
    </xf>
    <xf numFmtId="164" fontId="4" fillId="0" borderId="19" xfId="0" applyFont="true" applyBorder="true" applyAlignment="false" applyProtection="false">
      <alignment horizontal="general" vertical="bottom" textRotation="0" wrapText="false" indent="0" shrinkToFit="false"/>
      <protection locked="true" hidden="false"/>
    </xf>
    <xf numFmtId="164" fontId="5" fillId="7" borderId="6" xfId="0" applyFont="true" applyBorder="true" applyAlignment="false" applyProtection="false">
      <alignment horizontal="general" vertical="bottom" textRotation="0" wrapText="false" indent="0" shrinkToFit="false"/>
      <protection locked="true" hidden="false"/>
    </xf>
    <xf numFmtId="164" fontId="4" fillId="2" borderId="20" xfId="0" applyFont="true" applyBorder="true" applyAlignment="true" applyProtection="true">
      <alignment horizontal="center" vertical="bottom" textRotation="0" wrapText="false" indent="0" shrinkToFit="false"/>
      <protection locked="false" hidden="false"/>
    </xf>
    <xf numFmtId="164" fontId="4" fillId="2" borderId="21" xfId="0" applyFont="true" applyBorder="true" applyAlignment="true" applyProtection="true">
      <alignment horizontal="center" vertical="bottom" textRotation="0" wrapText="false" indent="0" shrinkToFit="false"/>
      <protection locked="false" hidden="false"/>
    </xf>
    <xf numFmtId="164" fontId="4" fillId="0" borderId="6"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false" applyProtection="false">
      <alignment horizontal="general" vertical="bottom" textRotation="0" wrapText="false" indent="0" shrinkToFit="false"/>
      <protection locked="true" hidden="false"/>
    </xf>
    <xf numFmtId="164" fontId="4" fillId="0" borderId="29" xfId="0" applyFont="true" applyBorder="true" applyAlignment="false" applyProtection="false">
      <alignment horizontal="general" vertical="bottom" textRotation="0" wrapText="false" indent="0" shrinkToFit="false"/>
      <protection locked="true" hidden="false"/>
    </xf>
    <xf numFmtId="164" fontId="4" fillId="0" borderId="28" xfId="0" applyFont="true" applyBorder="true" applyAlignment="true" applyProtection="false">
      <alignment horizontal="center" vertical="bottom" textRotation="0" wrapText="false" indent="0" shrinkToFit="false"/>
      <protection locked="true" hidden="false"/>
    </xf>
    <xf numFmtId="164" fontId="4" fillId="0" borderId="29" xfId="0" applyFont="true" applyBorder="true" applyAlignment="true" applyProtection="false">
      <alignment horizontal="center" vertical="bottom" textRotation="0" wrapText="false" indent="0" shrinkToFit="false"/>
      <protection locked="true" hidden="false"/>
    </xf>
    <xf numFmtId="167" fontId="4" fillId="0" borderId="28" xfId="0" applyFont="true" applyBorder="true" applyAlignment="true" applyProtection="false">
      <alignment horizontal="center" vertical="bottom" textRotation="0" wrapText="false" indent="0" shrinkToFit="false"/>
      <protection locked="true" hidden="false"/>
    </xf>
    <xf numFmtId="167" fontId="4" fillId="0" borderId="29" xfId="0" applyFont="true" applyBorder="true" applyAlignment="true" applyProtection="false">
      <alignment horizontal="center" vertical="bottom" textRotation="0" wrapText="false" indent="0" shrinkToFit="false"/>
      <protection locked="true" hidden="false"/>
    </xf>
    <xf numFmtId="167" fontId="4" fillId="0" borderId="30" xfId="0" applyFont="true" applyBorder="true" applyAlignment="true" applyProtection="false">
      <alignment horizontal="center" vertical="bottom" textRotation="0" wrapText="false" indent="0" shrinkToFit="false"/>
      <protection locked="true" hidden="false"/>
    </xf>
    <xf numFmtId="167" fontId="4" fillId="0" borderId="28" xfId="0" applyFont="true" applyBorder="true" applyAlignment="false" applyProtection="false">
      <alignment horizontal="general" vertical="bottom" textRotation="0" wrapText="false" indent="0" shrinkToFit="false"/>
      <protection locked="true" hidden="false"/>
    </xf>
    <xf numFmtId="167" fontId="4" fillId="0" borderId="29" xfId="0" applyFont="true" applyBorder="true" applyAlignment="false" applyProtection="false">
      <alignment horizontal="general" vertical="bottom" textRotation="0" wrapText="false" indent="0" shrinkToFit="false"/>
      <protection locked="true" hidden="false"/>
    </xf>
    <xf numFmtId="167" fontId="4" fillId="2" borderId="31" xfId="0" applyFont="true" applyBorder="true" applyAlignment="false" applyProtection="true">
      <alignment horizontal="general" vertical="bottom" textRotation="0" wrapText="false" indent="0" shrinkToFit="false"/>
      <protection locked="false" hidden="false"/>
    </xf>
    <xf numFmtId="164" fontId="4" fillId="0" borderId="20" xfId="0" applyFont="true" applyBorder="true" applyAlignment="false" applyProtection="false">
      <alignment horizontal="general" vertical="bottom" textRotation="0" wrapText="fals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xf numFmtId="167" fontId="4" fillId="0" borderId="21" xfId="0" applyFont="true" applyBorder="true" applyAlignment="false" applyProtection="false">
      <alignment horizontal="general" vertical="bottom" textRotation="0" wrapText="false" indent="0" shrinkToFit="false"/>
      <protection locked="true" hidden="false"/>
    </xf>
    <xf numFmtId="164" fontId="5" fillId="8" borderId="6" xfId="0" applyFont="true" applyBorder="true" applyAlignment="false" applyProtection="false">
      <alignment horizontal="general" vertical="bottom" textRotation="0" wrapText="false" indent="0" shrinkToFit="false"/>
      <protection locked="true" hidden="false"/>
    </xf>
    <xf numFmtId="164" fontId="4" fillId="0" borderId="32" xfId="0" applyFont="true" applyBorder="true" applyAlignment="false" applyProtection="false">
      <alignment horizontal="general" vertical="bottom" textRotation="0" wrapText="false" indent="0" shrinkToFit="false"/>
      <protection locked="true" hidden="false"/>
    </xf>
    <xf numFmtId="164" fontId="4" fillId="0" borderId="33" xfId="0" applyFont="true" applyBorder="true" applyAlignment="false" applyProtection="false">
      <alignment horizontal="general" vertical="bottom" textRotation="0" wrapText="false" indent="0" shrinkToFit="false"/>
      <protection locked="true" hidden="false"/>
    </xf>
    <xf numFmtId="164" fontId="4" fillId="0" borderId="32" xfId="0" applyFont="true" applyBorder="true" applyAlignment="true" applyProtection="false">
      <alignment horizontal="center" vertical="bottom" textRotation="0" wrapText="false" indent="0" shrinkToFit="false"/>
      <protection locked="true" hidden="false"/>
    </xf>
    <xf numFmtId="164" fontId="4" fillId="0" borderId="33" xfId="0" applyFont="true" applyBorder="true" applyAlignment="true" applyProtection="false">
      <alignment horizontal="center" vertical="bottom" textRotation="0" wrapText="false" indent="0" shrinkToFit="false"/>
      <protection locked="true" hidden="false"/>
    </xf>
    <xf numFmtId="167" fontId="4" fillId="0" borderId="32" xfId="0" applyFont="true" applyBorder="true" applyAlignment="true" applyProtection="false">
      <alignment horizontal="center" vertical="bottom" textRotation="0" wrapText="false" indent="0" shrinkToFit="false"/>
      <protection locked="true" hidden="false"/>
    </xf>
    <xf numFmtId="167" fontId="4" fillId="0" borderId="33" xfId="0" applyFont="true" applyBorder="true" applyAlignment="true" applyProtection="false">
      <alignment horizontal="center" vertical="bottom" textRotation="0" wrapText="false" indent="0" shrinkToFit="false"/>
      <protection locked="true" hidden="false"/>
    </xf>
    <xf numFmtId="167" fontId="4" fillId="0" borderId="34" xfId="0" applyFont="true" applyBorder="true" applyAlignment="true" applyProtection="false">
      <alignment horizontal="center" vertical="bottom" textRotation="0" wrapText="false" indent="0" shrinkToFit="false"/>
      <protection locked="true" hidden="false"/>
    </xf>
    <xf numFmtId="167" fontId="4" fillId="0" borderId="32" xfId="0" applyFont="true" applyBorder="true" applyAlignment="false" applyProtection="false">
      <alignment horizontal="general" vertical="bottom" textRotation="0" wrapText="false" indent="0" shrinkToFit="false"/>
      <protection locked="true" hidden="false"/>
    </xf>
    <xf numFmtId="167" fontId="4" fillId="0" borderId="33" xfId="0" applyFont="true" applyBorder="true" applyAlignment="false" applyProtection="false">
      <alignment horizontal="general" vertical="bottom" textRotation="0" wrapText="false" indent="0" shrinkToFit="false"/>
      <protection locked="true" hidden="false"/>
    </xf>
    <xf numFmtId="167" fontId="4" fillId="2" borderId="17" xfId="0" applyFont="true" applyBorder="true" applyAlignment="false" applyProtection="true">
      <alignment horizontal="general" vertical="bottom" textRotation="0" wrapText="false" indent="0" shrinkToFit="false"/>
      <protection locked="false" hidden="false"/>
    </xf>
    <xf numFmtId="164" fontId="5" fillId="9" borderId="6" xfId="0" applyFont="true" applyBorder="true" applyAlignment="false" applyProtection="false">
      <alignment horizontal="general" vertical="bottom" textRotation="0" wrapText="false" indent="0" shrinkToFit="false"/>
      <protection locked="true" hidden="false"/>
    </xf>
    <xf numFmtId="164" fontId="4" fillId="2" borderId="22" xfId="0" applyFont="true" applyBorder="true" applyAlignment="true" applyProtection="true">
      <alignment horizontal="center" vertical="bottom" textRotation="0" wrapText="false" indent="0" shrinkToFit="false"/>
      <protection locked="false" hidden="false"/>
    </xf>
    <xf numFmtId="164" fontId="4" fillId="2" borderId="23" xfId="0" applyFont="true" applyBorder="true" applyAlignment="true" applyProtection="true">
      <alignment horizontal="center" vertical="bottom" textRotation="0" wrapText="false" indent="0" shrinkToFit="false"/>
      <protection locked="false" hidden="false"/>
    </xf>
    <xf numFmtId="164" fontId="4" fillId="0" borderId="35" xfId="0" applyFont="true" applyBorder="true" applyAlignment="false" applyProtection="false">
      <alignment horizontal="general" vertical="bottom" textRotation="0" wrapText="false" indent="0" shrinkToFit="false"/>
      <protection locked="true" hidden="false"/>
    </xf>
    <xf numFmtId="164" fontId="4" fillId="0" borderId="36" xfId="0" applyFont="true" applyBorder="true" applyAlignment="false" applyProtection="false">
      <alignment horizontal="general" vertical="bottom" textRotation="0" wrapText="false" indent="0" shrinkToFit="false"/>
      <protection locked="true" hidden="false"/>
    </xf>
    <xf numFmtId="164" fontId="4" fillId="0" borderId="35" xfId="0" applyFont="true" applyBorder="true" applyAlignment="true" applyProtection="false">
      <alignment horizontal="center" vertical="bottom" textRotation="0" wrapText="false" indent="0" shrinkToFit="false"/>
      <protection locked="true" hidden="false"/>
    </xf>
    <xf numFmtId="164" fontId="4" fillId="0" borderId="36" xfId="0" applyFont="true" applyBorder="true" applyAlignment="true" applyProtection="false">
      <alignment horizontal="center" vertical="bottom" textRotation="0" wrapText="false" indent="0" shrinkToFit="false"/>
      <protection locked="true" hidden="false"/>
    </xf>
    <xf numFmtId="167" fontId="4" fillId="0" borderId="35" xfId="0" applyFont="true" applyBorder="true" applyAlignment="true" applyProtection="false">
      <alignment horizontal="center" vertical="bottom" textRotation="0" wrapText="false" indent="0" shrinkToFit="false"/>
      <protection locked="true" hidden="false"/>
    </xf>
    <xf numFmtId="167" fontId="4" fillId="0" borderId="36" xfId="0" applyFont="true" applyBorder="true" applyAlignment="true" applyProtection="false">
      <alignment horizontal="center" vertical="bottom" textRotation="0" wrapText="false" indent="0" shrinkToFit="false"/>
      <protection locked="true" hidden="false"/>
    </xf>
    <xf numFmtId="167" fontId="4" fillId="0" borderId="37" xfId="0" applyFont="true" applyBorder="true" applyAlignment="true" applyProtection="false">
      <alignment horizontal="center" vertical="bottom" textRotation="0" wrapText="false" indent="0" shrinkToFit="false"/>
      <protection locked="true" hidden="false"/>
    </xf>
    <xf numFmtId="167" fontId="4" fillId="0" borderId="35" xfId="0" applyFont="true" applyBorder="true" applyAlignment="false" applyProtection="false">
      <alignment horizontal="general" vertical="bottom" textRotation="0" wrapText="false" indent="0" shrinkToFit="false"/>
      <protection locked="true" hidden="false"/>
    </xf>
    <xf numFmtId="167" fontId="4" fillId="0" borderId="36" xfId="0" applyFont="true" applyBorder="true" applyAlignment="false" applyProtection="false">
      <alignment horizontal="general" vertical="bottom" textRotation="0" wrapText="false" indent="0" shrinkToFit="false"/>
      <protection locked="true" hidden="false"/>
    </xf>
    <xf numFmtId="167" fontId="4" fillId="2" borderId="38" xfId="0" applyFont="true" applyBorder="true" applyAlignment="false" applyProtection="true">
      <alignment horizontal="general" vertical="bottom" textRotation="0" wrapText="false" indent="0" shrinkToFit="false"/>
      <protection locked="false" hidden="false"/>
    </xf>
    <xf numFmtId="164" fontId="4" fillId="0" borderId="22" xfId="0" applyFont="true" applyBorder="true" applyAlignment="false" applyProtection="false">
      <alignment horizontal="general" vertical="bottom" textRotation="0" wrapText="false" indent="0" shrinkToFit="false"/>
      <protection locked="true" hidden="false"/>
    </xf>
    <xf numFmtId="164" fontId="4" fillId="0" borderId="39" xfId="0" applyFont="true" applyBorder="true" applyAlignment="false" applyProtection="false">
      <alignment horizontal="general" vertical="bottom" textRotation="0" wrapText="false" indent="0" shrinkToFit="false"/>
      <protection locked="true" hidden="false"/>
    </xf>
    <xf numFmtId="168" fontId="4" fillId="0" borderId="39" xfId="0" applyFont="true" applyBorder="true" applyAlignment="false" applyProtection="false">
      <alignment horizontal="general" vertical="bottom" textRotation="0" wrapText="false" indent="0" shrinkToFit="false"/>
      <protection locked="true" hidden="false"/>
    </xf>
    <xf numFmtId="167" fontId="4" fillId="0" borderId="23" xfId="0" applyFont="true" applyBorder="true" applyAlignment="false" applyProtection="false">
      <alignment horizontal="general" vertical="bottom" textRotation="0" wrapText="false" indent="0" shrinkToFit="false"/>
      <protection locked="true" hidden="false"/>
    </xf>
    <xf numFmtId="164" fontId="4" fillId="0" borderId="12"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4" fillId="0" borderId="23" xfId="0" applyFont="true" applyBorder="true" applyAlignment="false" applyProtection="false">
      <alignment horizontal="general" vertical="bottom" textRotation="0" wrapText="false" indent="0" shrinkToFit="false"/>
      <protection locked="true" hidden="false"/>
    </xf>
    <xf numFmtId="167" fontId="4" fillId="0" borderId="12"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true" applyAlignment="true" applyProtection="false">
      <alignment horizontal="center" vertical="bottom" textRotation="0" wrapText="false" indent="0" shrinkToFit="false"/>
      <protection locked="true" hidden="false"/>
    </xf>
    <xf numFmtId="166" fontId="20" fillId="0" borderId="0" xfId="0" applyFont="true" applyBorder="true" applyAlignment="true" applyProtection="false">
      <alignment horizontal="center" vertical="bottom" textRotation="0" wrapText="false" indent="0" shrinkToFit="false"/>
      <protection locked="true" hidden="false"/>
    </xf>
    <xf numFmtId="164" fontId="21" fillId="3" borderId="2" xfId="0" applyFont="true" applyBorder="true" applyAlignment="false" applyProtection="false">
      <alignment horizontal="general" vertical="bottom" textRotation="0" wrapText="false" indent="0" shrinkToFit="false"/>
      <protection locked="true" hidden="false"/>
    </xf>
    <xf numFmtId="164" fontId="22" fillId="0" borderId="40" xfId="0" applyFont="true" applyBorder="true" applyAlignment="true" applyProtection="false">
      <alignment horizontal="center" vertical="bottom"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9" fontId="4" fillId="0" borderId="42" xfId="0" applyFont="true" applyBorder="true" applyAlignment="true" applyProtection="false">
      <alignment horizontal="center" vertical="bottom" textRotation="0" wrapText="false" indent="0" shrinkToFit="false"/>
      <protection locked="true" hidden="false"/>
    </xf>
    <xf numFmtId="164" fontId="23" fillId="0" borderId="43" xfId="0" applyFont="true" applyBorder="true" applyAlignment="true" applyProtection="false">
      <alignment horizontal="center" vertical="bottom" textRotation="0" wrapText="false" indent="0" shrinkToFit="false"/>
      <protection locked="true" hidden="false"/>
    </xf>
    <xf numFmtId="164" fontId="4" fillId="6" borderId="44" xfId="0" applyFont="true" applyBorder="true" applyAlignment="true" applyProtection="false">
      <alignment horizontal="center" vertical="bottom" textRotation="0" wrapText="false" indent="0" shrinkToFit="false"/>
      <protection locked="true" hidden="false"/>
    </xf>
    <xf numFmtId="164" fontId="4" fillId="6"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4" fillId="0" borderId="45" xfId="0" applyFont="true" applyBorder="true" applyAlignment="true" applyProtection="false">
      <alignment horizontal="left" vertical="bottom" textRotation="0" wrapText="false" indent="0" shrinkToFit="false"/>
      <protection locked="true" hidden="false"/>
    </xf>
    <xf numFmtId="164" fontId="4" fillId="7" borderId="44" xfId="0" applyFont="true" applyBorder="true" applyAlignment="true" applyProtection="false">
      <alignment horizontal="center" vertical="bottom" textRotation="0" wrapText="false" indent="0" shrinkToFit="false"/>
      <protection locked="true" hidden="false"/>
    </xf>
    <xf numFmtId="164" fontId="4" fillId="7" borderId="0" xfId="0" applyFont="true" applyBorder="false" applyAlignment="true" applyProtection="false">
      <alignment horizontal="center" vertical="bottom" textRotation="0" wrapText="false" indent="0" shrinkToFit="false"/>
      <protection locked="true" hidden="false"/>
    </xf>
    <xf numFmtId="164" fontId="4" fillId="8" borderId="44" xfId="0" applyFont="true" applyBorder="true" applyAlignment="true" applyProtection="false">
      <alignment horizontal="center" vertical="bottom" textRotation="0" wrapText="false" indent="0" shrinkToFit="false"/>
      <protection locked="true" hidden="false"/>
    </xf>
    <xf numFmtId="164" fontId="4" fillId="8" borderId="0" xfId="0" applyFont="true" applyBorder="false" applyAlignment="true" applyProtection="false">
      <alignment horizontal="center" vertical="bottom" textRotation="0" wrapText="false" indent="0" shrinkToFit="false"/>
      <protection locked="true" hidden="false"/>
    </xf>
    <xf numFmtId="164" fontId="4" fillId="9" borderId="44" xfId="0" applyFont="true" applyBorder="true" applyAlignment="true" applyProtection="false">
      <alignment horizontal="center" vertical="bottom" textRotation="0" wrapText="false" indent="0" shrinkToFit="false"/>
      <protection locked="true" hidden="false"/>
    </xf>
    <xf numFmtId="164" fontId="4" fillId="9" borderId="0" xfId="0" applyFont="true" applyBorder="false" applyAlignment="true" applyProtection="false">
      <alignment horizontal="center" vertical="bottom" textRotation="0" wrapText="false" indent="0" shrinkToFit="false"/>
      <protection locked="true" hidden="false"/>
    </xf>
    <xf numFmtId="164" fontId="4" fillId="0" borderId="44" xfId="0" applyFont="true" applyBorder="true" applyAlignment="true" applyProtection="false">
      <alignment horizontal="center" vertical="bottom" textRotation="0" wrapText="false" indent="0" shrinkToFit="false"/>
      <protection locked="true" hidden="false"/>
    </xf>
    <xf numFmtId="164" fontId="4" fillId="0" borderId="45" xfId="0" applyFont="true" applyBorder="true" applyAlignment="false" applyProtection="false">
      <alignment horizontal="general" vertical="bottom" textRotation="0" wrapText="false" indent="0" shrinkToFit="false"/>
      <protection locked="true" hidden="false"/>
    </xf>
    <xf numFmtId="164" fontId="4" fillId="6" borderId="46" xfId="0" applyFont="true" applyBorder="true" applyAlignment="true" applyProtection="false">
      <alignment horizontal="center" vertical="bottom" textRotation="0" wrapText="false" indent="0" shrinkToFit="false"/>
      <protection locked="true" hidden="false"/>
    </xf>
    <xf numFmtId="164" fontId="4" fillId="6" borderId="27" xfId="0" applyFont="true" applyBorder="true" applyAlignment="true" applyProtection="false">
      <alignment horizontal="center" vertical="bottom" textRotation="0" wrapText="false" indent="0" shrinkToFit="false"/>
      <protection locked="true" hidden="false"/>
    </xf>
    <xf numFmtId="164" fontId="4" fillId="9" borderId="47" xfId="0" applyFont="true" applyBorder="true" applyAlignment="true" applyProtection="false">
      <alignment horizontal="center" vertical="bottom" textRotation="0" wrapText="false" indent="0" shrinkToFit="false"/>
      <protection locked="true" hidden="false"/>
    </xf>
    <xf numFmtId="164" fontId="4" fillId="9" borderId="48"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right" vertical="bottom" textRotation="0" wrapText="false" indent="0" shrinkToFit="false"/>
      <protection locked="true" hidden="false"/>
    </xf>
    <xf numFmtId="164" fontId="4" fillId="0" borderId="48" xfId="0" applyFont="true" applyBorder="true" applyAlignment="false" applyProtection="false">
      <alignment horizontal="general" vertical="bottom" textRotation="0" wrapText="false" indent="0" shrinkToFit="false"/>
      <protection locked="true" hidden="false"/>
    </xf>
    <xf numFmtId="164" fontId="4" fillId="0" borderId="49" xfId="0" applyFont="true" applyBorder="true" applyAlignment="true" applyProtection="false">
      <alignment horizontal="left"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4" fontId="27" fillId="0" borderId="15" xfId="0" applyFont="true" applyBorder="true" applyAlignment="true" applyProtection="false">
      <alignment horizontal="right" vertical="center" textRotation="255" wrapText="false" indent="0" shrinkToFit="false"/>
      <protection locked="true" hidden="false"/>
    </xf>
    <xf numFmtId="164" fontId="28" fillId="6" borderId="50" xfId="0" applyFont="true" applyBorder="true" applyAlignment="true" applyProtection="false">
      <alignment horizontal="center" vertical="center" textRotation="0" wrapText="false" indent="0" shrinkToFit="false"/>
      <protection locked="true" hidden="false"/>
    </xf>
    <xf numFmtId="164" fontId="24" fillId="0" borderId="19" xfId="0" applyFont="true" applyBorder="true" applyAlignment="false" applyProtection="false">
      <alignment horizontal="general" vertical="bottom" textRotation="0" wrapText="false" indent="0" shrinkToFit="false"/>
      <protection locked="true" hidden="false"/>
    </xf>
    <xf numFmtId="164" fontId="24" fillId="0" borderId="27" xfId="0" applyFont="true" applyBorder="true" applyAlignment="false" applyProtection="false">
      <alignment horizontal="general" vertical="bottom" textRotation="0" wrapText="false" indent="0" shrinkToFit="false"/>
      <protection locked="true" hidden="false"/>
    </xf>
    <xf numFmtId="164" fontId="19" fillId="0" borderId="27" xfId="0" applyFont="true" applyBorder="true" applyAlignment="true" applyProtection="false">
      <alignment horizontal="center" vertical="bottom" textRotation="0" wrapText="false" indent="0" shrinkToFit="false"/>
      <protection locked="true" hidden="false"/>
    </xf>
    <xf numFmtId="164" fontId="24" fillId="2" borderId="15" xfId="0" applyFont="true" applyBorder="true" applyAlignment="false" applyProtection="true">
      <alignment horizontal="general" vertical="bottom" textRotation="0" wrapText="false" indent="0" shrinkToFit="false"/>
      <protection locked="false" hidden="false"/>
    </xf>
    <xf numFmtId="164" fontId="24" fillId="6" borderId="0" xfId="0" applyFont="true" applyBorder="false" applyAlignment="false" applyProtection="false">
      <alignment horizontal="general" vertical="bottom" textRotation="0" wrapText="false" indent="0" shrinkToFit="false"/>
      <protection locked="true" hidden="false"/>
    </xf>
    <xf numFmtId="164" fontId="24" fillId="7" borderId="0" xfId="0" applyFont="true" applyBorder="false" applyAlignment="false" applyProtection="false">
      <alignment horizontal="general" vertical="bottom"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4" fontId="24" fillId="9" borderId="0" xfId="0" applyFont="true" applyBorder="false" applyAlignment="false" applyProtection="false">
      <alignment horizontal="general" vertical="bottom" textRotation="0" wrapText="false" indent="0" shrinkToFit="false"/>
      <protection locked="true" hidden="false"/>
    </xf>
    <xf numFmtId="164" fontId="25" fillId="0" borderId="18" xfId="0" applyFont="true" applyBorder="true" applyAlignment="true" applyProtection="false">
      <alignment horizontal="right" vertical="center" textRotation="0" wrapText="false" indent="0" shrinkToFit="false"/>
      <protection locked="true" hidden="false"/>
    </xf>
    <xf numFmtId="164" fontId="25" fillId="0" borderId="27" xfId="0" applyFont="true" applyBorder="true" applyAlignment="true" applyProtection="false">
      <alignment horizontal="left" vertical="center" textRotation="0" wrapText="false" indent="0" shrinkToFit="false"/>
      <protection locked="true" hidden="false"/>
    </xf>
    <xf numFmtId="164" fontId="17" fillId="0" borderId="51" xfId="0" applyFont="true" applyBorder="true" applyAlignment="true" applyProtection="false">
      <alignment horizontal="center" vertical="bottom" textRotation="0" wrapText="false" indent="0" shrinkToFit="false"/>
      <protection locked="true" hidden="false"/>
    </xf>
    <xf numFmtId="164" fontId="25" fillId="0" borderId="22" xfId="0" applyFont="true" applyBorder="true" applyAlignment="true" applyProtection="false">
      <alignment horizontal="center" vertical="center" textRotation="0" wrapText="false" indent="0" shrinkToFit="false"/>
      <protection locked="true" hidden="false"/>
    </xf>
    <xf numFmtId="164" fontId="24" fillId="0" borderId="23" xfId="0" applyFont="true" applyBorder="true" applyAlignment="false" applyProtection="false">
      <alignment horizontal="general" vertical="bottom" textRotation="0" wrapText="false" indent="0" shrinkToFit="false"/>
      <protection locked="true" hidden="false"/>
    </xf>
    <xf numFmtId="164" fontId="17" fillId="0" borderId="51" xfId="0" applyFont="true" applyBorder="true" applyAlignment="true" applyProtection="false">
      <alignment horizontal="center" vertical="center" textRotation="0" wrapText="true" indent="0" shrinkToFit="false"/>
      <protection locked="true" hidden="false"/>
    </xf>
    <xf numFmtId="164" fontId="29" fillId="0" borderId="50" xfId="0" applyFont="true" applyBorder="true" applyAlignment="true" applyProtection="false">
      <alignment horizontal="general" vertical="center" textRotation="0" wrapText="false" indent="0" shrinkToFit="false"/>
      <protection locked="true" hidden="false"/>
    </xf>
    <xf numFmtId="164" fontId="24" fillId="0" borderId="52" xfId="0" applyFont="true" applyBorder="true" applyAlignment="false" applyProtection="false">
      <alignment horizontal="general" vertical="bottom" textRotation="0" wrapText="false" indent="0" shrinkToFit="false"/>
      <protection locked="true" hidden="false"/>
    </xf>
    <xf numFmtId="164" fontId="28" fillId="0" borderId="52" xfId="0" applyFont="true" applyBorder="true" applyAlignment="true" applyProtection="false">
      <alignment horizontal="left" vertical="center" textRotation="0" wrapText="true" indent="0" shrinkToFit="false"/>
      <protection locked="true" hidden="false"/>
    </xf>
    <xf numFmtId="164" fontId="26" fillId="0" borderId="0" xfId="0" applyFont="true" applyBorder="true" applyAlignment="true" applyProtection="false">
      <alignment horizontal="center" vertical="center" textRotation="0" wrapText="false" indent="0" shrinkToFit="false"/>
      <protection locked="true" hidden="false"/>
    </xf>
    <xf numFmtId="164" fontId="28" fillId="0" borderId="53" xfId="0" applyFont="true" applyBorder="true" applyAlignment="true" applyProtection="false">
      <alignment horizontal="left" vertical="center" textRotation="0" wrapText="true" indent="0" shrinkToFit="false"/>
      <protection locked="true" hidden="false"/>
    </xf>
    <xf numFmtId="164" fontId="28" fillId="0" borderId="52" xfId="0" applyFont="true" applyBorder="true" applyAlignment="true" applyProtection="false">
      <alignment horizontal="center" vertical="center" textRotation="0" wrapText="true" indent="0" shrinkToFit="false"/>
      <protection locked="true" hidden="false"/>
    </xf>
    <xf numFmtId="164" fontId="25" fillId="0" borderId="16" xfId="0" applyFont="true" applyBorder="true" applyAlignment="true" applyProtection="false">
      <alignment horizontal="general" vertical="bottom" textRotation="0" wrapText="true" indent="0" shrinkToFit="false"/>
      <protection locked="true" hidden="false"/>
    </xf>
    <xf numFmtId="164" fontId="24" fillId="0" borderId="15" xfId="0" applyFont="true" applyBorder="true" applyAlignment="false" applyProtection="false">
      <alignment horizontal="general" vertical="bottom" textRotation="0" wrapText="false" indent="0" shrinkToFit="false"/>
      <protection locked="true" hidden="false"/>
    </xf>
    <xf numFmtId="164" fontId="26" fillId="0" borderId="54" xfId="0" applyFont="true" applyBorder="true" applyAlignment="true" applyProtection="false">
      <alignment horizontal="center" vertical="center" textRotation="0" wrapText="false" indent="0" shrinkToFit="false"/>
      <protection locked="true" hidden="false"/>
    </xf>
    <xf numFmtId="164" fontId="26" fillId="0" borderId="55" xfId="0" applyFont="true" applyBorder="true" applyAlignment="true" applyProtection="false">
      <alignment horizontal="center" vertical="center" textRotation="0" wrapText="false" indent="0" shrinkToFit="false"/>
      <protection locked="true" hidden="false"/>
    </xf>
    <xf numFmtId="164" fontId="25" fillId="0" borderId="15" xfId="0" applyFont="true" applyBorder="true" applyAlignment="true" applyProtection="false">
      <alignment horizontal="general" vertical="bottom" textRotation="0" wrapText="true" indent="0" shrinkToFit="false"/>
      <protection locked="true" hidden="false"/>
    </xf>
    <xf numFmtId="164" fontId="26" fillId="0" borderId="15" xfId="0" applyFont="true" applyBorder="true" applyAlignment="true" applyProtection="false">
      <alignment horizontal="center" vertical="center" textRotation="0" wrapText="false" indent="0" shrinkToFit="false"/>
      <protection locked="true" hidden="false"/>
    </xf>
    <xf numFmtId="164" fontId="24" fillId="0" borderId="56" xfId="0" applyFont="true" applyBorder="true" applyAlignment="false" applyProtection="false">
      <alignment horizontal="general" vertical="bottom" textRotation="0" wrapText="false" indent="0" shrinkToFit="false"/>
      <protection locked="true" hidden="false"/>
    </xf>
    <xf numFmtId="164" fontId="24" fillId="10" borderId="56" xfId="0" applyFont="true" applyBorder="true" applyAlignment="false" applyProtection="false">
      <alignment horizontal="general" vertical="bottom" textRotation="0" wrapText="false" indent="0" shrinkToFit="false"/>
      <protection locked="true" hidden="false"/>
    </xf>
    <xf numFmtId="164" fontId="24" fillId="0" borderId="53" xfId="0" applyFont="true" applyBorder="true" applyAlignment="false" applyProtection="false">
      <alignment horizontal="general" vertical="bottom" textRotation="0" wrapText="false" indent="0" shrinkToFit="false"/>
      <protection locked="true" hidden="false"/>
    </xf>
    <xf numFmtId="164" fontId="24" fillId="0" borderId="54" xfId="0" applyFont="true" applyBorder="true" applyAlignment="true" applyProtection="false">
      <alignment horizontal="center" vertical="center" textRotation="0" wrapText="false" indent="0" shrinkToFit="false"/>
      <protection locked="true" hidden="false"/>
    </xf>
    <xf numFmtId="164" fontId="24" fillId="0" borderId="55" xfId="0" applyFont="true" applyBorder="true" applyAlignment="true" applyProtection="false">
      <alignment horizontal="center" vertical="center" textRotation="0" wrapText="false" indent="0" shrinkToFit="false"/>
      <protection locked="true" hidden="false"/>
    </xf>
    <xf numFmtId="164" fontId="24" fillId="0" borderId="57" xfId="0" applyFont="true" applyBorder="true" applyAlignment="false" applyProtection="false">
      <alignment horizontal="general" vertical="bottom" textRotation="0" wrapText="false" indent="0" shrinkToFit="false"/>
      <protection locked="true" hidden="false"/>
    </xf>
    <xf numFmtId="164" fontId="24" fillId="0" borderId="50" xfId="0" applyFont="true" applyBorder="true" applyAlignment="true" applyProtection="false">
      <alignment horizontal="center" vertical="center" textRotation="0" wrapText="false" indent="0" shrinkToFit="false"/>
      <protection locked="true" hidden="false"/>
    </xf>
    <xf numFmtId="164" fontId="24" fillId="0" borderId="58" xfId="0" applyFont="true" applyBorder="true" applyAlignment="false" applyProtection="false">
      <alignment horizontal="general" vertical="bottom" textRotation="0" wrapText="false" indent="0" shrinkToFit="false"/>
      <protection locked="true" hidden="false"/>
    </xf>
    <xf numFmtId="164" fontId="24" fillId="0" borderId="59" xfId="0" applyFont="true" applyBorder="true" applyAlignment="true" applyProtection="false">
      <alignment horizontal="center" vertical="center" textRotation="0" wrapText="false" indent="0" shrinkToFit="false"/>
      <protection locked="true" hidden="false"/>
    </xf>
    <xf numFmtId="164" fontId="24" fillId="0" borderId="60" xfId="0" applyFont="true" applyBorder="true" applyAlignment="false" applyProtection="false">
      <alignment horizontal="general" vertical="bottom" textRotation="0" wrapText="false" indent="0" shrinkToFit="false"/>
      <protection locked="true" hidden="false"/>
    </xf>
    <xf numFmtId="164" fontId="24" fillId="10" borderId="60" xfId="0" applyFont="true" applyBorder="true" applyAlignment="false" applyProtection="false">
      <alignment horizontal="general" vertical="bottom" textRotation="0" wrapText="false" indent="0" shrinkToFit="false"/>
      <protection locked="true" hidden="false"/>
    </xf>
    <xf numFmtId="164" fontId="24" fillId="0" borderId="61" xfId="0" applyFont="true" applyBorder="true" applyAlignment="false" applyProtection="false">
      <alignment horizontal="general" vertical="bottom" textRotation="0" wrapText="false" indent="0" shrinkToFit="false"/>
      <protection locked="true" hidden="false"/>
    </xf>
    <xf numFmtId="164" fontId="24" fillId="0" borderId="62" xfId="0" applyFont="true" applyBorder="true" applyAlignment="false" applyProtection="false">
      <alignment horizontal="general" vertical="bottom" textRotation="0" wrapText="false" indent="0" shrinkToFit="false"/>
      <protection locked="true" hidden="false"/>
    </xf>
    <xf numFmtId="164" fontId="24" fillId="0" borderId="18" xfId="0" applyFont="true" applyBorder="true" applyAlignment="false" applyProtection="false">
      <alignment horizontal="general" vertical="bottom" textRotation="0" wrapText="false" indent="0" shrinkToFit="false"/>
      <protection locked="true" hidden="false"/>
    </xf>
    <xf numFmtId="164" fontId="26" fillId="0" borderId="16" xfId="0" applyFont="true" applyBorder="true" applyAlignment="true" applyProtection="false">
      <alignment horizontal="general" vertical="center" textRotation="0" wrapText="false" indent="0" shrinkToFit="false"/>
      <protection locked="true" hidden="false"/>
    </xf>
    <xf numFmtId="164" fontId="26" fillId="0" borderId="20" xfId="0" applyFont="true" applyBorder="true" applyAlignment="true" applyProtection="false">
      <alignment horizontal="general" vertical="center" textRotation="0" wrapText="false" indent="0" shrinkToFit="false"/>
      <protection locked="true" hidden="false"/>
    </xf>
    <xf numFmtId="164" fontId="24" fillId="0" borderId="7" xfId="0" applyFont="true" applyBorder="true" applyAlignment="false" applyProtection="false">
      <alignment horizontal="general" vertical="bottom" textRotation="0" wrapText="false" indent="0" shrinkToFit="false"/>
      <protection locked="true" hidden="false"/>
    </xf>
    <xf numFmtId="164" fontId="24" fillId="0" borderId="63" xfId="0" applyFont="true" applyBorder="true" applyAlignment="true" applyProtection="false">
      <alignment horizontal="center" vertical="center" textRotation="0" wrapText="false" indent="0" shrinkToFit="false"/>
      <protection locked="true" hidden="false"/>
    </xf>
    <xf numFmtId="164" fontId="24" fillId="0" borderId="64" xfId="0" applyFont="true" applyBorder="true" applyAlignment="true" applyProtection="false">
      <alignment horizontal="center" vertical="center" textRotation="0" wrapText="false" indent="0" shrinkToFit="false"/>
      <protection locked="true" hidden="false"/>
    </xf>
    <xf numFmtId="164" fontId="24" fillId="0" borderId="16" xfId="0" applyFont="true" applyBorder="true" applyAlignment="false" applyProtection="false">
      <alignment horizontal="general" vertical="bottom" textRotation="0" wrapText="false" indent="0" shrinkToFit="false"/>
      <protection locked="true" hidden="false"/>
    </xf>
    <xf numFmtId="164" fontId="25" fillId="0" borderId="18" xfId="0" applyFont="true" applyBorder="true" applyAlignment="false" applyProtection="false">
      <alignment horizontal="general" vertical="bottom" textRotation="0" wrapText="false" indent="0" shrinkToFit="false"/>
      <protection locked="true" hidden="false"/>
    </xf>
    <xf numFmtId="164" fontId="25" fillId="0" borderId="22" xfId="0" applyFont="true" applyBorder="true" applyAlignment="true" applyProtection="false">
      <alignment horizontal="general" vertical="top" textRotation="0" wrapText="false" indent="0" shrinkToFit="false"/>
      <protection locked="true" hidden="false"/>
    </xf>
    <xf numFmtId="164" fontId="24" fillId="0" borderId="39" xfId="0" applyFont="true" applyBorder="true" applyAlignment="false" applyProtection="false">
      <alignment horizontal="general" vertical="bottom" textRotation="0" wrapText="false" indent="0" shrinkToFit="false"/>
      <protection locked="true" hidden="false"/>
    </xf>
    <xf numFmtId="164" fontId="17" fillId="0" borderId="21" xfId="0" applyFont="true" applyBorder="true" applyAlignment="true" applyProtection="false">
      <alignment horizontal="center" vertical="bottom" textRotation="0" wrapText="false" indent="0" shrinkToFit="false"/>
      <protection locked="true" hidden="false"/>
    </xf>
    <xf numFmtId="164" fontId="25" fillId="0" borderId="20" xfId="0" applyFont="true" applyBorder="true" applyAlignment="false" applyProtection="false">
      <alignment horizontal="general" vertical="bottom" textRotation="0" wrapText="false" indent="0" shrinkToFit="false"/>
      <protection locked="true" hidden="false"/>
    </xf>
    <xf numFmtId="164" fontId="24" fillId="0" borderId="21" xfId="0" applyFont="true" applyBorder="true" applyAlignment="false" applyProtection="false">
      <alignment horizontal="general" vertical="bottom" textRotation="0" wrapText="false" indent="0" shrinkToFit="false"/>
      <protection locked="true" hidden="false"/>
    </xf>
    <xf numFmtId="164" fontId="17" fillId="0" borderId="21"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4" fillId="0" borderId="65" xfId="0" applyFont="true" applyBorder="true" applyAlignment="true" applyProtection="false">
      <alignment horizontal="center" vertical="center" textRotation="0" wrapText="false" indent="0" shrinkToFit="false"/>
      <protection locked="true" hidden="false"/>
    </xf>
    <xf numFmtId="164" fontId="24" fillId="0" borderId="66" xfId="0" applyFont="true" applyBorder="true" applyAlignment="true" applyProtection="false">
      <alignment horizontal="center" vertical="center" textRotation="0" wrapText="false" indent="0" shrinkToFit="false"/>
      <protection locked="true" hidden="false"/>
    </xf>
    <xf numFmtId="164" fontId="25" fillId="0" borderId="20" xfId="0" applyFont="true" applyBorder="true" applyAlignment="true" applyProtection="false">
      <alignment horizontal="general" vertical="top" textRotation="0" wrapText="false" indent="0" shrinkToFit="false"/>
      <protection locked="true" hidden="false"/>
    </xf>
    <xf numFmtId="164" fontId="26" fillId="0" borderId="39" xfId="0" applyFont="true" applyBorder="true" applyAlignment="true" applyProtection="false">
      <alignment horizontal="center" vertical="center" textRotation="0" wrapText="false" indent="0" shrinkToFit="false"/>
      <protection locked="true" hidden="false"/>
    </xf>
    <xf numFmtId="164" fontId="25" fillId="0" borderId="39" xfId="0" applyFont="true" applyBorder="true" applyAlignment="true" applyProtection="false">
      <alignment horizontal="general" vertical="top" textRotation="0" wrapText="false" indent="0" shrinkToFit="false"/>
      <protection locked="true" hidden="false"/>
    </xf>
    <xf numFmtId="164" fontId="25" fillId="0" borderId="27" xfId="0" applyFont="true" applyBorder="true" applyAlignment="true" applyProtection="false">
      <alignment horizontal="general" vertical="top"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8" fillId="7" borderId="50" xfId="0" applyFont="true" applyBorder="true" applyAlignment="true" applyProtection="false">
      <alignment horizontal="center" vertical="center" textRotation="0" wrapText="false" indent="0" shrinkToFit="false"/>
      <protection locked="true" hidden="false"/>
    </xf>
    <xf numFmtId="164" fontId="25" fillId="0" borderId="18" xfId="0" applyFont="true" applyBorder="true" applyAlignment="true" applyProtection="false">
      <alignment horizontal="general" vertical="top" textRotation="0" wrapText="false" indent="0" shrinkToFit="false"/>
      <protection locked="true" hidden="false"/>
    </xf>
    <xf numFmtId="164" fontId="28" fillId="11" borderId="50" xfId="0" applyFont="true" applyBorder="true" applyAlignment="true" applyProtection="false">
      <alignment horizontal="center" vertical="center" textRotation="0" wrapText="false" indent="0" shrinkToFit="false"/>
      <protection locked="true" hidden="false"/>
    </xf>
    <xf numFmtId="164" fontId="28" fillId="9" borderId="50" xfId="0" applyFont="true" applyBorder="true" applyAlignment="true" applyProtection="false">
      <alignment horizontal="center" vertical="center" textRotation="0" wrapText="false" indent="0" shrinkToFit="false"/>
      <protection locked="true" hidden="false"/>
    </xf>
    <xf numFmtId="164" fontId="27" fillId="0" borderId="15" xfId="0" applyFont="true" applyBorder="true" applyAlignment="true" applyProtection="false">
      <alignment horizontal="center" vertical="center" textRotation="255" wrapText="false" indent="0" shrinkToFit="false"/>
      <protection locked="true" hidden="false"/>
    </xf>
    <xf numFmtId="166" fontId="25" fillId="0" borderId="27" xfId="0" applyFont="true" applyBorder="true" applyAlignment="true" applyProtection="false">
      <alignment horizontal="left" vertical="center" textRotation="0" wrapText="false" indent="0" shrinkToFit="false"/>
      <protection locked="true" hidden="false"/>
    </xf>
    <xf numFmtId="164" fontId="24" fillId="0" borderId="53" xfId="0" applyFont="true" applyBorder="true" applyAlignment="true" applyProtection="false">
      <alignment horizontal="center" vertical="bottom" textRotation="0" wrapText="false" indent="0" shrinkToFit="false"/>
      <protection locked="true" hidden="false"/>
    </xf>
    <xf numFmtId="164" fontId="24" fillId="0" borderId="50" xfId="0" applyFont="true" applyBorder="true" applyAlignment="false" applyProtection="false">
      <alignment horizontal="general" vertical="bottom" textRotation="0" wrapText="false" indent="0" shrinkToFit="false"/>
      <protection locked="true" hidden="false"/>
    </xf>
    <xf numFmtId="164" fontId="30" fillId="0" borderId="67" xfId="0" applyFont="true" applyBorder="true" applyAlignment="true" applyProtection="false">
      <alignment horizontal="center" vertical="center" textRotation="0" wrapText="false" indent="0" shrinkToFit="false"/>
      <protection locked="true" hidden="false"/>
    </xf>
    <xf numFmtId="164" fontId="30" fillId="0" borderId="68" xfId="0" applyFont="true" applyBorder="true" applyAlignment="true" applyProtection="false">
      <alignment horizontal="center" vertical="bottom" textRotation="0" wrapText="false" indent="0" shrinkToFit="false"/>
      <protection locked="true" hidden="false"/>
    </xf>
    <xf numFmtId="170" fontId="31" fillId="0" borderId="69" xfId="0" applyFont="true" applyBorder="true" applyAlignment="true" applyProtection="false">
      <alignment horizontal="center"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10" borderId="0" xfId="0" applyFont="true" applyBorder="false" applyAlignment="false" applyProtection="true">
      <alignment horizontal="general" vertical="bottom" textRotation="0" wrapText="false" indent="0" shrinkToFit="false"/>
      <protection locked="false" hidden="false"/>
    </xf>
    <xf numFmtId="164" fontId="32" fillId="12" borderId="50" xfId="0" applyFont="true" applyBorder="true" applyAlignment="false" applyProtection="false">
      <alignment horizontal="general" vertical="bottom" textRotation="0" wrapText="false" indent="0" shrinkToFit="false"/>
      <protection locked="true" hidden="false"/>
    </xf>
    <xf numFmtId="164" fontId="32" fillId="12" borderId="52" xfId="0" applyFont="true" applyBorder="true" applyAlignment="false" applyProtection="false">
      <alignment horizontal="general" vertical="bottom" textRotation="0" wrapText="false" indent="0" shrinkToFit="false"/>
      <protection locked="true" hidden="false"/>
    </xf>
    <xf numFmtId="164" fontId="0" fillId="12" borderId="53" xfId="0" applyFont="false" applyBorder="true" applyAlignment="false" applyProtection="false">
      <alignment horizontal="general" vertical="bottom" textRotation="0" wrapText="false" indent="0" shrinkToFit="false"/>
      <protection locked="true" hidden="false"/>
    </xf>
    <xf numFmtId="164" fontId="0" fillId="0" borderId="15" xfId="0" applyFont="false" applyBorder="true" applyAlignment="false" applyProtection="false">
      <alignment horizontal="general" vertical="bottom" textRotation="0" wrapText="false" indent="0" shrinkToFit="false"/>
      <protection locked="true" hidden="false"/>
    </xf>
    <xf numFmtId="164" fontId="0" fillId="0" borderId="15" xfId="0" applyFont="true" applyBorder="true" applyAlignment="true" applyProtection="false">
      <alignment horizontal="general" vertical="center"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2" fillId="1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A933"/>
      <rgbColor rgb="FF000080"/>
      <rgbColor rgb="FF808000"/>
      <rgbColor rgb="FF800080"/>
      <rgbColor rgb="FF008080"/>
      <rgbColor rgb="FFB2B2B2"/>
      <rgbColor rgb="FF808080"/>
      <rgbColor rgb="FF9999FF"/>
      <rgbColor rgb="FF993366"/>
      <rgbColor rgb="FFF2F2F2"/>
      <rgbColor rgb="FFCCFFFF"/>
      <rgbColor rgb="FF660066"/>
      <rgbColor rgb="FFFF8080"/>
      <rgbColor rgb="FF0066CC"/>
      <rgbColor rgb="FFC6D9F0"/>
      <rgbColor rgb="FF000080"/>
      <rgbColor rgb="FFFF00FF"/>
      <rgbColor rgb="FFFFFF00"/>
      <rgbColor rgb="FF00FFFF"/>
      <rgbColor rgb="FF800080"/>
      <rgbColor rgb="FF800000"/>
      <rgbColor rgb="FF008080"/>
      <rgbColor rgb="FF0000FF"/>
      <rgbColor rgb="FF00B0F0"/>
      <rgbColor rgb="FFCCFFFF"/>
      <rgbColor rgb="FFD9D9D9"/>
      <rgbColor rgb="FFFFFFA6"/>
      <rgbColor rgb="FF99CCFF"/>
      <rgbColor rgb="FFFF99CC"/>
      <rgbColor rgb="FFCC99FF"/>
      <rgbColor rgb="FFD8D8D8"/>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Relationship Id="rId4" Type="http://schemas.openxmlformats.org/officeDocument/2006/relationships/image" Target="../media/image1.png"/><Relationship Id="rId5" Type="http://schemas.openxmlformats.org/officeDocument/2006/relationships/image" Target="../media/image1.png"/><Relationship Id="rId6" Type="http://schemas.openxmlformats.org/officeDocument/2006/relationships/image" Target="../media/image1.png"/><Relationship Id="rId7" Type="http://schemas.openxmlformats.org/officeDocument/2006/relationships/image" Target="../media/image1.png"/><Relationship Id="rId8"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Relationship Id="rId4" Type="http://schemas.openxmlformats.org/officeDocument/2006/relationships/image" Target="../media/image1.png"/><Relationship Id="rId5" Type="http://schemas.openxmlformats.org/officeDocument/2006/relationships/image" Target="../media/image1.png"/><Relationship Id="rId6" Type="http://schemas.openxmlformats.org/officeDocument/2006/relationships/image" Target="../media/image1.png"/><Relationship Id="rId7" Type="http://schemas.openxmlformats.org/officeDocument/2006/relationships/image" Target="../media/image1.png"/><Relationship Id="rId8" Type="http://schemas.openxmlformats.org/officeDocument/2006/relationships/image" Target="../media/image1.png"/><Relationship Id="rId9" Type="http://schemas.openxmlformats.org/officeDocument/2006/relationships/image" Target="../media/image1.png"/><Relationship Id="rId10" Type="http://schemas.openxmlformats.org/officeDocument/2006/relationships/image" Target="../media/image1.png"/><Relationship Id="rId11" Type="http://schemas.openxmlformats.org/officeDocument/2006/relationships/image" Target="../media/image1.png"/><Relationship Id="rId12"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Relationship Id="rId4"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8640</xdr:colOff>
      <xdr:row>0</xdr:row>
      <xdr:rowOff>0</xdr:rowOff>
    </xdr:from>
    <xdr:to>
      <xdr:col>1</xdr:col>
      <xdr:colOff>246240</xdr:colOff>
      <xdr:row>2</xdr:row>
      <xdr:rowOff>55440</xdr:rowOff>
    </xdr:to>
    <xdr:pic>
      <xdr:nvPicPr>
        <xdr:cNvPr id="0" name="image1.png" descr=""/>
        <xdr:cNvPicPr/>
      </xdr:nvPicPr>
      <xdr:blipFill>
        <a:blip r:embed="rId1"/>
        <a:stretch/>
      </xdr:blipFill>
      <xdr:spPr>
        <a:xfrm>
          <a:off x="8640" y="0"/>
          <a:ext cx="478800" cy="522000"/>
        </a:xfrm>
        <a:prstGeom prst="rect">
          <a:avLst/>
        </a:prstGeom>
        <a:noFill/>
        <a:ln w="0">
          <a:noFill/>
        </a:ln>
      </xdr:spPr>
    </xdr:pic>
    <xdr:clientData/>
  </xdr:twoCellAnchor>
  <xdr:twoCellAnchor editAs="oneCell">
    <xdr:from>
      <xdr:col>6</xdr:col>
      <xdr:colOff>937800</xdr:colOff>
      <xdr:row>0</xdr:row>
      <xdr:rowOff>0</xdr:rowOff>
    </xdr:from>
    <xdr:to>
      <xdr:col>7</xdr:col>
      <xdr:colOff>336960</xdr:colOff>
      <xdr:row>2</xdr:row>
      <xdr:rowOff>55440</xdr:rowOff>
    </xdr:to>
    <xdr:pic>
      <xdr:nvPicPr>
        <xdr:cNvPr id="1" name="image1.png 9" descr=""/>
        <xdr:cNvPicPr/>
      </xdr:nvPicPr>
      <xdr:blipFill>
        <a:blip r:embed="rId2"/>
        <a:stretch/>
      </xdr:blipFill>
      <xdr:spPr>
        <a:xfrm>
          <a:off x="8672040" y="0"/>
          <a:ext cx="478800" cy="522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2140920</xdr:colOff>
      <xdr:row>0</xdr:row>
      <xdr:rowOff>36360</xdr:rowOff>
    </xdr:from>
    <xdr:to>
      <xdr:col>5</xdr:col>
      <xdr:colOff>2144880</xdr:colOff>
      <xdr:row>2</xdr:row>
      <xdr:rowOff>150120</xdr:rowOff>
    </xdr:to>
    <xdr:pic>
      <xdr:nvPicPr>
        <xdr:cNvPr id="2" name="image1.png" descr=""/>
        <xdr:cNvPicPr/>
      </xdr:nvPicPr>
      <xdr:blipFill>
        <a:blip r:embed="rId1"/>
        <a:stretch/>
      </xdr:blipFill>
      <xdr:spPr>
        <a:xfrm>
          <a:off x="7043040" y="36360"/>
          <a:ext cx="3960" cy="551880"/>
        </a:xfrm>
        <a:prstGeom prst="rect">
          <a:avLst/>
        </a:prstGeom>
        <a:noFill/>
        <a:ln w="0">
          <a:noFill/>
        </a:ln>
      </xdr:spPr>
    </xdr:pic>
    <xdr:clientData/>
  </xdr:twoCellAnchor>
  <xdr:twoCellAnchor editAs="oneCell">
    <xdr:from>
      <xdr:col>0</xdr:col>
      <xdr:colOff>39600</xdr:colOff>
      <xdr:row>0</xdr:row>
      <xdr:rowOff>0</xdr:rowOff>
    </xdr:from>
    <xdr:to>
      <xdr:col>0</xdr:col>
      <xdr:colOff>531000</xdr:colOff>
      <xdr:row>2</xdr:row>
      <xdr:rowOff>128520</xdr:rowOff>
    </xdr:to>
    <xdr:pic>
      <xdr:nvPicPr>
        <xdr:cNvPr id="3" name="image1.png 1" descr=""/>
        <xdr:cNvPicPr/>
      </xdr:nvPicPr>
      <xdr:blipFill>
        <a:blip r:embed="rId2"/>
        <a:stretch/>
      </xdr:blipFill>
      <xdr:spPr>
        <a:xfrm>
          <a:off x="39600" y="0"/>
          <a:ext cx="491400" cy="566640"/>
        </a:xfrm>
        <a:prstGeom prst="rect">
          <a:avLst/>
        </a:prstGeom>
        <a:noFill/>
        <a:ln w="0">
          <a:noFill/>
        </a:ln>
      </xdr:spPr>
    </xdr:pic>
    <xdr:clientData/>
  </xdr:twoCellAnchor>
  <xdr:twoCellAnchor editAs="oneCell">
    <xdr:from>
      <xdr:col>5</xdr:col>
      <xdr:colOff>2721600</xdr:colOff>
      <xdr:row>0</xdr:row>
      <xdr:rowOff>9360</xdr:rowOff>
    </xdr:from>
    <xdr:to>
      <xdr:col>5</xdr:col>
      <xdr:colOff>3213000</xdr:colOff>
      <xdr:row>2</xdr:row>
      <xdr:rowOff>137880</xdr:rowOff>
    </xdr:to>
    <xdr:pic>
      <xdr:nvPicPr>
        <xdr:cNvPr id="4" name="image1.png 10" descr=""/>
        <xdr:cNvPicPr/>
      </xdr:nvPicPr>
      <xdr:blipFill>
        <a:blip r:embed="rId3"/>
        <a:stretch/>
      </xdr:blipFill>
      <xdr:spPr>
        <a:xfrm>
          <a:off x="7623720" y="9360"/>
          <a:ext cx="491400" cy="566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47520</xdr:colOff>
      <xdr:row>0</xdr:row>
      <xdr:rowOff>162000</xdr:rowOff>
    </xdr:from>
    <xdr:to>
      <xdr:col>16</xdr:col>
      <xdr:colOff>259560</xdr:colOff>
      <xdr:row>3</xdr:row>
      <xdr:rowOff>166680</xdr:rowOff>
    </xdr:to>
    <xdr:pic>
      <xdr:nvPicPr>
        <xdr:cNvPr id="5" name="image1.png" descr=""/>
        <xdr:cNvPicPr/>
      </xdr:nvPicPr>
      <xdr:blipFill>
        <a:blip r:embed="rId1"/>
        <a:stretch/>
      </xdr:blipFill>
      <xdr:spPr>
        <a:xfrm>
          <a:off x="5381640" y="162000"/>
          <a:ext cx="491400" cy="566640"/>
        </a:xfrm>
        <a:prstGeom prst="rect">
          <a:avLst/>
        </a:prstGeom>
        <a:noFill/>
        <a:ln w="0">
          <a:noFill/>
        </a:ln>
      </xdr:spPr>
    </xdr:pic>
    <xdr:clientData/>
  </xdr:twoCellAnchor>
  <xdr:twoCellAnchor editAs="oneCell">
    <xdr:from>
      <xdr:col>0</xdr:col>
      <xdr:colOff>30240</xdr:colOff>
      <xdr:row>0</xdr:row>
      <xdr:rowOff>169560</xdr:rowOff>
    </xdr:from>
    <xdr:to>
      <xdr:col>1</xdr:col>
      <xdr:colOff>242280</xdr:colOff>
      <xdr:row>3</xdr:row>
      <xdr:rowOff>174240</xdr:rowOff>
    </xdr:to>
    <xdr:pic>
      <xdr:nvPicPr>
        <xdr:cNvPr id="6" name="image1.png 2" descr=""/>
        <xdr:cNvPicPr/>
      </xdr:nvPicPr>
      <xdr:blipFill>
        <a:blip r:embed="rId2"/>
        <a:stretch/>
      </xdr:blipFill>
      <xdr:spPr>
        <a:xfrm>
          <a:off x="30240" y="169560"/>
          <a:ext cx="491400" cy="566640"/>
        </a:xfrm>
        <a:prstGeom prst="rect">
          <a:avLst/>
        </a:prstGeom>
        <a:noFill/>
        <a:ln w="0">
          <a:noFill/>
        </a:ln>
      </xdr:spPr>
    </xdr:pic>
    <xdr:clientData/>
  </xdr:twoCellAnchor>
  <xdr:twoCellAnchor editAs="oneCell">
    <xdr:from>
      <xdr:col>15</xdr:col>
      <xdr:colOff>54360</xdr:colOff>
      <xdr:row>24</xdr:row>
      <xdr:rowOff>167040</xdr:rowOff>
    </xdr:from>
    <xdr:to>
      <xdr:col>16</xdr:col>
      <xdr:colOff>266400</xdr:colOff>
      <xdr:row>27</xdr:row>
      <xdr:rowOff>171360</xdr:rowOff>
    </xdr:to>
    <xdr:pic>
      <xdr:nvPicPr>
        <xdr:cNvPr id="7" name="image1.png 3" descr=""/>
        <xdr:cNvPicPr/>
      </xdr:nvPicPr>
      <xdr:blipFill>
        <a:blip r:embed="rId3"/>
        <a:stretch/>
      </xdr:blipFill>
      <xdr:spPr>
        <a:xfrm>
          <a:off x="5388480" y="5434200"/>
          <a:ext cx="491400" cy="566640"/>
        </a:xfrm>
        <a:prstGeom prst="rect">
          <a:avLst/>
        </a:prstGeom>
        <a:noFill/>
        <a:ln w="0">
          <a:noFill/>
        </a:ln>
      </xdr:spPr>
    </xdr:pic>
    <xdr:clientData/>
  </xdr:twoCellAnchor>
  <xdr:twoCellAnchor editAs="oneCell">
    <xdr:from>
      <xdr:col>0</xdr:col>
      <xdr:colOff>37080</xdr:colOff>
      <xdr:row>24</xdr:row>
      <xdr:rowOff>174600</xdr:rowOff>
    </xdr:from>
    <xdr:to>
      <xdr:col>1</xdr:col>
      <xdr:colOff>249120</xdr:colOff>
      <xdr:row>27</xdr:row>
      <xdr:rowOff>178920</xdr:rowOff>
    </xdr:to>
    <xdr:pic>
      <xdr:nvPicPr>
        <xdr:cNvPr id="8" name="image1.png 4" descr=""/>
        <xdr:cNvPicPr/>
      </xdr:nvPicPr>
      <xdr:blipFill>
        <a:blip r:embed="rId4"/>
        <a:stretch/>
      </xdr:blipFill>
      <xdr:spPr>
        <a:xfrm>
          <a:off x="37080" y="5441760"/>
          <a:ext cx="491400" cy="566640"/>
        </a:xfrm>
        <a:prstGeom prst="rect">
          <a:avLst/>
        </a:prstGeom>
        <a:noFill/>
        <a:ln w="0">
          <a:noFill/>
        </a:ln>
      </xdr:spPr>
    </xdr:pic>
    <xdr:clientData/>
  </xdr:twoCellAnchor>
  <xdr:twoCellAnchor editAs="oneCell">
    <xdr:from>
      <xdr:col>15</xdr:col>
      <xdr:colOff>70560</xdr:colOff>
      <xdr:row>48</xdr:row>
      <xdr:rowOff>176400</xdr:rowOff>
    </xdr:from>
    <xdr:to>
      <xdr:col>16</xdr:col>
      <xdr:colOff>282600</xdr:colOff>
      <xdr:row>51</xdr:row>
      <xdr:rowOff>171720</xdr:rowOff>
    </xdr:to>
    <xdr:pic>
      <xdr:nvPicPr>
        <xdr:cNvPr id="9" name="image1.png 5" descr=""/>
        <xdr:cNvPicPr/>
      </xdr:nvPicPr>
      <xdr:blipFill>
        <a:blip r:embed="rId5"/>
        <a:stretch/>
      </xdr:blipFill>
      <xdr:spPr>
        <a:xfrm>
          <a:off x="5404680" y="10711080"/>
          <a:ext cx="491400" cy="566640"/>
        </a:xfrm>
        <a:prstGeom prst="rect">
          <a:avLst/>
        </a:prstGeom>
        <a:noFill/>
        <a:ln w="0">
          <a:noFill/>
        </a:ln>
      </xdr:spPr>
    </xdr:pic>
    <xdr:clientData/>
  </xdr:twoCellAnchor>
  <xdr:twoCellAnchor editAs="oneCell">
    <xdr:from>
      <xdr:col>0</xdr:col>
      <xdr:colOff>53280</xdr:colOff>
      <xdr:row>48</xdr:row>
      <xdr:rowOff>183960</xdr:rowOff>
    </xdr:from>
    <xdr:to>
      <xdr:col>1</xdr:col>
      <xdr:colOff>265320</xdr:colOff>
      <xdr:row>51</xdr:row>
      <xdr:rowOff>179280</xdr:rowOff>
    </xdr:to>
    <xdr:pic>
      <xdr:nvPicPr>
        <xdr:cNvPr id="10" name="image1.png 6" descr=""/>
        <xdr:cNvPicPr/>
      </xdr:nvPicPr>
      <xdr:blipFill>
        <a:blip r:embed="rId6"/>
        <a:stretch/>
      </xdr:blipFill>
      <xdr:spPr>
        <a:xfrm>
          <a:off x="53280" y="10718640"/>
          <a:ext cx="491400" cy="566640"/>
        </a:xfrm>
        <a:prstGeom prst="rect">
          <a:avLst/>
        </a:prstGeom>
        <a:noFill/>
        <a:ln w="0">
          <a:noFill/>
        </a:ln>
      </xdr:spPr>
    </xdr:pic>
    <xdr:clientData/>
  </xdr:twoCellAnchor>
  <xdr:twoCellAnchor editAs="oneCell">
    <xdr:from>
      <xdr:col>15</xdr:col>
      <xdr:colOff>73440</xdr:colOff>
      <xdr:row>72</xdr:row>
      <xdr:rowOff>162360</xdr:rowOff>
    </xdr:from>
    <xdr:to>
      <xdr:col>16</xdr:col>
      <xdr:colOff>285480</xdr:colOff>
      <xdr:row>75</xdr:row>
      <xdr:rowOff>167040</xdr:rowOff>
    </xdr:to>
    <xdr:pic>
      <xdr:nvPicPr>
        <xdr:cNvPr id="11" name="image1.png 7" descr=""/>
        <xdr:cNvPicPr/>
      </xdr:nvPicPr>
      <xdr:blipFill>
        <a:blip r:embed="rId7"/>
        <a:stretch/>
      </xdr:blipFill>
      <xdr:spPr>
        <a:xfrm>
          <a:off x="5407560" y="15973920"/>
          <a:ext cx="491400" cy="566640"/>
        </a:xfrm>
        <a:prstGeom prst="rect">
          <a:avLst/>
        </a:prstGeom>
        <a:noFill/>
        <a:ln w="0">
          <a:noFill/>
        </a:ln>
      </xdr:spPr>
    </xdr:pic>
    <xdr:clientData/>
  </xdr:twoCellAnchor>
  <xdr:twoCellAnchor editAs="oneCell">
    <xdr:from>
      <xdr:col>0</xdr:col>
      <xdr:colOff>56160</xdr:colOff>
      <xdr:row>72</xdr:row>
      <xdr:rowOff>169920</xdr:rowOff>
    </xdr:from>
    <xdr:to>
      <xdr:col>1</xdr:col>
      <xdr:colOff>268200</xdr:colOff>
      <xdr:row>75</xdr:row>
      <xdr:rowOff>174600</xdr:rowOff>
    </xdr:to>
    <xdr:pic>
      <xdr:nvPicPr>
        <xdr:cNvPr id="12" name="image1.png 8" descr=""/>
        <xdr:cNvPicPr/>
      </xdr:nvPicPr>
      <xdr:blipFill>
        <a:blip r:embed="rId8"/>
        <a:stretch/>
      </xdr:blipFill>
      <xdr:spPr>
        <a:xfrm>
          <a:off x="56160" y="15981480"/>
          <a:ext cx="491400" cy="56664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171360</xdr:rowOff>
    </xdr:from>
    <xdr:to>
      <xdr:col>1</xdr:col>
      <xdr:colOff>187920</xdr:colOff>
      <xdr:row>4</xdr:row>
      <xdr:rowOff>11160</xdr:rowOff>
    </xdr:to>
    <xdr:pic>
      <xdr:nvPicPr>
        <xdr:cNvPr id="13" name="image1.png" descr=""/>
        <xdr:cNvPicPr/>
      </xdr:nvPicPr>
      <xdr:blipFill>
        <a:blip r:embed="rId1"/>
        <a:stretch/>
      </xdr:blipFill>
      <xdr:spPr>
        <a:xfrm>
          <a:off x="0" y="171360"/>
          <a:ext cx="568800" cy="621000"/>
        </a:xfrm>
        <a:prstGeom prst="rect">
          <a:avLst/>
        </a:prstGeom>
        <a:noFill/>
        <a:ln w="0">
          <a:noFill/>
        </a:ln>
      </xdr:spPr>
    </xdr:pic>
    <xdr:clientData/>
  </xdr:twoCellAnchor>
  <xdr:twoCellAnchor editAs="oneCell">
    <xdr:from>
      <xdr:col>15</xdr:col>
      <xdr:colOff>19080</xdr:colOff>
      <xdr:row>0</xdr:row>
      <xdr:rowOff>171360</xdr:rowOff>
    </xdr:from>
    <xdr:to>
      <xdr:col>16</xdr:col>
      <xdr:colOff>207000</xdr:colOff>
      <xdr:row>4</xdr:row>
      <xdr:rowOff>11160</xdr:rowOff>
    </xdr:to>
    <xdr:pic>
      <xdr:nvPicPr>
        <xdr:cNvPr id="14" name="image1.png" descr=""/>
        <xdr:cNvPicPr/>
      </xdr:nvPicPr>
      <xdr:blipFill>
        <a:blip r:embed="rId2"/>
        <a:stretch/>
      </xdr:blipFill>
      <xdr:spPr>
        <a:xfrm>
          <a:off x="5391360" y="171360"/>
          <a:ext cx="568800" cy="621000"/>
        </a:xfrm>
        <a:prstGeom prst="rect">
          <a:avLst/>
        </a:prstGeom>
        <a:noFill/>
        <a:ln w="0">
          <a:noFill/>
        </a:ln>
      </xdr:spPr>
    </xdr:pic>
    <xdr:clientData/>
  </xdr:twoCellAnchor>
  <xdr:twoCellAnchor editAs="oneCell">
    <xdr:from>
      <xdr:col>0</xdr:col>
      <xdr:colOff>0</xdr:colOff>
      <xdr:row>24</xdr:row>
      <xdr:rowOff>162000</xdr:rowOff>
    </xdr:from>
    <xdr:to>
      <xdr:col>1</xdr:col>
      <xdr:colOff>187920</xdr:colOff>
      <xdr:row>28</xdr:row>
      <xdr:rowOff>1800</xdr:rowOff>
    </xdr:to>
    <xdr:pic>
      <xdr:nvPicPr>
        <xdr:cNvPr id="15" name="image1.png" descr=""/>
        <xdr:cNvPicPr/>
      </xdr:nvPicPr>
      <xdr:blipFill>
        <a:blip r:embed="rId3"/>
        <a:stretch/>
      </xdr:blipFill>
      <xdr:spPr>
        <a:xfrm>
          <a:off x="0" y="5029200"/>
          <a:ext cx="568800" cy="621000"/>
        </a:xfrm>
        <a:prstGeom prst="rect">
          <a:avLst/>
        </a:prstGeom>
        <a:noFill/>
        <a:ln w="0">
          <a:noFill/>
        </a:ln>
      </xdr:spPr>
    </xdr:pic>
    <xdr:clientData/>
  </xdr:twoCellAnchor>
  <xdr:twoCellAnchor editAs="oneCell">
    <xdr:from>
      <xdr:col>0</xdr:col>
      <xdr:colOff>0</xdr:colOff>
      <xdr:row>43</xdr:row>
      <xdr:rowOff>162000</xdr:rowOff>
    </xdr:from>
    <xdr:to>
      <xdr:col>1</xdr:col>
      <xdr:colOff>187920</xdr:colOff>
      <xdr:row>47</xdr:row>
      <xdr:rowOff>2160</xdr:rowOff>
    </xdr:to>
    <xdr:pic>
      <xdr:nvPicPr>
        <xdr:cNvPr id="16" name="image1.png" descr=""/>
        <xdr:cNvPicPr/>
      </xdr:nvPicPr>
      <xdr:blipFill>
        <a:blip r:embed="rId4"/>
        <a:stretch/>
      </xdr:blipFill>
      <xdr:spPr>
        <a:xfrm>
          <a:off x="0" y="8991720"/>
          <a:ext cx="568800" cy="621000"/>
        </a:xfrm>
        <a:prstGeom prst="rect">
          <a:avLst/>
        </a:prstGeom>
        <a:noFill/>
        <a:ln w="0">
          <a:noFill/>
        </a:ln>
      </xdr:spPr>
    </xdr:pic>
    <xdr:clientData/>
  </xdr:twoCellAnchor>
  <xdr:twoCellAnchor editAs="oneCell">
    <xdr:from>
      <xdr:col>0</xdr:col>
      <xdr:colOff>0</xdr:colOff>
      <xdr:row>67</xdr:row>
      <xdr:rowOff>162000</xdr:rowOff>
    </xdr:from>
    <xdr:to>
      <xdr:col>1</xdr:col>
      <xdr:colOff>187920</xdr:colOff>
      <xdr:row>71</xdr:row>
      <xdr:rowOff>1800</xdr:rowOff>
    </xdr:to>
    <xdr:pic>
      <xdr:nvPicPr>
        <xdr:cNvPr id="17" name="image1.png" descr=""/>
        <xdr:cNvPicPr/>
      </xdr:nvPicPr>
      <xdr:blipFill>
        <a:blip r:embed="rId5"/>
        <a:stretch/>
      </xdr:blipFill>
      <xdr:spPr>
        <a:xfrm>
          <a:off x="0" y="13858920"/>
          <a:ext cx="568800" cy="621000"/>
        </a:xfrm>
        <a:prstGeom prst="rect">
          <a:avLst/>
        </a:prstGeom>
        <a:noFill/>
        <a:ln w="0">
          <a:noFill/>
        </a:ln>
      </xdr:spPr>
    </xdr:pic>
    <xdr:clientData/>
  </xdr:twoCellAnchor>
  <xdr:twoCellAnchor editAs="oneCell">
    <xdr:from>
      <xdr:col>0</xdr:col>
      <xdr:colOff>19080</xdr:colOff>
      <xdr:row>0</xdr:row>
      <xdr:rowOff>171360</xdr:rowOff>
    </xdr:from>
    <xdr:to>
      <xdr:col>1</xdr:col>
      <xdr:colOff>207000</xdr:colOff>
      <xdr:row>4</xdr:row>
      <xdr:rowOff>11160</xdr:rowOff>
    </xdr:to>
    <xdr:pic>
      <xdr:nvPicPr>
        <xdr:cNvPr id="18" name="image1.png" descr=""/>
        <xdr:cNvPicPr/>
      </xdr:nvPicPr>
      <xdr:blipFill>
        <a:blip r:embed="rId6"/>
        <a:stretch/>
      </xdr:blipFill>
      <xdr:spPr>
        <a:xfrm>
          <a:off x="19080" y="171360"/>
          <a:ext cx="568800" cy="621000"/>
        </a:xfrm>
        <a:prstGeom prst="rect">
          <a:avLst/>
        </a:prstGeom>
        <a:noFill/>
        <a:ln w="0">
          <a:noFill/>
        </a:ln>
      </xdr:spPr>
    </xdr:pic>
    <xdr:clientData/>
  </xdr:twoCellAnchor>
  <xdr:twoCellAnchor editAs="oneCell">
    <xdr:from>
      <xdr:col>15</xdr:col>
      <xdr:colOff>19080</xdr:colOff>
      <xdr:row>24</xdr:row>
      <xdr:rowOff>171360</xdr:rowOff>
    </xdr:from>
    <xdr:to>
      <xdr:col>16</xdr:col>
      <xdr:colOff>207000</xdr:colOff>
      <xdr:row>28</xdr:row>
      <xdr:rowOff>11160</xdr:rowOff>
    </xdr:to>
    <xdr:pic>
      <xdr:nvPicPr>
        <xdr:cNvPr id="19" name="image1.png" descr=""/>
        <xdr:cNvPicPr/>
      </xdr:nvPicPr>
      <xdr:blipFill>
        <a:blip r:embed="rId7"/>
        <a:stretch/>
      </xdr:blipFill>
      <xdr:spPr>
        <a:xfrm>
          <a:off x="5391360" y="5038560"/>
          <a:ext cx="568800" cy="621000"/>
        </a:xfrm>
        <a:prstGeom prst="rect">
          <a:avLst/>
        </a:prstGeom>
        <a:noFill/>
        <a:ln w="0">
          <a:noFill/>
        </a:ln>
      </xdr:spPr>
    </xdr:pic>
    <xdr:clientData/>
  </xdr:twoCellAnchor>
  <xdr:twoCellAnchor editAs="oneCell">
    <xdr:from>
      <xdr:col>0</xdr:col>
      <xdr:colOff>19080</xdr:colOff>
      <xdr:row>24</xdr:row>
      <xdr:rowOff>171360</xdr:rowOff>
    </xdr:from>
    <xdr:to>
      <xdr:col>1</xdr:col>
      <xdr:colOff>207000</xdr:colOff>
      <xdr:row>28</xdr:row>
      <xdr:rowOff>11160</xdr:rowOff>
    </xdr:to>
    <xdr:pic>
      <xdr:nvPicPr>
        <xdr:cNvPr id="20" name="image1.png" descr=""/>
        <xdr:cNvPicPr/>
      </xdr:nvPicPr>
      <xdr:blipFill>
        <a:blip r:embed="rId8"/>
        <a:stretch/>
      </xdr:blipFill>
      <xdr:spPr>
        <a:xfrm>
          <a:off x="19080" y="5038560"/>
          <a:ext cx="568800" cy="621000"/>
        </a:xfrm>
        <a:prstGeom prst="rect">
          <a:avLst/>
        </a:prstGeom>
        <a:noFill/>
        <a:ln w="0">
          <a:noFill/>
        </a:ln>
      </xdr:spPr>
    </xdr:pic>
    <xdr:clientData/>
  </xdr:twoCellAnchor>
  <xdr:twoCellAnchor editAs="oneCell">
    <xdr:from>
      <xdr:col>15</xdr:col>
      <xdr:colOff>19080</xdr:colOff>
      <xdr:row>43</xdr:row>
      <xdr:rowOff>171360</xdr:rowOff>
    </xdr:from>
    <xdr:to>
      <xdr:col>16</xdr:col>
      <xdr:colOff>207000</xdr:colOff>
      <xdr:row>47</xdr:row>
      <xdr:rowOff>11520</xdr:rowOff>
    </xdr:to>
    <xdr:pic>
      <xdr:nvPicPr>
        <xdr:cNvPr id="21" name="image1.png" descr=""/>
        <xdr:cNvPicPr/>
      </xdr:nvPicPr>
      <xdr:blipFill>
        <a:blip r:embed="rId9"/>
        <a:stretch/>
      </xdr:blipFill>
      <xdr:spPr>
        <a:xfrm>
          <a:off x="5391360" y="9001080"/>
          <a:ext cx="568800" cy="621000"/>
        </a:xfrm>
        <a:prstGeom prst="rect">
          <a:avLst/>
        </a:prstGeom>
        <a:noFill/>
        <a:ln w="0">
          <a:noFill/>
        </a:ln>
      </xdr:spPr>
    </xdr:pic>
    <xdr:clientData/>
  </xdr:twoCellAnchor>
  <xdr:twoCellAnchor editAs="oneCell">
    <xdr:from>
      <xdr:col>0</xdr:col>
      <xdr:colOff>19080</xdr:colOff>
      <xdr:row>43</xdr:row>
      <xdr:rowOff>171360</xdr:rowOff>
    </xdr:from>
    <xdr:to>
      <xdr:col>1</xdr:col>
      <xdr:colOff>207000</xdr:colOff>
      <xdr:row>47</xdr:row>
      <xdr:rowOff>11520</xdr:rowOff>
    </xdr:to>
    <xdr:pic>
      <xdr:nvPicPr>
        <xdr:cNvPr id="22" name="image1.png" descr=""/>
        <xdr:cNvPicPr/>
      </xdr:nvPicPr>
      <xdr:blipFill>
        <a:blip r:embed="rId10"/>
        <a:stretch/>
      </xdr:blipFill>
      <xdr:spPr>
        <a:xfrm>
          <a:off x="19080" y="9001080"/>
          <a:ext cx="568800" cy="621000"/>
        </a:xfrm>
        <a:prstGeom prst="rect">
          <a:avLst/>
        </a:prstGeom>
        <a:noFill/>
        <a:ln w="0">
          <a:noFill/>
        </a:ln>
      </xdr:spPr>
    </xdr:pic>
    <xdr:clientData/>
  </xdr:twoCellAnchor>
  <xdr:twoCellAnchor editAs="oneCell">
    <xdr:from>
      <xdr:col>15</xdr:col>
      <xdr:colOff>19080</xdr:colOff>
      <xdr:row>67</xdr:row>
      <xdr:rowOff>171360</xdr:rowOff>
    </xdr:from>
    <xdr:to>
      <xdr:col>16</xdr:col>
      <xdr:colOff>207000</xdr:colOff>
      <xdr:row>71</xdr:row>
      <xdr:rowOff>11160</xdr:rowOff>
    </xdr:to>
    <xdr:pic>
      <xdr:nvPicPr>
        <xdr:cNvPr id="23" name="image1.png" descr=""/>
        <xdr:cNvPicPr/>
      </xdr:nvPicPr>
      <xdr:blipFill>
        <a:blip r:embed="rId11"/>
        <a:stretch/>
      </xdr:blipFill>
      <xdr:spPr>
        <a:xfrm>
          <a:off x="5391360" y="13868280"/>
          <a:ext cx="568800" cy="621000"/>
        </a:xfrm>
        <a:prstGeom prst="rect">
          <a:avLst/>
        </a:prstGeom>
        <a:noFill/>
        <a:ln w="0">
          <a:noFill/>
        </a:ln>
      </xdr:spPr>
    </xdr:pic>
    <xdr:clientData/>
  </xdr:twoCellAnchor>
  <xdr:twoCellAnchor editAs="oneCell">
    <xdr:from>
      <xdr:col>0</xdr:col>
      <xdr:colOff>19080</xdr:colOff>
      <xdr:row>67</xdr:row>
      <xdr:rowOff>171360</xdr:rowOff>
    </xdr:from>
    <xdr:to>
      <xdr:col>1</xdr:col>
      <xdr:colOff>207000</xdr:colOff>
      <xdr:row>71</xdr:row>
      <xdr:rowOff>11160</xdr:rowOff>
    </xdr:to>
    <xdr:pic>
      <xdr:nvPicPr>
        <xdr:cNvPr id="24" name="image1.png" descr=""/>
        <xdr:cNvPicPr/>
      </xdr:nvPicPr>
      <xdr:blipFill>
        <a:blip r:embed="rId12"/>
        <a:stretch/>
      </xdr:blipFill>
      <xdr:spPr>
        <a:xfrm>
          <a:off x="19080" y="13868280"/>
          <a:ext cx="568800" cy="62100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181080</xdr:colOff>
      <xdr:row>0</xdr:row>
      <xdr:rowOff>0</xdr:rowOff>
    </xdr:from>
    <xdr:to>
      <xdr:col>2</xdr:col>
      <xdr:colOff>726120</xdr:colOff>
      <xdr:row>1</xdr:row>
      <xdr:rowOff>192600</xdr:rowOff>
    </xdr:to>
    <xdr:pic>
      <xdr:nvPicPr>
        <xdr:cNvPr id="25" name="image1.png" descr=""/>
        <xdr:cNvPicPr/>
      </xdr:nvPicPr>
      <xdr:blipFill>
        <a:blip r:embed="rId1"/>
        <a:stretch/>
      </xdr:blipFill>
      <xdr:spPr>
        <a:xfrm>
          <a:off x="7534440" y="0"/>
          <a:ext cx="545040" cy="611640"/>
        </a:xfrm>
        <a:prstGeom prst="rect">
          <a:avLst/>
        </a:prstGeom>
        <a:noFill/>
        <a:ln w="0">
          <a:noFill/>
        </a:ln>
      </xdr:spPr>
    </xdr:pic>
    <xdr:clientData/>
  </xdr:twoCellAnchor>
  <xdr:twoCellAnchor editAs="oneCell">
    <xdr:from>
      <xdr:col>0</xdr:col>
      <xdr:colOff>9360</xdr:colOff>
      <xdr:row>0</xdr:row>
      <xdr:rowOff>0</xdr:rowOff>
    </xdr:from>
    <xdr:to>
      <xdr:col>0</xdr:col>
      <xdr:colOff>554400</xdr:colOff>
      <xdr:row>1</xdr:row>
      <xdr:rowOff>192600</xdr:rowOff>
    </xdr:to>
    <xdr:pic>
      <xdr:nvPicPr>
        <xdr:cNvPr id="26" name="image1.png" descr=""/>
        <xdr:cNvPicPr/>
      </xdr:nvPicPr>
      <xdr:blipFill>
        <a:blip r:embed="rId2"/>
        <a:stretch/>
      </xdr:blipFill>
      <xdr:spPr>
        <a:xfrm>
          <a:off x="9360" y="0"/>
          <a:ext cx="545040" cy="611640"/>
        </a:xfrm>
        <a:prstGeom prst="rect">
          <a:avLst/>
        </a:prstGeom>
        <a:noFill/>
        <a:ln w="0">
          <a:noFill/>
        </a:ln>
      </xdr:spPr>
    </xdr:pic>
    <xdr:clientData/>
  </xdr:twoCellAnchor>
  <xdr:twoCellAnchor editAs="oneCell">
    <xdr:from>
      <xdr:col>2</xdr:col>
      <xdr:colOff>181080</xdr:colOff>
      <xdr:row>17</xdr:row>
      <xdr:rowOff>74160</xdr:rowOff>
    </xdr:from>
    <xdr:to>
      <xdr:col>2</xdr:col>
      <xdr:colOff>726120</xdr:colOff>
      <xdr:row>18</xdr:row>
      <xdr:rowOff>266760</xdr:rowOff>
    </xdr:to>
    <xdr:pic>
      <xdr:nvPicPr>
        <xdr:cNvPr id="27" name="image1.png" descr=""/>
        <xdr:cNvPicPr/>
      </xdr:nvPicPr>
      <xdr:blipFill>
        <a:blip r:embed="rId3"/>
        <a:stretch/>
      </xdr:blipFill>
      <xdr:spPr>
        <a:xfrm>
          <a:off x="7534440" y="4998600"/>
          <a:ext cx="545040" cy="611640"/>
        </a:xfrm>
        <a:prstGeom prst="rect">
          <a:avLst/>
        </a:prstGeom>
        <a:noFill/>
        <a:ln w="0">
          <a:noFill/>
        </a:ln>
      </xdr:spPr>
    </xdr:pic>
    <xdr:clientData/>
  </xdr:twoCellAnchor>
  <xdr:twoCellAnchor editAs="oneCell">
    <xdr:from>
      <xdr:col>0</xdr:col>
      <xdr:colOff>9360</xdr:colOff>
      <xdr:row>17</xdr:row>
      <xdr:rowOff>74160</xdr:rowOff>
    </xdr:from>
    <xdr:to>
      <xdr:col>0</xdr:col>
      <xdr:colOff>554400</xdr:colOff>
      <xdr:row>18</xdr:row>
      <xdr:rowOff>266760</xdr:rowOff>
    </xdr:to>
    <xdr:pic>
      <xdr:nvPicPr>
        <xdr:cNvPr id="28" name="image1.png" descr=""/>
        <xdr:cNvPicPr/>
      </xdr:nvPicPr>
      <xdr:blipFill>
        <a:blip r:embed="rId4"/>
        <a:stretch/>
      </xdr:blipFill>
      <xdr:spPr>
        <a:xfrm>
          <a:off x="9360" y="4998600"/>
          <a:ext cx="545040" cy="6116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mh-support@handboogsport.nl" TargetMode="External"/>
</Relationships>
</file>

<file path=xl/worksheets/_rels/sheet5.xml.rels><?xml version="1.0" encoding="UTF-8"?>
<Relationships xmlns="http://schemas.openxmlformats.org/package/2006/relationships"><Relationship Id="rId1" Type="http://schemas.openxmlformats.org/officeDocument/2006/relationships/hyperlink" Target="mailto:mh-support@handboogsport.nl" TargetMode="External"/><Relationship Id="rId2"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P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8.45"/>
    <col collapsed="false" customWidth="true" hidden="false" outlineLevel="0" max="2" min="2" style="1" width="15.43"/>
    <col collapsed="false" customWidth="true" hidden="false" outlineLevel="0" max="3" min="3" style="1" width="17.57"/>
    <col collapsed="false" customWidth="true" hidden="false" outlineLevel="0" max="4" min="4" style="1" width="16.57"/>
    <col collapsed="false" customWidth="true" hidden="false" outlineLevel="0" max="12" min="5" style="1" width="8.71"/>
    <col collapsed="false" customWidth="false" hidden="false" outlineLevel="0" max="16384" min="13" style="1" width="14.43"/>
  </cols>
  <sheetData>
    <row r="1" customFormat="false" ht="14.25" hidden="false" customHeight="true" outlineLevel="0" collapsed="false">
      <c r="A1" s="2" t="s">
        <v>0</v>
      </c>
    </row>
    <row r="2" customFormat="false" ht="14.25" hidden="false" customHeight="true" outlineLevel="0" collapsed="false">
      <c r="A2" s="3" t="s">
        <v>1</v>
      </c>
      <c r="B2" s="3"/>
      <c r="D2" s="4" t="s">
        <v>2</v>
      </c>
      <c r="E2" s="5" t="s">
        <v>3</v>
      </c>
      <c r="F2" s="5"/>
      <c r="G2" s="6"/>
      <c r="H2" s="7" t="s">
        <v>4</v>
      </c>
      <c r="I2" s="5"/>
      <c r="J2" s="8"/>
    </row>
    <row r="3" customFormat="false" ht="14.25" hidden="false" customHeight="true" outlineLevel="0" collapsed="false">
      <c r="A3" s="9"/>
      <c r="B3" s="10"/>
      <c r="C3" s="10"/>
      <c r="D3" s="4"/>
      <c r="E3" s="11" t="s">
        <v>5</v>
      </c>
      <c r="F3" s="11"/>
      <c r="G3" s="11"/>
      <c r="H3" s="11"/>
      <c r="I3" s="11"/>
      <c r="J3" s="12"/>
    </row>
    <row r="4" customFormat="false" ht="14.25" hidden="false" customHeight="true" outlineLevel="0" collapsed="false">
      <c r="A4" s="9"/>
      <c r="B4" s="10"/>
      <c r="C4" s="10"/>
    </row>
    <row r="5" customFormat="false" ht="14.25" hidden="false" customHeight="true" outlineLevel="0" collapsed="false">
      <c r="A5" s="3" t="s">
        <v>6</v>
      </c>
      <c r="B5" s="3"/>
      <c r="C5" s="3"/>
    </row>
    <row r="6" customFormat="false" ht="14.25" hidden="false" customHeight="true" outlineLevel="0" collapsed="false">
      <c r="A6" s="1" t="s">
        <v>7</v>
      </c>
      <c r="B6" s="0"/>
    </row>
    <row r="7" customFormat="false" ht="14.25" hidden="false" customHeight="true" outlineLevel="0" collapsed="false">
      <c r="A7" s="1" t="s">
        <v>8</v>
      </c>
      <c r="B7" s="0"/>
    </row>
    <row r="8" customFormat="false" ht="14.25" hidden="false" customHeight="true" outlineLevel="0" collapsed="false">
      <c r="A8" s="1" t="s">
        <v>9</v>
      </c>
      <c r="B8" s="0"/>
    </row>
    <row r="9" customFormat="false" ht="14.25" hidden="false" customHeight="true" outlineLevel="0" collapsed="false"/>
    <row r="10" customFormat="false" ht="14.25" hidden="false" customHeight="true" outlineLevel="0" collapsed="false">
      <c r="A10" s="13" t="s">
        <v>10</v>
      </c>
    </row>
    <row r="11" customFormat="false" ht="14.25" hidden="false" customHeight="true" outlineLevel="0" collapsed="false">
      <c r="A11" s="13" t="s">
        <v>11</v>
      </c>
    </row>
    <row r="12" customFormat="false" ht="14.25" hidden="false" customHeight="true" outlineLevel="0" collapsed="false">
      <c r="A12" s="13" t="s">
        <v>12</v>
      </c>
    </row>
    <row r="13" customFormat="false" ht="14.25" hidden="false" customHeight="true" outlineLevel="0" collapsed="false">
      <c r="A13" s="13" t="s">
        <v>13</v>
      </c>
    </row>
    <row r="14" customFormat="false" ht="14.25" hidden="false" customHeight="true" outlineLevel="0" collapsed="false">
      <c r="A14" s="13" t="s">
        <v>14</v>
      </c>
    </row>
    <row r="15" customFormat="false" ht="14.25" hidden="false" customHeight="true" outlineLevel="0" collapsed="false"/>
    <row r="16" customFormat="false" ht="14.25" hidden="false" customHeight="true" outlineLevel="0" collapsed="false">
      <c r="A16" s="1" t="s">
        <v>15</v>
      </c>
    </row>
    <row r="17" customFormat="false" ht="14.25" hidden="false" customHeight="true" outlineLevel="0" collapsed="false">
      <c r="A17" s="14" t="s">
        <v>16</v>
      </c>
      <c r="B17" s="3" t="s">
        <v>17</v>
      </c>
      <c r="C17" s="3" t="s">
        <v>18</v>
      </c>
      <c r="D17" s="1" t="s">
        <v>19</v>
      </c>
    </row>
    <row r="18" customFormat="false" ht="14.25" hidden="false" customHeight="true" outlineLevel="0" collapsed="false">
      <c r="A18" s="14" t="s">
        <v>20</v>
      </c>
      <c r="B18" s="3" t="s">
        <v>21</v>
      </c>
      <c r="C18" s="3" t="s">
        <v>22</v>
      </c>
      <c r="D18" s="15" t="s">
        <v>23</v>
      </c>
      <c r="E18" s="15"/>
      <c r="F18" s="15"/>
      <c r="G18" s="15"/>
      <c r="H18" s="15"/>
      <c r="I18" s="15"/>
      <c r="J18" s="15"/>
      <c r="K18" s="15"/>
      <c r="L18" s="15"/>
      <c r="M18" s="15"/>
      <c r="N18" s="15"/>
      <c r="O18" s="15"/>
      <c r="P18" s="15"/>
    </row>
    <row r="19" customFormat="false" ht="14.25" hidden="false" customHeight="true" outlineLevel="0" collapsed="false">
      <c r="A19" s="14" t="s">
        <v>24</v>
      </c>
      <c r="B19" s="3" t="s">
        <v>25</v>
      </c>
      <c r="C19" s="3" t="s">
        <v>22</v>
      </c>
      <c r="D19" s="15"/>
      <c r="E19" s="15"/>
      <c r="F19" s="15"/>
      <c r="G19" s="15"/>
      <c r="H19" s="15"/>
      <c r="I19" s="15"/>
      <c r="J19" s="15"/>
      <c r="K19" s="15"/>
      <c r="L19" s="15"/>
      <c r="M19" s="15"/>
      <c r="N19" s="15"/>
      <c r="O19" s="15"/>
      <c r="P19" s="15"/>
    </row>
    <row r="20" customFormat="false" ht="14.25" hidden="false" customHeight="true" outlineLevel="0" collapsed="false">
      <c r="A20" s="14" t="s">
        <v>26</v>
      </c>
      <c r="B20" s="3" t="s">
        <v>27</v>
      </c>
      <c r="C20" s="3" t="s">
        <v>22</v>
      </c>
      <c r="D20" s="15"/>
      <c r="E20" s="15"/>
      <c r="F20" s="15"/>
      <c r="G20" s="15"/>
      <c r="H20" s="15"/>
      <c r="I20" s="15"/>
      <c r="J20" s="15"/>
      <c r="K20" s="15"/>
      <c r="L20" s="15"/>
      <c r="M20" s="15"/>
      <c r="N20" s="15"/>
      <c r="O20" s="15"/>
      <c r="P20" s="15"/>
    </row>
    <row r="21" customFormat="false" ht="14.25" hidden="false" customHeight="true" outlineLevel="0" collapsed="false"/>
    <row r="22" customFormat="false" ht="14.25" hidden="false" customHeight="true" outlineLevel="0" collapsed="false">
      <c r="A22" s="1" t="s">
        <v>28</v>
      </c>
    </row>
    <row r="23" customFormat="false" ht="14.25" hidden="false" customHeight="true" outlineLevel="0" collapsed="false">
      <c r="A23" s="1" t="s">
        <v>29</v>
      </c>
    </row>
    <row r="24" customFormat="false" ht="14.25" hidden="false" customHeight="true" outlineLevel="0" collapsed="false">
      <c r="A24" s="1" t="s">
        <v>30</v>
      </c>
    </row>
    <row r="25" customFormat="false" ht="14.25" hidden="false" customHeight="true" outlineLevel="0" collapsed="false">
      <c r="A25" s="1" t="s">
        <v>31</v>
      </c>
    </row>
    <row r="26" customFormat="false" ht="14.25" hidden="false" customHeight="true" outlineLevel="0" collapsed="false"/>
    <row r="27" customFormat="false" ht="14.25" hidden="false" customHeight="true" outlineLevel="0" collapsed="false">
      <c r="A27" s="2" t="s">
        <v>32</v>
      </c>
    </row>
    <row r="28" customFormat="false" ht="14.25" hidden="false" customHeight="true" outlineLevel="0" collapsed="false">
      <c r="A28" s="1" t="s">
        <v>33</v>
      </c>
    </row>
    <row r="29" customFormat="false" ht="14.25" hidden="false" customHeight="true" outlineLevel="0" collapsed="false">
      <c r="A29" s="1" t="s">
        <v>34</v>
      </c>
    </row>
    <row r="30" customFormat="false" ht="14.25" hidden="false" customHeight="true" outlineLevel="0" collapsed="false">
      <c r="A30" s="1" t="s">
        <v>35</v>
      </c>
    </row>
    <row r="31" customFormat="false" ht="14.25" hidden="false" customHeight="true" outlineLevel="0" collapsed="false">
      <c r="A31" s="1" t="s">
        <v>36</v>
      </c>
    </row>
    <row r="32" customFormat="false" ht="14.25" hidden="false" customHeight="true" outlineLevel="0" collapsed="false">
      <c r="A32" s="1" t="s">
        <v>37</v>
      </c>
    </row>
    <row r="33" customFormat="false" ht="14.25" hidden="false" customHeight="true" outlineLevel="0" collapsed="false">
      <c r="A33" s="1" t="s">
        <v>38</v>
      </c>
    </row>
    <row r="34" customFormat="false" ht="14.25" hidden="false" customHeight="true" outlineLevel="0" collapsed="false"/>
    <row r="35" customFormat="false" ht="14.25" hidden="false" customHeight="true" outlineLevel="0" collapsed="false">
      <c r="A35" s="2" t="s">
        <v>39</v>
      </c>
    </row>
    <row r="36" customFormat="false" ht="14.25" hidden="false" customHeight="true" outlineLevel="0" collapsed="false">
      <c r="A36" s="1" t="s">
        <v>40</v>
      </c>
    </row>
    <row r="37" customFormat="false" ht="14.25" hidden="false" customHeight="true" outlineLevel="0" collapsed="false">
      <c r="A37" s="1" t="s">
        <v>41</v>
      </c>
    </row>
    <row r="38" customFormat="false" ht="14.25" hidden="false" customHeight="true" outlineLevel="0" collapsed="false">
      <c r="A38" s="1" t="s">
        <v>42</v>
      </c>
    </row>
    <row r="39" customFormat="false" ht="14.25" hidden="false" customHeight="true" outlineLevel="0" collapsed="false">
      <c r="A39" s="1" t="s">
        <v>43</v>
      </c>
    </row>
    <row r="40" customFormat="false" ht="14.25" hidden="false" customHeight="true" outlineLevel="0" collapsed="false">
      <c r="A40" s="1" t="s">
        <v>44</v>
      </c>
    </row>
    <row r="41" customFormat="false" ht="14.25" hidden="false" customHeight="true" outlineLevel="0" collapsed="false">
      <c r="A41" s="1" t="s">
        <v>45</v>
      </c>
    </row>
    <row r="42" customFormat="false" ht="14.25" hidden="false" customHeight="true" outlineLevel="0" collapsed="false">
      <c r="A42" s="1" t="s">
        <v>46</v>
      </c>
    </row>
    <row r="43" customFormat="false" ht="14.25" hidden="false" customHeight="true" outlineLevel="0" collapsed="false">
      <c r="A43" s="1" t="s">
        <v>47</v>
      </c>
    </row>
    <row r="44" customFormat="false" ht="14.25" hidden="false" customHeight="true" outlineLevel="0" collapsed="false"/>
    <row r="45" customFormat="false" ht="14.25" hidden="false" customHeight="true" outlineLevel="0" collapsed="false">
      <c r="A45" s="2" t="s">
        <v>48</v>
      </c>
    </row>
    <row r="46" customFormat="false" ht="14.25" hidden="false" customHeight="true" outlineLevel="0" collapsed="false">
      <c r="A46" s="1" t="s">
        <v>49</v>
      </c>
    </row>
    <row r="47" customFormat="false" ht="14.25" hidden="false" customHeight="true" outlineLevel="0" collapsed="false">
      <c r="A47" s="1" t="s">
        <v>50</v>
      </c>
    </row>
    <row r="48" customFormat="false" ht="14.25" hidden="false" customHeight="true" outlineLevel="0" collapsed="false">
      <c r="A48" s="16"/>
      <c r="B48" s="16"/>
      <c r="C48" s="16"/>
      <c r="D48" s="16"/>
      <c r="E48" s="16"/>
    </row>
    <row r="49" customFormat="false" ht="14.25" hidden="false" customHeight="true" outlineLevel="0" collapsed="false">
      <c r="A49" s="16"/>
      <c r="B49" s="16"/>
      <c r="C49" s="16"/>
      <c r="D49" s="16"/>
      <c r="E49" s="16"/>
    </row>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sheetProtection sheet="true" password="f57c" objects="true" scenarios="true" selectLockedCells="true"/>
  <mergeCells count="2">
    <mergeCell ref="D2:D3"/>
    <mergeCell ref="D18:P20"/>
  </mergeCells>
  <hyperlinks>
    <hyperlink ref="H2" r:id="rId1" display="mh-support@handboogsport.nl"/>
  </hyperlinks>
  <printOptions headings="false" gridLines="false" gridLinesSet="true" horizontalCentered="false" verticalCentered="false"/>
  <pageMargins left="0.196527777777778" right="0.196527777777778" top="0.157638888888889" bottom="0.433333333333333" header="0.511811023622047" footer="0"/>
  <pageSetup paperSize="9" scale="100" fitToWidth="1" fitToHeight="1" pageOrder="downThenOver" orientation="landscape" blackAndWhite="false" draft="false" cellComments="none" horizontalDpi="300" verticalDpi="300" copies="1"/>
  <headerFooter differentFirst="false" differentOddEven="false">
    <oddHeader/>
    <oddFooter>&amp;CScore verwerking NHB beker versie 3.0&amp;RDS/NHB-Beker/V3.0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7" activeCellId="0" sqref="E7"/>
    </sheetView>
  </sheetViews>
  <sheetFormatPr defaultColWidth="9.14453125" defaultRowHeight="12.75" customHeight="true" zeroHeight="false" outlineLevelRow="0" outlineLevelCol="0"/>
  <cols>
    <col collapsed="false" customWidth="true" hidden="false" outlineLevel="0" max="1" min="1" style="16" width="1.14"/>
    <col collapsed="false" customWidth="true" hidden="false" outlineLevel="0" max="2" min="2" style="16" width="1.43"/>
    <col collapsed="false" customWidth="true" hidden="false" outlineLevel="0" max="3" min="3" style="16" width="5.28"/>
    <col collapsed="false" customWidth="true" hidden="false" outlineLevel="0" max="4" min="4" style="16" width="34.72"/>
    <col collapsed="false" customWidth="true" hidden="false" outlineLevel="0" max="5" min="5" style="17" width="28.86"/>
    <col collapsed="false" customWidth="true" hidden="false" outlineLevel="0" max="6" min="6" style="16" width="11.72"/>
    <col collapsed="false" customWidth="false" hidden="false" outlineLevel="0" max="7" min="7" style="16" width="9.14"/>
    <col collapsed="false" customWidth="true" hidden="false" outlineLevel="0" max="8" min="8" style="16" width="12.14"/>
    <col collapsed="false" customWidth="true" hidden="false" outlineLevel="0" max="9" min="9" style="16" width="31"/>
    <col collapsed="false" customWidth="false" hidden="false" outlineLevel="0" max="16384" min="10" style="16" width="9.14"/>
  </cols>
  <sheetData>
    <row r="1" customFormat="false" ht="21.75" hidden="false" customHeight="true" outlineLevel="0" collapsed="false">
      <c r="A1" s="18"/>
      <c r="B1" s="19" t="s">
        <v>51</v>
      </c>
      <c r="C1" s="19"/>
      <c r="D1" s="19"/>
      <c r="E1" s="19"/>
      <c r="F1" s="19"/>
      <c r="G1" s="19"/>
      <c r="H1" s="19"/>
      <c r="I1" s="19"/>
    </row>
    <row r="2" customFormat="false" ht="12.75" hidden="false" customHeight="true" outlineLevel="0" collapsed="false">
      <c r="A2" s="18"/>
      <c r="B2" s="20"/>
      <c r="C2" s="21"/>
      <c r="D2" s="22"/>
      <c r="E2" s="20"/>
      <c r="F2" s="20"/>
      <c r="G2" s="23"/>
      <c r="H2" s="23"/>
      <c r="I2" s="18"/>
    </row>
    <row r="3" customFormat="false" ht="13.5" hidden="false" customHeight="true" outlineLevel="0" collapsed="false"/>
    <row r="4" customFormat="false" ht="13.5" hidden="false" customHeight="true" outlineLevel="0" collapsed="false"/>
    <row r="5" customFormat="false" ht="12.75" hidden="false" customHeight="true" outlineLevel="0" collapsed="false">
      <c r="A5" s="18"/>
      <c r="B5" s="20"/>
      <c r="C5" s="24"/>
      <c r="D5" s="22"/>
      <c r="E5" s="20"/>
      <c r="F5" s="20"/>
      <c r="G5" s="23"/>
      <c r="H5" s="23"/>
      <c r="I5" s="18"/>
    </row>
    <row r="6" customFormat="false" ht="19.5" hidden="false" customHeight="true" outlineLevel="0" collapsed="false">
      <c r="A6" s="18"/>
      <c r="B6" s="20"/>
      <c r="C6" s="24"/>
      <c r="D6" s="25" t="s">
        <v>52</v>
      </c>
      <c r="E6" s="20"/>
      <c r="F6" s="20"/>
      <c r="G6" s="23"/>
      <c r="H6" s="23"/>
      <c r="I6" s="18"/>
    </row>
    <row r="7" customFormat="false" ht="13.5" hidden="false" customHeight="true" outlineLevel="0" collapsed="false">
      <c r="A7" s="18"/>
      <c r="B7" s="20"/>
      <c r="C7" s="24"/>
      <c r="D7" s="26" t="s">
        <v>53</v>
      </c>
      <c r="E7" s="20"/>
      <c r="F7" s="20"/>
      <c r="G7" s="23"/>
      <c r="H7" s="23"/>
      <c r="I7" s="18"/>
    </row>
    <row r="8" customFormat="false" ht="13.5" hidden="false" customHeight="true" outlineLevel="0" collapsed="false">
      <c r="A8" s="18"/>
      <c r="B8" s="20"/>
      <c r="C8" s="24"/>
      <c r="D8" s="26" t="s">
        <v>54</v>
      </c>
      <c r="E8" s="20"/>
      <c r="F8" s="20"/>
      <c r="G8" s="23"/>
      <c r="H8" s="23"/>
      <c r="I8" s="18"/>
    </row>
    <row r="9" customFormat="false" ht="12.75" hidden="false" customHeight="true" outlineLevel="0" collapsed="false">
      <c r="A9" s="18"/>
      <c r="B9" s="20"/>
      <c r="C9" s="24"/>
      <c r="D9" s="20"/>
      <c r="E9" s="20"/>
      <c r="F9" s="20"/>
      <c r="G9" s="23"/>
      <c r="H9" s="23"/>
      <c r="I9" s="18"/>
    </row>
    <row r="10" customFormat="false" ht="13.5" hidden="false" customHeight="true" outlineLevel="0" collapsed="false">
      <c r="A10" s="18"/>
      <c r="B10" s="27"/>
      <c r="C10" s="28"/>
      <c r="D10" s="29" t="s">
        <v>55</v>
      </c>
      <c r="E10" s="27"/>
      <c r="F10" s="27"/>
      <c r="G10" s="30"/>
      <c r="H10" s="30"/>
      <c r="I10" s="1"/>
    </row>
    <row r="11" customFormat="false" ht="13.5" hidden="false" customHeight="true" outlineLevel="0" collapsed="false">
      <c r="A11" s="18"/>
      <c r="B11" s="27"/>
      <c r="C11" s="28"/>
      <c r="D11" s="29" t="s">
        <v>56</v>
      </c>
      <c r="E11" s="27"/>
      <c r="F11" s="27"/>
      <c r="G11" s="30"/>
      <c r="H11" s="30"/>
      <c r="I11" s="1"/>
    </row>
    <row r="12" customFormat="false" ht="13.5" hidden="false" customHeight="true" outlineLevel="0" collapsed="false">
      <c r="A12" s="18"/>
      <c r="B12" s="27"/>
      <c r="C12" s="28"/>
      <c r="D12" s="29" t="s">
        <v>57</v>
      </c>
      <c r="E12" s="27"/>
      <c r="F12" s="27"/>
      <c r="G12" s="30"/>
      <c r="H12" s="30"/>
      <c r="I12" s="1"/>
    </row>
    <row r="13" customFormat="false" ht="13.5" hidden="false" customHeight="true" outlineLevel="0" collapsed="false">
      <c r="A13" s="18"/>
      <c r="B13" s="27"/>
      <c r="C13" s="28"/>
      <c r="D13" s="31" t="s">
        <v>58</v>
      </c>
      <c r="E13" s="27"/>
      <c r="F13" s="32"/>
      <c r="G13" s="30"/>
      <c r="H13" s="30"/>
      <c r="I13" s="1"/>
    </row>
    <row r="14" customFormat="false" ht="13.5" hidden="false" customHeight="true" outlineLevel="0" collapsed="false">
      <c r="A14" s="18"/>
      <c r="B14" s="32"/>
      <c r="C14" s="28"/>
      <c r="D14" s="33"/>
      <c r="E14" s="27"/>
      <c r="F14" s="32"/>
      <c r="G14" s="30"/>
      <c r="H14" s="30"/>
      <c r="I14" s="1"/>
    </row>
    <row r="15" customFormat="false" ht="13.5" hidden="false" customHeight="true" outlineLevel="0" collapsed="false">
      <c r="A15" s="18"/>
      <c r="B15" s="34"/>
      <c r="C15" s="35"/>
      <c r="D15" s="36"/>
      <c r="E15" s="36"/>
      <c r="F15" s="36"/>
      <c r="G15" s="37"/>
      <c r="H15" s="37"/>
      <c r="I15" s="38"/>
    </row>
    <row r="16" customFormat="false" ht="13.5" hidden="false" customHeight="true" outlineLevel="0" collapsed="false">
      <c r="A16" s="18"/>
      <c r="B16" s="39"/>
      <c r="C16" s="40" t="s">
        <v>59</v>
      </c>
      <c r="D16" s="41" t="s">
        <v>60</v>
      </c>
      <c r="E16" s="41" t="s">
        <v>61</v>
      </c>
      <c r="F16" s="41" t="s">
        <v>22</v>
      </c>
      <c r="G16" s="42" t="s">
        <v>62</v>
      </c>
      <c r="H16" s="42" t="s">
        <v>63</v>
      </c>
      <c r="I16" s="43" t="s">
        <v>64</v>
      </c>
    </row>
    <row r="17" customFormat="false" ht="13.5" hidden="false" customHeight="true" outlineLevel="0" collapsed="false">
      <c r="A17" s="18"/>
      <c r="B17" s="32"/>
      <c r="C17" s="28"/>
      <c r="D17" s="33"/>
      <c r="E17" s="33"/>
      <c r="F17" s="33"/>
      <c r="G17" s="44"/>
      <c r="H17" s="44"/>
      <c r="I17" s="1"/>
    </row>
    <row r="18" customFormat="false" ht="13.5" hidden="false" customHeight="true" outlineLevel="0" collapsed="false">
      <c r="A18" s="18"/>
      <c r="B18" s="26"/>
      <c r="C18" s="45" t="n">
        <v>114</v>
      </c>
      <c r="D18" s="26" t="s">
        <v>65</v>
      </c>
      <c r="E18" s="26" t="s">
        <v>21</v>
      </c>
      <c r="F18" s="26" t="n">
        <v>500001</v>
      </c>
      <c r="G18" s="46" t="s">
        <v>66</v>
      </c>
      <c r="H18" s="46" t="s">
        <v>67</v>
      </c>
      <c r="I18" s="1"/>
    </row>
    <row r="19" customFormat="false" ht="13.5" hidden="false" customHeight="true" outlineLevel="0" collapsed="false">
      <c r="A19" s="18"/>
      <c r="B19" s="32"/>
      <c r="C19" s="28"/>
      <c r="D19" s="33"/>
      <c r="E19" s="27" t="s">
        <v>25</v>
      </c>
      <c r="F19" s="26" t="n">
        <v>500002</v>
      </c>
      <c r="G19" s="30" t="s">
        <v>68</v>
      </c>
      <c r="H19" s="30" t="s">
        <v>67</v>
      </c>
      <c r="I19" s="1"/>
    </row>
    <row r="20" customFormat="false" ht="13.5" hidden="false" customHeight="true" outlineLevel="0" collapsed="false">
      <c r="A20" s="18"/>
      <c r="B20" s="32"/>
      <c r="C20" s="28"/>
      <c r="D20" s="33"/>
      <c r="E20" s="27" t="s">
        <v>27</v>
      </c>
      <c r="F20" s="26" t="n">
        <v>500003</v>
      </c>
      <c r="G20" s="30" t="s">
        <v>69</v>
      </c>
      <c r="H20" s="30" t="s">
        <v>67</v>
      </c>
      <c r="I20" s="1"/>
    </row>
    <row r="21" customFormat="false" ht="13.5" hidden="false" customHeight="true" outlineLevel="0" collapsed="false">
      <c r="A21" s="18"/>
      <c r="B21" s="32"/>
      <c r="C21" s="28"/>
      <c r="D21" s="33"/>
      <c r="E21" s="27" t="s">
        <v>70</v>
      </c>
      <c r="F21" s="26" t="n">
        <v>500004</v>
      </c>
      <c r="G21" s="30" t="s">
        <v>71</v>
      </c>
      <c r="H21" s="30" t="s">
        <v>67</v>
      </c>
      <c r="I21" s="1"/>
    </row>
    <row r="22" customFormat="false" ht="15" hidden="false" customHeight="true" outlineLevel="0" collapsed="false">
      <c r="E22" s="27" t="s">
        <v>72</v>
      </c>
      <c r="F22" s="26" t="n">
        <v>500005</v>
      </c>
      <c r="G22" s="30" t="s">
        <v>73</v>
      </c>
      <c r="H22" s="1" t="s">
        <v>67</v>
      </c>
      <c r="I22" s="1"/>
    </row>
    <row r="23" customFormat="false" ht="15" hidden="false" customHeight="true" outlineLevel="0" collapsed="false">
      <c r="E23" s="27" t="s">
        <v>74</v>
      </c>
      <c r="F23" s="26" t="n">
        <v>500006</v>
      </c>
      <c r="G23" s="30" t="s">
        <v>75</v>
      </c>
      <c r="H23" s="1" t="s">
        <v>67</v>
      </c>
      <c r="I23" s="1"/>
    </row>
    <row r="24" customFormat="false" ht="15" hidden="false" customHeight="true" outlineLevel="0" collapsed="false">
      <c r="E24" s="27" t="s">
        <v>76</v>
      </c>
      <c r="F24" s="26" t="n">
        <v>500010</v>
      </c>
      <c r="G24" s="30" t="s">
        <v>77</v>
      </c>
      <c r="H24" s="1" t="s">
        <v>78</v>
      </c>
      <c r="I24" s="1"/>
    </row>
    <row r="25" customFormat="false" ht="15" hidden="false" customHeight="true" outlineLevel="0" collapsed="false">
      <c r="E25" s="27" t="s">
        <v>79</v>
      </c>
      <c r="F25" s="26" t="n">
        <v>500011</v>
      </c>
      <c r="G25" s="30" t="s">
        <v>80</v>
      </c>
      <c r="H25" s="1" t="s">
        <v>81</v>
      </c>
      <c r="I25" s="1"/>
    </row>
    <row r="26" customFormat="false" ht="15" hidden="false" customHeight="true" outlineLevel="0" collapsed="false">
      <c r="E26" s="27"/>
      <c r="F26" s="1"/>
      <c r="G26" s="30"/>
      <c r="H26" s="1"/>
      <c r="I26" s="1"/>
    </row>
    <row r="27" customFormat="false" ht="15" hidden="false" customHeight="true" outlineLevel="0" collapsed="false">
      <c r="C27" s="47" t="n">
        <v>115</v>
      </c>
      <c r="D27" s="27" t="s">
        <v>82</v>
      </c>
      <c r="E27" s="26" t="s">
        <v>21</v>
      </c>
      <c r="F27" s="1" t="s">
        <v>83</v>
      </c>
      <c r="G27" s="30" t="s">
        <v>84</v>
      </c>
      <c r="H27" s="1" t="s">
        <v>67</v>
      </c>
      <c r="I27" s="1"/>
    </row>
    <row r="28" customFormat="false" ht="15" hidden="false" customHeight="true" outlineLevel="0" collapsed="false">
      <c r="E28" s="27" t="s">
        <v>25</v>
      </c>
      <c r="F28" s="1" t="s">
        <v>85</v>
      </c>
      <c r="G28" s="30" t="s">
        <v>86</v>
      </c>
      <c r="H28" s="1" t="s">
        <v>67</v>
      </c>
      <c r="I28" s="1"/>
    </row>
    <row r="29" customFormat="false" ht="15" hidden="false" customHeight="true" outlineLevel="0" collapsed="false">
      <c r="E29" s="27" t="s">
        <v>27</v>
      </c>
      <c r="F29" s="1" t="s">
        <v>87</v>
      </c>
      <c r="G29" s="30" t="s">
        <v>88</v>
      </c>
      <c r="H29" s="1" t="s">
        <v>67</v>
      </c>
      <c r="I29" s="1"/>
    </row>
    <row r="30" customFormat="false" ht="13.8" hidden="false" customHeight="false" outlineLevel="0" collapsed="false">
      <c r="E30" s="27" t="s">
        <v>70</v>
      </c>
      <c r="F30" s="1" t="s">
        <v>89</v>
      </c>
      <c r="G30" s="30" t="s">
        <v>90</v>
      </c>
      <c r="H30" s="1" t="s">
        <v>67</v>
      </c>
      <c r="I30" s="1"/>
    </row>
    <row r="31" customFormat="false" ht="15" hidden="false" customHeight="true" outlineLevel="0" collapsed="false">
      <c r="C31" s="47"/>
      <c r="D31" s="27"/>
      <c r="E31" s="27" t="s">
        <v>72</v>
      </c>
      <c r="F31" s="1" t="s">
        <v>91</v>
      </c>
      <c r="G31" s="30" t="s">
        <v>92</v>
      </c>
      <c r="H31" s="1" t="s">
        <v>67</v>
      </c>
      <c r="I31" s="1"/>
    </row>
    <row r="32" customFormat="false" ht="15" hidden="false" customHeight="true" outlineLevel="0" collapsed="false">
      <c r="E32" s="27" t="s">
        <v>74</v>
      </c>
      <c r="F32" s="1" t="s">
        <v>93</v>
      </c>
      <c r="G32" s="30" t="s">
        <v>94</v>
      </c>
      <c r="H32" s="1" t="s">
        <v>67</v>
      </c>
      <c r="I32" s="1"/>
    </row>
    <row r="33" customFormat="false" ht="15" hidden="false" customHeight="true" outlineLevel="0" collapsed="false">
      <c r="E33" s="27" t="s">
        <v>76</v>
      </c>
      <c r="F33" s="1" t="s">
        <v>95</v>
      </c>
      <c r="G33" s="30" t="s">
        <v>96</v>
      </c>
      <c r="H33" s="1" t="s">
        <v>67</v>
      </c>
      <c r="I33" s="1"/>
    </row>
    <row r="34" customFormat="false" ht="15" hidden="false" customHeight="true" outlineLevel="0" collapsed="false">
      <c r="E34" s="27" t="s">
        <v>79</v>
      </c>
      <c r="F34" s="1" t="s">
        <v>97</v>
      </c>
      <c r="G34" s="30" t="s">
        <v>98</v>
      </c>
      <c r="H34" s="1" t="s">
        <v>99</v>
      </c>
      <c r="I34" s="1"/>
    </row>
    <row r="35" customFormat="false" ht="15" hidden="false" customHeight="true" outlineLevel="0" collapsed="false">
      <c r="E35" s="27"/>
      <c r="F35" s="1"/>
      <c r="G35" s="30"/>
      <c r="H35" s="1"/>
      <c r="I35" s="1"/>
    </row>
    <row r="36" customFormat="false" ht="15" hidden="false" customHeight="true" outlineLevel="0" collapsed="false">
      <c r="B36" s="27" t="s">
        <v>100</v>
      </c>
      <c r="E36" s="27"/>
      <c r="F36" s="1"/>
      <c r="G36" s="30"/>
      <c r="H36" s="1"/>
      <c r="I36" s="1"/>
    </row>
    <row r="37" customFormat="false" ht="15" hidden="false" customHeight="true" outlineLevel="0" collapsed="false">
      <c r="E37" s="27"/>
      <c r="F37" s="1"/>
      <c r="G37" s="30"/>
      <c r="H37" s="1"/>
      <c r="I37" s="1"/>
    </row>
    <row r="38" customFormat="false" ht="15" hidden="false" customHeight="true" outlineLevel="0" collapsed="false">
      <c r="E38" s="27"/>
      <c r="F38" s="1"/>
      <c r="G38" s="30"/>
      <c r="H38" s="1"/>
      <c r="I38" s="1"/>
    </row>
    <row r="39" customFormat="false" ht="15" hidden="false" customHeight="true" outlineLevel="0" collapsed="false">
      <c r="E39" s="27"/>
      <c r="F39" s="1"/>
      <c r="G39" s="30"/>
      <c r="H39" s="1"/>
      <c r="I39" s="1"/>
    </row>
    <row r="40" customFormat="false" ht="15" hidden="false" customHeight="true" outlineLevel="0" collapsed="false">
      <c r="E40" s="27"/>
      <c r="F40" s="1"/>
      <c r="G40" s="30"/>
      <c r="H40" s="1"/>
      <c r="I40" s="1"/>
    </row>
    <row r="41" customFormat="false" ht="15" hidden="false" customHeight="true" outlineLevel="0" collapsed="false">
      <c r="E41" s="27"/>
      <c r="F41" s="1"/>
      <c r="G41" s="30"/>
      <c r="H41" s="1"/>
      <c r="I41" s="1"/>
    </row>
    <row r="43" customFormat="false" ht="15" hidden="false" customHeight="true" outlineLevel="0" collapsed="false">
      <c r="C43" s="47"/>
      <c r="D43" s="27"/>
      <c r="E43" s="27"/>
      <c r="F43" s="1"/>
      <c r="G43" s="30"/>
      <c r="H43" s="1"/>
      <c r="I43" s="1"/>
    </row>
    <row r="44" customFormat="false" ht="15" hidden="false" customHeight="true" outlineLevel="0" collapsed="false">
      <c r="E44" s="27"/>
      <c r="F44" s="1"/>
      <c r="G44" s="30"/>
      <c r="H44" s="1"/>
      <c r="I44" s="1"/>
    </row>
    <row r="45" customFormat="false" ht="15" hidden="false" customHeight="true" outlineLevel="0" collapsed="false">
      <c r="E45" s="27"/>
      <c r="F45" s="1"/>
      <c r="G45" s="30"/>
      <c r="H45" s="1"/>
      <c r="I45" s="1"/>
    </row>
    <row r="46" customFormat="false" ht="15" hidden="false" customHeight="true" outlineLevel="0" collapsed="false">
      <c r="E46" s="27"/>
      <c r="F46" s="1"/>
      <c r="G46" s="30"/>
      <c r="H46" s="1"/>
      <c r="I46" s="1"/>
    </row>
    <row r="47" customFormat="false" ht="15" hidden="false" customHeight="true" outlineLevel="0" collapsed="false">
      <c r="E47" s="27"/>
      <c r="F47" s="1"/>
      <c r="G47" s="30"/>
      <c r="H47" s="1"/>
      <c r="I47" s="1"/>
    </row>
    <row r="48" customFormat="false" ht="15" hidden="false" customHeight="true" outlineLevel="0" collapsed="false">
      <c r="E48" s="27"/>
      <c r="F48" s="1"/>
      <c r="G48" s="30"/>
      <c r="H48" s="1"/>
      <c r="I48" s="1"/>
    </row>
    <row r="49" customFormat="false" ht="15" hidden="false" customHeight="true" outlineLevel="0" collapsed="false">
      <c r="E49" s="27"/>
      <c r="F49" s="1"/>
      <c r="G49" s="30"/>
      <c r="H49" s="1"/>
      <c r="I49" s="1"/>
    </row>
    <row r="50" customFormat="false" ht="15" hidden="false" customHeight="true" outlineLevel="0" collapsed="false">
      <c r="E50" s="27"/>
      <c r="F50" s="1"/>
      <c r="G50" s="30"/>
      <c r="H50" s="1"/>
      <c r="I50" s="1"/>
    </row>
    <row r="51" customFormat="false" ht="15" hidden="false" customHeight="true" outlineLevel="0" collapsed="false">
      <c r="E51" s="27"/>
      <c r="F51" s="1"/>
      <c r="G51" s="30"/>
      <c r="H51" s="1"/>
      <c r="I51" s="1"/>
    </row>
    <row r="52" customFormat="false" ht="15" hidden="false" customHeight="true" outlineLevel="0" collapsed="false">
      <c r="E52" s="27"/>
      <c r="F52" s="1"/>
      <c r="G52" s="30"/>
      <c r="H52" s="1"/>
      <c r="I52" s="1"/>
    </row>
    <row r="53" customFormat="false" ht="15" hidden="false" customHeight="true" outlineLevel="0" collapsed="false">
      <c r="E53" s="27"/>
      <c r="F53" s="1"/>
      <c r="G53" s="30"/>
      <c r="H53" s="1"/>
      <c r="I53" s="1"/>
    </row>
    <row r="54" customFormat="false" ht="15" hidden="false" customHeight="true" outlineLevel="0" collapsed="false">
      <c r="E54" s="27"/>
      <c r="F54" s="1"/>
      <c r="G54" s="30"/>
      <c r="H54" s="1"/>
      <c r="I54" s="1"/>
    </row>
    <row r="55" customFormat="false" ht="15" hidden="false" customHeight="true" outlineLevel="0" collapsed="false">
      <c r="E55" s="27"/>
      <c r="F55" s="1"/>
      <c r="G55" s="30"/>
      <c r="H55" s="1"/>
      <c r="I55" s="1"/>
    </row>
    <row r="57" customFormat="false" ht="15" hidden="false" customHeight="true" outlineLevel="0" collapsed="false">
      <c r="C57" s="47"/>
      <c r="D57" s="27"/>
      <c r="E57" s="27"/>
      <c r="F57" s="1"/>
      <c r="G57" s="30"/>
      <c r="H57" s="1"/>
      <c r="I57" s="1"/>
    </row>
    <row r="58" customFormat="false" ht="15" hidden="false" customHeight="true" outlineLevel="0" collapsed="false">
      <c r="E58" s="27"/>
      <c r="F58" s="1"/>
      <c r="G58" s="30"/>
      <c r="H58" s="1"/>
      <c r="I58" s="1"/>
    </row>
    <row r="59" customFormat="false" ht="15" hidden="false" customHeight="true" outlineLevel="0" collapsed="false">
      <c r="E59" s="27"/>
      <c r="F59" s="1"/>
      <c r="G59" s="30"/>
      <c r="H59" s="1"/>
      <c r="I59" s="1"/>
    </row>
    <row r="60" customFormat="false" ht="15" hidden="false" customHeight="true" outlineLevel="0" collapsed="false">
      <c r="E60" s="27"/>
      <c r="F60" s="1"/>
      <c r="G60" s="30"/>
      <c r="H60" s="1"/>
      <c r="I60" s="1"/>
    </row>
    <row r="61" customFormat="false" ht="15" hidden="false" customHeight="true" outlineLevel="0" collapsed="false">
      <c r="E61" s="27"/>
      <c r="F61" s="1"/>
      <c r="G61" s="30"/>
      <c r="H61" s="1"/>
      <c r="I61" s="1"/>
    </row>
    <row r="63" customFormat="false" ht="15" hidden="false" customHeight="true" outlineLevel="0" collapsed="false">
      <c r="B63" s="27"/>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sheetProtection sheet="true" password="f57c" objects="true" scenarios="true"/>
  <mergeCells count="1">
    <mergeCell ref="B1:I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3" activeCellId="0" sqref="D43"/>
    </sheetView>
  </sheetViews>
  <sheetFormatPr defaultColWidth="14.4296875" defaultRowHeight="15" customHeight="true" zeroHeight="false" outlineLevelRow="0" outlineLevelCol="0"/>
  <cols>
    <col collapsed="false" customWidth="true" hidden="false" outlineLevel="0" max="1" min="1" style="48" width="12.72"/>
    <col collapsed="false" customWidth="true" hidden="false" outlineLevel="0" max="2" min="2" style="48" width="36.57"/>
    <col collapsed="false" customWidth="true" hidden="false" outlineLevel="0" max="3" min="3" style="48" width="13.29"/>
    <col collapsed="false" customWidth="true" hidden="false" outlineLevel="0" max="4" min="4" style="49" width="14"/>
    <col collapsed="false" customWidth="true" hidden="false" outlineLevel="0" max="5" min="5" style="48" width="14.72"/>
    <col collapsed="false" customWidth="true" hidden="false" outlineLevel="0" max="25" min="6" style="48" width="9.14"/>
    <col collapsed="false" customWidth="false" hidden="false" outlineLevel="0" max="16384" min="26" style="48" width="14.43"/>
  </cols>
  <sheetData>
    <row r="1" customFormat="false" ht="14.25" hidden="false" customHeight="true" outlineLevel="0" collapsed="false">
      <c r="A1" s="1"/>
      <c r="B1" s="50" t="s">
        <v>101</v>
      </c>
      <c r="C1" s="50"/>
      <c r="D1" s="50"/>
      <c r="E1" s="51"/>
      <c r="F1" s="51"/>
      <c r="G1" s="51"/>
      <c r="H1" s="51"/>
      <c r="I1" s="51"/>
      <c r="J1" s="51"/>
      <c r="K1" s="51"/>
      <c r="L1" s="51"/>
      <c r="M1" s="51"/>
      <c r="N1" s="51"/>
      <c r="O1" s="51"/>
      <c r="P1" s="51"/>
      <c r="Q1" s="51"/>
      <c r="R1" s="51"/>
      <c r="S1" s="51"/>
      <c r="T1" s="51"/>
      <c r="U1" s="51"/>
      <c r="V1" s="51"/>
      <c r="W1" s="51"/>
      <c r="X1" s="51"/>
      <c r="Y1" s="51"/>
      <c r="Z1" s="51"/>
    </row>
    <row r="2" customFormat="false" ht="14.25" hidden="false" customHeight="true" outlineLevel="0" collapsed="false">
      <c r="A2" s="52" t="s">
        <v>102</v>
      </c>
      <c r="B2" s="53" t="s">
        <v>103</v>
      </c>
      <c r="C2" s="53"/>
      <c r="D2" s="53"/>
      <c r="E2" s="51"/>
      <c r="F2" s="51"/>
      <c r="G2" s="51"/>
      <c r="H2" s="51"/>
      <c r="I2" s="51"/>
      <c r="J2" s="51"/>
      <c r="K2" s="51"/>
      <c r="L2" s="51"/>
      <c r="M2" s="51"/>
      <c r="N2" s="51"/>
      <c r="O2" s="51"/>
      <c r="P2" s="51"/>
      <c r="Q2" s="51"/>
      <c r="R2" s="51"/>
      <c r="S2" s="51"/>
      <c r="T2" s="51"/>
      <c r="U2" s="51"/>
      <c r="V2" s="51"/>
      <c r="W2" s="51"/>
      <c r="X2" s="51"/>
      <c r="Y2" s="51"/>
      <c r="Z2" s="51"/>
    </row>
    <row r="3" customFormat="false" ht="14.25" hidden="false" customHeight="true" outlineLevel="0" collapsed="false">
      <c r="A3" s="52" t="s">
        <v>104</v>
      </c>
      <c r="B3" s="53" t="s">
        <v>105</v>
      </c>
      <c r="C3" s="53"/>
      <c r="D3" s="53"/>
      <c r="E3" s="51"/>
      <c r="F3" s="51"/>
      <c r="G3" s="51"/>
      <c r="H3" s="51"/>
      <c r="I3" s="51"/>
      <c r="J3" s="51"/>
      <c r="K3" s="51"/>
      <c r="L3" s="51"/>
      <c r="M3" s="51"/>
      <c r="N3" s="51"/>
      <c r="O3" s="51"/>
      <c r="P3" s="51"/>
      <c r="Q3" s="51"/>
      <c r="R3" s="51"/>
      <c r="S3" s="51"/>
      <c r="T3" s="51"/>
      <c r="U3" s="51"/>
      <c r="V3" s="51"/>
      <c r="W3" s="51"/>
      <c r="X3" s="51"/>
      <c r="Y3" s="51"/>
      <c r="Z3" s="51"/>
    </row>
    <row r="4" customFormat="false" ht="14.25" hidden="false" customHeight="true" outlineLevel="0" collapsed="false">
      <c r="A4" s="52" t="s">
        <v>106</v>
      </c>
      <c r="B4" s="54" t="s">
        <v>107</v>
      </c>
      <c r="C4" s="55" t="s">
        <v>108</v>
      </c>
      <c r="D4" s="56" t="n">
        <v>1</v>
      </c>
      <c r="E4" s="51"/>
      <c r="F4" s="51"/>
      <c r="G4" s="51"/>
      <c r="H4" s="51"/>
      <c r="I4" s="51"/>
      <c r="J4" s="51"/>
      <c r="K4" s="51"/>
      <c r="L4" s="51"/>
      <c r="M4" s="51"/>
      <c r="N4" s="51"/>
      <c r="O4" s="51"/>
      <c r="P4" s="51"/>
      <c r="Q4" s="51"/>
      <c r="R4" s="51"/>
      <c r="S4" s="51"/>
      <c r="T4" s="51"/>
      <c r="U4" s="51"/>
      <c r="V4" s="51"/>
      <c r="W4" s="51"/>
      <c r="X4" s="51"/>
      <c r="Y4" s="51"/>
      <c r="Z4" s="51"/>
    </row>
    <row r="5" customFormat="false" ht="14.25" hidden="false" customHeight="true" outlineLevel="0" collapsed="false">
      <c r="A5" s="1"/>
      <c r="B5" s="57" t="s">
        <v>109</v>
      </c>
      <c r="C5" s="57"/>
      <c r="D5" s="58" t="s">
        <v>110</v>
      </c>
      <c r="E5" s="59"/>
      <c r="F5" s="51"/>
      <c r="G5" s="51"/>
      <c r="H5" s="51"/>
      <c r="I5" s="51"/>
      <c r="J5" s="51"/>
      <c r="K5" s="51"/>
      <c r="L5" s="51"/>
      <c r="M5" s="51"/>
      <c r="N5" s="51"/>
      <c r="O5" s="51"/>
      <c r="P5" s="51"/>
      <c r="Q5" s="51"/>
      <c r="R5" s="51"/>
      <c r="S5" s="51"/>
      <c r="T5" s="51"/>
      <c r="U5" s="51"/>
      <c r="V5" s="51"/>
      <c r="W5" s="51"/>
      <c r="X5" s="51"/>
      <c r="Y5" s="51"/>
      <c r="Z5" s="51"/>
    </row>
    <row r="6" customFormat="false" ht="14.25" hidden="false" customHeight="true" outlineLevel="0" collapsed="false">
      <c r="A6" s="60" t="s">
        <v>111</v>
      </c>
      <c r="B6" s="60"/>
      <c r="C6" s="60"/>
      <c r="D6" s="60"/>
    </row>
    <row r="7" customFormat="false" ht="14.25" hidden="false" customHeight="true" outlineLevel="0" collapsed="false">
      <c r="A7" s="14"/>
      <c r="B7" s="1" t="s">
        <v>112</v>
      </c>
      <c r="C7" s="1" t="s">
        <v>113</v>
      </c>
      <c r="D7" s="61" t="s">
        <v>62</v>
      </c>
    </row>
    <row r="8" customFormat="false" ht="14.25" hidden="false" customHeight="true" outlineLevel="0" collapsed="false">
      <c r="A8" s="62" t="str">
        <f aca="false">CONCATENATE("Baan ",D$4)</f>
        <v>Baan 1</v>
      </c>
      <c r="B8" s="63"/>
      <c r="C8" s="64"/>
      <c r="D8" s="65"/>
    </row>
    <row r="9" customFormat="false" ht="14.25" hidden="false" customHeight="true" outlineLevel="0" collapsed="false">
      <c r="A9" s="14" t="s">
        <v>20</v>
      </c>
      <c r="B9" s="66"/>
      <c r="C9" s="67"/>
      <c r="D9" s="65"/>
    </row>
    <row r="10" customFormat="false" ht="14.25" hidden="false" customHeight="true" outlineLevel="0" collapsed="false">
      <c r="A10" s="14" t="s">
        <v>24</v>
      </c>
      <c r="B10" s="66"/>
      <c r="C10" s="67"/>
      <c r="D10" s="65"/>
    </row>
    <row r="11" customFormat="false" ht="14.25" hidden="false" customHeight="true" outlineLevel="0" collapsed="false">
      <c r="A11" s="14" t="s">
        <v>26</v>
      </c>
      <c r="B11" s="68"/>
      <c r="C11" s="69"/>
      <c r="D11" s="65"/>
    </row>
    <row r="12" customFormat="false" ht="14.25" hidden="false" customHeight="true" outlineLevel="0" collapsed="false">
      <c r="A12" s="14"/>
      <c r="B12" s="1" t="s">
        <v>112</v>
      </c>
      <c r="C12" s="1" t="s">
        <v>113</v>
      </c>
      <c r="D12" s="61"/>
    </row>
    <row r="13" customFormat="false" ht="14.25" hidden="false" customHeight="true" outlineLevel="0" collapsed="false">
      <c r="A13" s="62" t="str">
        <f aca="false">CONCATENATE("Baan ",D$4+1)</f>
        <v>Baan 2</v>
      </c>
      <c r="B13" s="63"/>
      <c r="C13" s="64"/>
      <c r="D13" s="65"/>
    </row>
    <row r="14" customFormat="false" ht="14.25" hidden="false" customHeight="true" outlineLevel="0" collapsed="false">
      <c r="A14" s="14" t="s">
        <v>20</v>
      </c>
      <c r="B14" s="66"/>
      <c r="C14" s="67"/>
      <c r="D14" s="65"/>
    </row>
    <row r="15" customFormat="false" ht="14.25" hidden="false" customHeight="true" outlineLevel="0" collapsed="false">
      <c r="A15" s="14" t="s">
        <v>24</v>
      </c>
      <c r="B15" s="66"/>
      <c r="C15" s="67"/>
      <c r="D15" s="65"/>
    </row>
    <row r="16" customFormat="false" ht="14.25" hidden="false" customHeight="true" outlineLevel="0" collapsed="false">
      <c r="A16" s="14" t="s">
        <v>26</v>
      </c>
      <c r="B16" s="68"/>
      <c r="C16" s="69"/>
      <c r="D16" s="65"/>
    </row>
    <row r="17" customFormat="false" ht="14.25" hidden="false" customHeight="true" outlineLevel="0" collapsed="false">
      <c r="A17" s="14"/>
      <c r="B17" s="1" t="s">
        <v>112</v>
      </c>
      <c r="C17" s="1" t="s">
        <v>113</v>
      </c>
      <c r="D17" s="61"/>
    </row>
    <row r="18" customFormat="false" ht="14.25" hidden="false" customHeight="true" outlineLevel="0" collapsed="false">
      <c r="A18" s="62" t="str">
        <f aca="false">CONCATENATE("Baan ",D$4+2)</f>
        <v>Baan 3</v>
      </c>
      <c r="B18" s="63"/>
      <c r="C18" s="64"/>
      <c r="D18" s="65"/>
    </row>
    <row r="19" customFormat="false" ht="14.25" hidden="false" customHeight="true" outlineLevel="0" collapsed="false">
      <c r="A19" s="14" t="s">
        <v>20</v>
      </c>
      <c r="B19" s="66"/>
      <c r="C19" s="67"/>
      <c r="D19" s="65"/>
    </row>
    <row r="20" customFormat="false" ht="14.25" hidden="false" customHeight="true" outlineLevel="0" collapsed="false">
      <c r="A20" s="14" t="s">
        <v>24</v>
      </c>
      <c r="B20" s="66"/>
      <c r="C20" s="67"/>
      <c r="D20" s="65"/>
    </row>
    <row r="21" customFormat="false" ht="14.25" hidden="false" customHeight="true" outlineLevel="0" collapsed="false">
      <c r="A21" s="14" t="s">
        <v>26</v>
      </c>
      <c r="B21" s="68"/>
      <c r="C21" s="69"/>
      <c r="D21" s="65"/>
    </row>
    <row r="22" customFormat="false" ht="14.25" hidden="false" customHeight="true" outlineLevel="0" collapsed="false">
      <c r="A22" s="14"/>
      <c r="B22" s="1" t="s">
        <v>112</v>
      </c>
      <c r="C22" s="1" t="s">
        <v>113</v>
      </c>
      <c r="D22" s="61"/>
    </row>
    <row r="23" customFormat="false" ht="14.25" hidden="false" customHeight="true" outlineLevel="0" collapsed="false">
      <c r="A23" s="62" t="str">
        <f aca="false">CONCATENATE("Baan ",D$4+3)</f>
        <v>Baan 4</v>
      </c>
      <c r="B23" s="63"/>
      <c r="C23" s="64"/>
      <c r="D23" s="65"/>
    </row>
    <row r="24" customFormat="false" ht="14.25" hidden="false" customHeight="true" outlineLevel="0" collapsed="false">
      <c r="A24" s="14" t="s">
        <v>20</v>
      </c>
      <c r="B24" s="66"/>
      <c r="C24" s="67"/>
      <c r="D24" s="65"/>
    </row>
    <row r="25" customFormat="false" ht="14.25" hidden="false" customHeight="true" outlineLevel="0" collapsed="false">
      <c r="A25" s="14" t="s">
        <v>24</v>
      </c>
      <c r="B25" s="66"/>
      <c r="C25" s="67"/>
      <c r="D25" s="65"/>
    </row>
    <row r="26" customFormat="false" ht="14.25" hidden="false" customHeight="true" outlineLevel="0" collapsed="false">
      <c r="A26" s="14" t="s">
        <v>26</v>
      </c>
      <c r="B26" s="68"/>
      <c r="C26" s="69"/>
      <c r="D26" s="65"/>
    </row>
    <row r="27" customFormat="false" ht="14.25" hidden="false" customHeight="true" outlineLevel="0" collapsed="false">
      <c r="A27" s="14"/>
      <c r="B27" s="1" t="s">
        <v>112</v>
      </c>
      <c r="C27" s="1" t="s">
        <v>113</v>
      </c>
      <c r="D27" s="61"/>
    </row>
    <row r="28" customFormat="false" ht="14.25" hidden="false" customHeight="true" outlineLevel="0" collapsed="false">
      <c r="A28" s="62" t="str">
        <f aca="false">CONCATENATE("Baan ",D$4+4)</f>
        <v>Baan 5</v>
      </c>
      <c r="B28" s="63"/>
      <c r="C28" s="64"/>
      <c r="D28" s="65"/>
    </row>
    <row r="29" customFormat="false" ht="14.25" hidden="false" customHeight="true" outlineLevel="0" collapsed="false">
      <c r="A29" s="14" t="s">
        <v>20</v>
      </c>
      <c r="B29" s="66"/>
      <c r="C29" s="67"/>
      <c r="D29" s="65"/>
    </row>
    <row r="30" customFormat="false" ht="14.25" hidden="false" customHeight="true" outlineLevel="0" collapsed="false">
      <c r="A30" s="14" t="s">
        <v>24</v>
      </c>
      <c r="B30" s="66"/>
      <c r="C30" s="67"/>
      <c r="D30" s="65"/>
    </row>
    <row r="31" customFormat="false" ht="14.25" hidden="false" customHeight="true" outlineLevel="0" collapsed="false">
      <c r="A31" s="14" t="s">
        <v>26</v>
      </c>
      <c r="B31" s="68"/>
      <c r="C31" s="69"/>
      <c r="D31" s="65"/>
    </row>
    <row r="32" customFormat="false" ht="14.25" hidden="false" customHeight="true" outlineLevel="0" collapsed="false">
      <c r="A32" s="14"/>
      <c r="B32" s="1" t="s">
        <v>112</v>
      </c>
      <c r="C32" s="1" t="s">
        <v>113</v>
      </c>
      <c r="D32" s="61"/>
    </row>
    <row r="33" customFormat="false" ht="14.25" hidden="false" customHeight="true" outlineLevel="0" collapsed="false">
      <c r="A33" s="62" t="str">
        <f aca="false">CONCATENATE("Baan ",D$4+5)</f>
        <v>Baan 6</v>
      </c>
      <c r="B33" s="63"/>
      <c r="C33" s="64"/>
      <c r="D33" s="65"/>
    </row>
    <row r="34" customFormat="false" ht="14.25" hidden="false" customHeight="true" outlineLevel="0" collapsed="false">
      <c r="A34" s="14" t="s">
        <v>20</v>
      </c>
      <c r="B34" s="66"/>
      <c r="C34" s="67"/>
      <c r="D34" s="65"/>
    </row>
    <row r="35" customFormat="false" ht="14.25" hidden="false" customHeight="true" outlineLevel="0" collapsed="false">
      <c r="A35" s="14" t="s">
        <v>24</v>
      </c>
      <c r="B35" s="66"/>
      <c r="C35" s="67"/>
      <c r="D35" s="65"/>
    </row>
    <row r="36" customFormat="false" ht="14.25" hidden="false" customHeight="true" outlineLevel="0" collapsed="false">
      <c r="A36" s="14" t="s">
        <v>26</v>
      </c>
      <c r="B36" s="68"/>
      <c r="C36" s="69"/>
      <c r="D36" s="65"/>
    </row>
    <row r="37" customFormat="false" ht="14.25" hidden="false" customHeight="true" outlineLevel="0" collapsed="false">
      <c r="A37" s="14"/>
      <c r="B37" s="1" t="s">
        <v>112</v>
      </c>
      <c r="C37" s="1" t="s">
        <v>113</v>
      </c>
      <c r="D37" s="61"/>
    </row>
    <row r="38" customFormat="false" ht="14.25" hidden="false" customHeight="true" outlineLevel="0" collapsed="false">
      <c r="A38" s="62" t="str">
        <f aca="false">CONCATENATE("Baan ",D$4+6)</f>
        <v>Baan 7</v>
      </c>
      <c r="B38" s="63"/>
      <c r="C38" s="64"/>
      <c r="D38" s="65"/>
    </row>
    <row r="39" customFormat="false" ht="14.25" hidden="false" customHeight="true" outlineLevel="0" collapsed="false">
      <c r="A39" s="14" t="s">
        <v>20</v>
      </c>
      <c r="B39" s="66"/>
      <c r="C39" s="67"/>
      <c r="D39" s="65"/>
    </row>
    <row r="40" customFormat="false" ht="14.25" hidden="false" customHeight="true" outlineLevel="0" collapsed="false">
      <c r="A40" s="14" t="s">
        <v>24</v>
      </c>
      <c r="B40" s="66"/>
      <c r="C40" s="67"/>
      <c r="D40" s="65"/>
    </row>
    <row r="41" customFormat="false" ht="14.25" hidden="false" customHeight="true" outlineLevel="0" collapsed="false">
      <c r="A41" s="14" t="s">
        <v>26</v>
      </c>
      <c r="B41" s="68"/>
      <c r="C41" s="69"/>
      <c r="D41" s="65"/>
    </row>
    <row r="42" customFormat="false" ht="14.25" hidden="false" customHeight="true" outlineLevel="0" collapsed="false">
      <c r="A42" s="14"/>
      <c r="B42" s="1" t="s">
        <v>112</v>
      </c>
      <c r="C42" s="1" t="s">
        <v>113</v>
      </c>
      <c r="D42" s="61"/>
    </row>
    <row r="43" customFormat="false" ht="14.25" hidden="false" customHeight="true" outlineLevel="0" collapsed="false">
      <c r="A43" s="62" t="str">
        <f aca="false">CONCATENATE("Baan ",D$4+7)</f>
        <v>Baan 8</v>
      </c>
      <c r="B43" s="63"/>
      <c r="C43" s="64"/>
      <c r="D43" s="65"/>
    </row>
    <row r="44" customFormat="false" ht="14.25" hidden="false" customHeight="true" outlineLevel="0" collapsed="false">
      <c r="A44" s="14" t="s">
        <v>20</v>
      </c>
      <c r="B44" s="66"/>
      <c r="C44" s="67"/>
      <c r="D44" s="65"/>
    </row>
    <row r="45" customFormat="false" ht="14.25" hidden="false" customHeight="true" outlineLevel="0" collapsed="false">
      <c r="A45" s="14" t="s">
        <v>24</v>
      </c>
      <c r="B45" s="66"/>
      <c r="C45" s="67"/>
      <c r="D45" s="65"/>
    </row>
    <row r="46" customFormat="false" ht="14.25" hidden="false" customHeight="true" outlineLevel="0" collapsed="false">
      <c r="A46" s="14" t="s">
        <v>26</v>
      </c>
      <c r="B46" s="68"/>
      <c r="C46" s="69"/>
      <c r="D46" s="65"/>
    </row>
    <row r="47" customFormat="false" ht="14.25" hidden="false" customHeight="true" outlineLevel="0" collapsed="false">
      <c r="A47" s="70"/>
      <c r="B47" s="71"/>
      <c r="C47" s="71"/>
      <c r="D47" s="72"/>
    </row>
    <row r="48" customFormat="false" ht="14.25" hidden="false" customHeight="true" outlineLevel="0" collapsed="false"/>
    <row r="49" customFormat="false" ht="14.25" hidden="false" customHeight="true" outlineLevel="0" collapsed="false"/>
    <row r="50" customFormat="false" ht="14.25" hidden="false" customHeight="true" outlineLevel="0" collapsed="false">
      <c r="A50" s="48" t="s">
        <v>100</v>
      </c>
    </row>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f57c" objects="true" scenarios="true" selectLockedCells="true"/>
  <mergeCells count="5">
    <mergeCell ref="B1:D1"/>
    <mergeCell ref="B2:D2"/>
    <mergeCell ref="B3:D3"/>
    <mergeCell ref="B5:C5"/>
    <mergeCell ref="A6:D6"/>
  </mergeCells>
  <dataValidations count="1">
    <dataValidation allowBlank="true" errorStyle="stop" operator="between" showDropDown="false" showErrorMessage="true" showInputMessage="false" sqref="D5" type="list">
      <formula1>"1 of 2,3 of 4,5 of 6,7 of 8"</formula1>
      <formula2>0</formula2>
    </dataValidation>
  </dataValidations>
  <printOptions headings="false" gridLines="false" gridLinesSet="true" horizontalCentered="true" verticalCentered="true"/>
  <pageMargins left="0.433333333333333" right="0.315277777777778" top="0.472222222222222" bottom="0.179861111111111"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&amp;CDeelnemers</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A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14.4296875" defaultRowHeight="15" customHeight="true" zeroHeight="false" outlineLevelRow="0" outlineLevelCol="0"/>
  <cols>
    <col collapsed="false" customWidth="true" hidden="false" outlineLevel="0" max="1" min="1" style="1" width="8.71"/>
    <col collapsed="false" customWidth="true" hidden="false" outlineLevel="0" max="2" min="2" style="1" width="65.14"/>
    <col collapsed="false" customWidth="true" hidden="false" outlineLevel="0" max="6" min="3" style="47" width="6.71"/>
    <col collapsed="false" customWidth="true" hidden="false" outlineLevel="0" max="7" min="7" style="1" width="6.71"/>
    <col collapsed="false" customWidth="true" hidden="false" outlineLevel="0" max="8" min="8" style="1" width="4.43"/>
    <col collapsed="false" customWidth="true" hidden="false" outlineLevel="0" max="9" min="9" style="1" width="28.57"/>
    <col collapsed="false" customWidth="true" hidden="false" outlineLevel="0" max="10" min="10" style="1" width="8.14"/>
    <col collapsed="false" customWidth="true" hidden="false" outlineLevel="0" max="24" min="11" style="1" width="3.28"/>
    <col collapsed="false" customWidth="true" hidden="false" outlineLevel="0" max="25" min="25" style="1" width="5.57"/>
    <col collapsed="false" customWidth="true" hidden="false" outlineLevel="0" max="26" min="26" style="1" width="8.14"/>
    <col collapsed="false" customWidth="true" hidden="false" outlineLevel="0" max="27" min="27" style="1" width="6.43"/>
    <col collapsed="false" customWidth="false" hidden="false" outlineLevel="0" max="28" min="28" style="1" width="14.43"/>
    <col collapsed="false" customWidth="false" hidden="true" outlineLevel="0" max="29" min="29" style="1" width="14.43"/>
    <col collapsed="false" customWidth="true" hidden="true" outlineLevel="0" max="30" min="30" style="1" width="26.57"/>
    <col collapsed="false" customWidth="true" hidden="true" outlineLevel="0" max="33" min="31" style="1" width="6.28"/>
    <col collapsed="false" customWidth="false" hidden="false" outlineLevel="0" max="16384" min="34" style="1" width="14.43"/>
  </cols>
  <sheetData>
    <row r="1" customFormat="false" ht="14.25" hidden="false" customHeight="true" outlineLevel="0" collapsed="false">
      <c r="B1" s="28"/>
      <c r="C1" s="28"/>
      <c r="D1" s="28"/>
      <c r="E1" s="28"/>
      <c r="F1" s="28"/>
      <c r="G1" s="2"/>
      <c r="H1" s="2"/>
      <c r="I1" s="28"/>
      <c r="J1" s="28"/>
      <c r="K1" s="28"/>
      <c r="L1" s="28"/>
      <c r="M1" s="28"/>
      <c r="N1" s="28"/>
      <c r="O1" s="28"/>
      <c r="P1" s="28"/>
      <c r="Q1" s="28"/>
      <c r="R1" s="28"/>
      <c r="S1" s="28"/>
      <c r="T1" s="28"/>
      <c r="U1" s="28"/>
      <c r="V1" s="28"/>
      <c r="W1" s="28"/>
      <c r="X1" s="28"/>
      <c r="Y1" s="28"/>
      <c r="Z1" s="2"/>
      <c r="AA1" s="2"/>
    </row>
    <row r="2" customFormat="false" ht="14.25" hidden="false" customHeight="true" outlineLevel="0" collapsed="false">
      <c r="A2" s="73"/>
      <c r="B2" s="74" t="s">
        <v>114</v>
      </c>
      <c r="C2" s="74"/>
      <c r="D2" s="74"/>
      <c r="E2" s="74"/>
      <c r="F2" s="74"/>
      <c r="G2" s="2"/>
      <c r="H2" s="75"/>
      <c r="I2" s="76" t="s">
        <v>115</v>
      </c>
      <c r="J2" s="76"/>
      <c r="K2" s="76"/>
      <c r="L2" s="76"/>
      <c r="M2" s="76"/>
      <c r="N2" s="76"/>
      <c r="O2" s="76"/>
      <c r="P2" s="76"/>
      <c r="Q2" s="76"/>
      <c r="R2" s="76"/>
      <c r="S2" s="76"/>
      <c r="T2" s="76"/>
      <c r="U2" s="76"/>
      <c r="V2" s="76"/>
      <c r="W2" s="76"/>
      <c r="X2" s="76"/>
      <c r="Y2" s="76"/>
      <c r="Z2" s="77"/>
      <c r="AA2" s="77"/>
      <c r="AC2" s="78" t="str">
        <f aca="false">Deelnemers!D5</f>
        <v>7 of 8</v>
      </c>
    </row>
    <row r="3" customFormat="false" ht="14.25" hidden="false" customHeight="true" outlineLevel="0" collapsed="false">
      <c r="A3" s="79"/>
      <c r="B3" s="80"/>
      <c r="C3" s="81"/>
      <c r="D3" s="81"/>
      <c r="F3" s="82"/>
      <c r="H3" s="14"/>
      <c r="I3" s="83"/>
      <c r="J3" s="28"/>
      <c r="K3" s="28"/>
      <c r="L3" s="28"/>
      <c r="M3" s="28"/>
      <c r="N3" s="28"/>
      <c r="O3" s="28"/>
      <c r="P3" s="28"/>
      <c r="Q3" s="28"/>
      <c r="R3" s="28"/>
      <c r="S3" s="28"/>
      <c r="T3" s="28"/>
      <c r="U3" s="28"/>
      <c r="V3" s="28"/>
      <c r="W3" s="28"/>
      <c r="X3" s="28"/>
      <c r="Y3" s="28"/>
      <c r="Z3" s="84"/>
      <c r="AA3" s="84"/>
    </row>
    <row r="4" customFormat="false" ht="14.25" hidden="false" customHeight="true" outlineLevel="0" collapsed="false">
      <c r="A4" s="62" t="s">
        <v>116</v>
      </c>
      <c r="C4" s="85" t="s">
        <v>117</v>
      </c>
      <c r="D4" s="85"/>
      <c r="E4" s="82" t="s">
        <v>118</v>
      </c>
      <c r="F4" s="82"/>
      <c r="G4" s="47"/>
      <c r="H4" s="14"/>
      <c r="I4" s="14"/>
      <c r="J4" s="1" t="s">
        <v>119</v>
      </c>
      <c r="K4" s="86" t="n">
        <v>1</v>
      </c>
      <c r="L4" s="86"/>
      <c r="M4" s="86" t="n">
        <v>2</v>
      </c>
      <c r="N4" s="86"/>
      <c r="O4" s="86" t="n">
        <v>3</v>
      </c>
      <c r="P4" s="86"/>
      <c r="Q4" s="86" t="n">
        <v>4</v>
      </c>
      <c r="R4" s="86"/>
      <c r="S4" s="86" t="n">
        <v>5</v>
      </c>
      <c r="T4" s="86"/>
      <c r="U4" s="86" t="n">
        <v>6</v>
      </c>
      <c r="V4" s="86"/>
      <c r="W4" s="86" t="n">
        <v>7</v>
      </c>
      <c r="X4" s="86"/>
      <c r="Y4" s="79" t="s">
        <v>120</v>
      </c>
      <c r="Z4" s="87" t="s">
        <v>120</v>
      </c>
      <c r="AA4" s="84" t="s">
        <v>121</v>
      </c>
    </row>
    <row r="5" customFormat="false" ht="14.25" hidden="false" customHeight="true" outlineLevel="0" collapsed="false">
      <c r="A5" s="88"/>
      <c r="B5" s="1" t="str">
        <f aca="false">CONCATENATE(Wedstrijdschema!D5," - ",Wedstrijdschema!F5)</f>
        <v>0 - 0</v>
      </c>
      <c r="C5" s="89"/>
      <c r="D5" s="90"/>
      <c r="E5" s="47" t="n">
        <f aca="false">IF(C5="",0,IF(AND(C5=0,D5=0),0,IF(C5=D5,1,IF(C5&gt;D5,2,0))))</f>
        <v>0</v>
      </c>
      <c r="F5" s="82" t="n">
        <f aca="false">IF(C5="",0,IF(AND(C5=0,D5=0),0,IF(C5=D5,1,IF(C5&lt;D5,2,0))))</f>
        <v>0</v>
      </c>
      <c r="H5" s="14" t="s">
        <v>122</v>
      </c>
      <c r="I5" s="73" t="s">
        <v>112</v>
      </c>
      <c r="J5" s="91" t="s">
        <v>113</v>
      </c>
      <c r="K5" s="92" t="s">
        <v>123</v>
      </c>
      <c r="L5" s="93" t="s">
        <v>124</v>
      </c>
      <c r="M5" s="92" t="s">
        <v>123</v>
      </c>
      <c r="N5" s="93" t="s">
        <v>124</v>
      </c>
      <c r="O5" s="92" t="s">
        <v>123</v>
      </c>
      <c r="P5" s="93" t="s">
        <v>124</v>
      </c>
      <c r="Q5" s="92" t="s">
        <v>123</v>
      </c>
      <c r="R5" s="93" t="s">
        <v>124</v>
      </c>
      <c r="S5" s="92" t="s">
        <v>123</v>
      </c>
      <c r="T5" s="93" t="s">
        <v>124</v>
      </c>
      <c r="U5" s="92" t="s">
        <v>123</v>
      </c>
      <c r="V5" s="93" t="s">
        <v>124</v>
      </c>
      <c r="W5" s="94" t="s">
        <v>123</v>
      </c>
      <c r="X5" s="93" t="s">
        <v>124</v>
      </c>
      <c r="Y5" s="95" t="s">
        <v>125</v>
      </c>
      <c r="Z5" s="96" t="s">
        <v>126</v>
      </c>
      <c r="AA5" s="84"/>
      <c r="AC5" s="97"/>
      <c r="AD5" s="98"/>
      <c r="AE5" s="98"/>
      <c r="AF5" s="98"/>
      <c r="AG5" s="99"/>
    </row>
    <row r="6" customFormat="false" ht="14.25" hidden="false" customHeight="true" outlineLevel="0" collapsed="false">
      <c r="A6" s="100"/>
      <c r="B6" s="1" t="str">
        <f aca="false">CONCATENATE(Wedstrijdschema!D6," - ",Wedstrijdschema!F6)</f>
        <v>0 - 0</v>
      </c>
      <c r="C6" s="101"/>
      <c r="D6" s="102"/>
      <c r="E6" s="47" t="n">
        <f aca="false">IF(C6="",0,IF(AND(C6=0,D6=0),0,IF(C6=D6,1,IF(C6&gt;D6,2,0))))</f>
        <v>0</v>
      </c>
      <c r="F6" s="82" t="n">
        <f aca="false">IF(C6="",0,IF(AND(C6=0,D6=0),0,IF(C6=D6,1,IF(C6&lt;D6,2,0))))</f>
        <v>0</v>
      </c>
      <c r="H6" s="103" t="str">
        <f aca="false">IF(C$5&lt;&gt;"",RANK(Z6,Z$6:Z$13),"")</f>
        <v/>
      </c>
      <c r="I6" s="104" t="n">
        <f aca="false">Deelnemers!B8</f>
        <v>0</v>
      </c>
      <c r="J6" s="105" t="n">
        <f aca="false">IF(I6&lt;&gt;"",Deelnemers!C8,"")</f>
        <v>0</v>
      </c>
      <c r="K6" s="106" t="n">
        <f aca="false">C5</f>
        <v>0</v>
      </c>
      <c r="L6" s="107" t="n">
        <f aca="false">IF(C5&lt;&gt;"",E5,0)</f>
        <v>0</v>
      </c>
      <c r="M6" s="106" t="n">
        <f aca="false">C11</f>
        <v>0</v>
      </c>
      <c r="N6" s="107" t="n">
        <f aca="false">IF(C11&lt;&gt;"",E11,0)</f>
        <v>0</v>
      </c>
      <c r="O6" s="106" t="n">
        <f aca="false">C17</f>
        <v>0</v>
      </c>
      <c r="P6" s="107" t="n">
        <f aca="false">IF(C17&lt;&gt;"",E17,0)</f>
        <v>0</v>
      </c>
      <c r="Q6" s="106" t="n">
        <f aca="false">C23</f>
        <v>0</v>
      </c>
      <c r="R6" s="107" t="n">
        <f aca="false">IF(C23&lt;&gt;"",E23,0)</f>
        <v>0</v>
      </c>
      <c r="S6" s="108" t="n">
        <f aca="false">IF(B29=" - ",0,C29)</f>
        <v>0</v>
      </c>
      <c r="T6" s="109" t="n">
        <f aca="false">IF(B29=" - ",0,E29)</f>
        <v>0</v>
      </c>
      <c r="U6" s="108" t="n">
        <f aca="false">IF(B35=" - ",0,C35)</f>
        <v>0</v>
      </c>
      <c r="V6" s="109" t="n">
        <f aca="false">IF(B35=" - ",0,E35)</f>
        <v>0</v>
      </c>
      <c r="W6" s="110" t="n">
        <f aca="false">IF(B41=" - ",0,C41)</f>
        <v>0</v>
      </c>
      <c r="X6" s="109" t="n">
        <f aca="false">IF(B41=" - ",0,E41)</f>
        <v>0</v>
      </c>
      <c r="Y6" s="111" t="n">
        <f aca="false">IF(C$5&lt;&gt;"",K6+M6+O6+Q6+S6+U6+W6,0)</f>
        <v>0</v>
      </c>
      <c r="Z6" s="112" t="n">
        <f aca="false">IF(C$5&lt;&gt;"",L6+N6+P6+R6+T6+V6+X6+(AA6/100),0)</f>
        <v>0</v>
      </c>
      <c r="AA6" s="113"/>
      <c r="AC6" s="114" t="str">
        <f aca="false">IF(C$5&lt;&gt;"",_xlfn.RANK.EQ(AF6,AF$6:AF$13),"")</f>
        <v/>
      </c>
      <c r="AD6" s="1" t="n">
        <f aca="false">Deelnemers!B8</f>
        <v>0</v>
      </c>
      <c r="AE6" s="1" t="n">
        <f aca="false">IF(AD6&lt;&gt;"",Deelnemers!C8,"")</f>
        <v>0</v>
      </c>
      <c r="AF6" s="115" t="n">
        <f aca="false">IF(C$5&lt;&gt;"",L6+N6+P6+R6+T6+V6+X6+(AA6/100),0)</f>
        <v>0</v>
      </c>
      <c r="AG6" s="116" t="str">
        <f aca="false">IF(AA6="","",AA6)</f>
        <v/>
      </c>
    </row>
    <row r="7" customFormat="false" ht="14.25" hidden="false" customHeight="true" outlineLevel="0" collapsed="false">
      <c r="A7" s="117"/>
      <c r="B7" s="1" t="str">
        <f aca="false">CONCATENATE(Wedstrijdschema!D7," - ",Wedstrijdschema!F7)</f>
        <v>0 - 0</v>
      </c>
      <c r="C7" s="101"/>
      <c r="D7" s="102"/>
      <c r="E7" s="47" t="n">
        <f aca="false">IF(C7="",0,IF(AND(C7=0,D7=0),0,IF(C7=D7,1,IF(C7&gt;D7,2,0))))</f>
        <v>0</v>
      </c>
      <c r="F7" s="82" t="n">
        <f aca="false">IF(C7="",0,IF(AND(C7=0,D7=0),0,IF(C7=D7,1,IF(C7&lt;D7,2,0))))</f>
        <v>0</v>
      </c>
      <c r="H7" s="103" t="str">
        <f aca="false">IF(C$5&lt;&gt;"",RANK(Z7,Z$6:Z$13),"")</f>
        <v/>
      </c>
      <c r="I7" s="118" t="n">
        <f aca="false">Deelnemers!B13</f>
        <v>0</v>
      </c>
      <c r="J7" s="119" t="n">
        <f aca="false">IF(I7&lt;&gt;"",Deelnemers!C13,"")</f>
        <v>0</v>
      </c>
      <c r="K7" s="120" t="n">
        <f aca="false">D5</f>
        <v>0</v>
      </c>
      <c r="L7" s="121" t="n">
        <f aca="false">IF(C5&lt;&gt;"",F5,0)</f>
        <v>0</v>
      </c>
      <c r="M7" s="120" t="n">
        <f aca="false">IF(AC2="1 of 2",D11,C12)</f>
        <v>0</v>
      </c>
      <c r="N7" s="121" t="n">
        <f aca="false">IF(AC2="1 of 2",F11,E12)</f>
        <v>0</v>
      </c>
      <c r="O7" s="120" t="n">
        <f aca="false">IF(AC2="1 of 2",D17,C18)</f>
        <v>0</v>
      </c>
      <c r="P7" s="121" t="n">
        <f aca="false">IF(AC2="1 of 2",F17,E18)</f>
        <v>0</v>
      </c>
      <c r="Q7" s="120" t="n">
        <f aca="false">IF(AC2="1 of 2",D23,IF(OR(AC2="5 of 6",AC2="7 of 8"),C24,D23))</f>
        <v>0</v>
      </c>
      <c r="R7" s="121" t="n">
        <f aca="false">IF(AC2="1 of 2",F23,IF(OR(AC2="5 of 6",AC2="7 of 8"),E24,F23))</f>
        <v>0</v>
      </c>
      <c r="S7" s="122" t="n">
        <f aca="false">IF(B29=" - ",0,C30)</f>
        <v>0</v>
      </c>
      <c r="T7" s="123" t="n">
        <f aca="false">IF(B29=" - ",0,E30)</f>
        <v>0</v>
      </c>
      <c r="U7" s="122" t="n">
        <f aca="false">IF(B35=" - ",0,C36)</f>
        <v>0</v>
      </c>
      <c r="V7" s="123" t="n">
        <f aca="false">IF(B35=" - ",0,E36)</f>
        <v>0</v>
      </c>
      <c r="W7" s="124" t="n">
        <f aca="false">IF(AC2="7 of 8",C42,0)</f>
        <v>0</v>
      </c>
      <c r="X7" s="123" t="n">
        <f aca="false">IF(AC2="7 of 8",E42,0)</f>
        <v>0</v>
      </c>
      <c r="Y7" s="125" t="n">
        <f aca="false">IF(C$5&lt;&gt;"",K7+M7+O7+Q7+S7+U7+W7,0)</f>
        <v>0</v>
      </c>
      <c r="Z7" s="126" t="n">
        <f aca="false">IF(C$5&lt;&gt;"",L7+N7+P7+R7+T7+V7+X7+(AA7/100),0)</f>
        <v>0</v>
      </c>
      <c r="AA7" s="127"/>
      <c r="AC7" s="114" t="str">
        <f aca="false">IF(C$5&lt;&gt;"",_xlfn.RANK.EQ(AF7,AF$6:AF$13),"")</f>
        <v/>
      </c>
      <c r="AD7" s="1" t="n">
        <f aca="false">Deelnemers!B13</f>
        <v>0</v>
      </c>
      <c r="AE7" s="1" t="n">
        <f aca="false">IF(AD7&lt;&gt;"",Deelnemers!C13,"")</f>
        <v>0</v>
      </c>
      <c r="AF7" s="115" t="n">
        <f aca="false">IF(C$5&lt;&gt;"",L7+N7+P7+R7+T7+V7+X7+(AA7/100),0)</f>
        <v>0</v>
      </c>
      <c r="AG7" s="116" t="str">
        <f aca="false">IF(AA7="","",AA7)</f>
        <v/>
      </c>
    </row>
    <row r="8" customFormat="false" ht="14.25" hidden="false" customHeight="true" outlineLevel="0" collapsed="false">
      <c r="A8" s="128"/>
      <c r="B8" s="1" t="str">
        <f aca="false">CONCATENATE(Wedstrijdschema!D8," - ",Wedstrijdschema!F8)</f>
        <v>0 - 0</v>
      </c>
      <c r="C8" s="129"/>
      <c r="D8" s="130"/>
      <c r="E8" s="47" t="n">
        <f aca="false">IF(C8="",0,IF(AND(C8=0,D8=0),0,IF(C8=D8,1,IF(C8&gt;D8,2,0))))</f>
        <v>0</v>
      </c>
      <c r="F8" s="82" t="n">
        <f aca="false">IF(C8="",0,IF(AND(C8=0,D8=0),0,IF(C8=D8,1,IF(C8&lt;D8,2,0))))</f>
        <v>0</v>
      </c>
      <c r="H8" s="103" t="str">
        <f aca="false">IF(Deelnemers!D5="1 of 2","",IF(C$5&lt;&gt;"",RANK(Z8,Z$6:Z$13),""))</f>
        <v/>
      </c>
      <c r="I8" s="118" t="n">
        <f aca="false">IF(Deelnemers!D5="1 of 2","",Deelnemers!B18)</f>
        <v>0</v>
      </c>
      <c r="J8" s="119" t="n">
        <f aca="false">IF(I8&lt;&gt;"",Deelnemers!C18,"")</f>
        <v>0</v>
      </c>
      <c r="K8" s="120" t="n">
        <f aca="false">IF(AC2="1 of 2",0,C6)</f>
        <v>0</v>
      </c>
      <c r="L8" s="121" t="n">
        <f aca="false">IF(AC2="1 of 2",0,E6)</f>
        <v>0</v>
      </c>
      <c r="M8" s="120" t="n">
        <f aca="false">IF(AC2="1 of 2",0,D11)</f>
        <v>0</v>
      </c>
      <c r="N8" s="121" t="n">
        <f aca="false">IF(AC2="1 of 2",0,F11)</f>
        <v>0</v>
      </c>
      <c r="O8" s="120" t="n">
        <f aca="false">IF(AC2="1 of 2",0,IF(AC2="3 of 4",D18,IF(OR(AC2="5 of 6",AC2="7 of 8"),C19,0)))</f>
        <v>0</v>
      </c>
      <c r="P8" s="121" t="n">
        <f aca="false">IF(AC2="1 of 2",0,IF(AC2="3 of 4",F18,IF(OR(AC2="5 of 6",AC2="7 of 8"),E19,0)))</f>
        <v>0</v>
      </c>
      <c r="Q8" s="120" t="n">
        <f aca="false">IF(AC2="1 of 2",0,IF(AC2="3 of 4",C24,IF(OR(AC2="5 of 6",AC2="7 of 8"),C25,0)))</f>
        <v>0</v>
      </c>
      <c r="R8" s="121" t="n">
        <f aca="false">IF(AC2="1 of 2",0,IF(AC2="3 of 4",E24,IF(OR(AC2="5 of 6",AC2="7 of 8"),E25,0)))</f>
        <v>0</v>
      </c>
      <c r="S8" s="122" t="n">
        <f aca="false">IF(AC2="1 of 2",0,IF(AC2="3 of 4",D29,IF(AC2="5 of 6",D30,IF(AC2="7 of 8",C31,0))))</f>
        <v>0</v>
      </c>
      <c r="T8" s="123" t="n">
        <f aca="false">IF(AC2="1 of 2",0,IF(AC2="3 of 4",F29,IF(AC2="5 of 6",F30,IF(AC2="7 of 8",E31,0))))</f>
        <v>0</v>
      </c>
      <c r="U8" s="122" t="n">
        <f aca="false">IF(AC2="1 of 2",0,IF(AC2="3 of 4",D36,IF(AC2="7 of 8",C37,0)))</f>
        <v>0</v>
      </c>
      <c r="V8" s="123" t="n">
        <f aca="false">IF(AC2="1 of 2",0,IF(AC2="3 of 4",F36,IF(AC2="7 of 8",E37,0)))</f>
        <v>0</v>
      </c>
      <c r="W8" s="124" t="n">
        <f aca="false">IF(AC2="7 of 8",D42,0)</f>
        <v>0</v>
      </c>
      <c r="X8" s="123" t="n">
        <f aca="false">IF(AC2="7 of 8",F42,0)</f>
        <v>0</v>
      </c>
      <c r="Y8" s="125" t="n">
        <f aca="false">IF(Deelnemers!D5=2,"",IF(C$5&lt;&gt;"",K8+M8+O8+Q8+S8+U8+W8,0))</f>
        <v>0</v>
      </c>
      <c r="Z8" s="126" t="n">
        <f aca="false">IF(Deelnemers!D5=2,"",IF(C$5&lt;&gt;"",L8+N8+P8+R8+T8+V8+X8+(AA8/100),0))</f>
        <v>0</v>
      </c>
      <c r="AA8" s="127"/>
      <c r="AC8" s="114" t="str">
        <f aca="false">IF(Deelnemers!D5="1 of 2","",IF(C$5&lt;&gt;"",_xlfn.RANK.EQ(AF8,AF$6:AF$13),""))</f>
        <v/>
      </c>
      <c r="AD8" s="1" t="n">
        <f aca="false">IF(Deelnemers!D5="1 of 2","",Deelnemers!B18)</f>
        <v>0</v>
      </c>
      <c r="AE8" s="1" t="n">
        <f aca="false">IF(AD8&lt;&gt;"",Deelnemers!C18,"")</f>
        <v>0</v>
      </c>
      <c r="AF8" s="115" t="n">
        <f aca="false">IF(Deelnemers!D5="1 of 2","",IF(C$5&lt;&gt;"",L8+N8+P8+R8+T8+V8+X8+(AA8/100),0))</f>
        <v>0</v>
      </c>
      <c r="AG8" s="116" t="str">
        <f aca="false">IF(AA8="","",AA8)</f>
        <v/>
      </c>
    </row>
    <row r="9" customFormat="false" ht="14.25" hidden="false" customHeight="true" outlineLevel="0" collapsed="false">
      <c r="A9" s="62"/>
      <c r="C9" s="81"/>
      <c r="D9" s="81"/>
      <c r="F9" s="82"/>
      <c r="H9" s="103" t="str">
        <f aca="false">IF(Deelnemers!D5="1 of 2","",IF(C$5&lt;&gt;"",RANK(Z9,Z$6:Z$13),""))</f>
        <v/>
      </c>
      <c r="I9" s="118" t="n">
        <f aca="false">IF(Deelnemers!D5="1 of 2","",Deelnemers!B23)</f>
        <v>0</v>
      </c>
      <c r="J9" s="119" t="n">
        <f aca="false">IF(I9&lt;&gt;"",Deelnemers!C23,"")</f>
        <v>0</v>
      </c>
      <c r="K9" s="120" t="n">
        <f aca="false">IF(AC2="1 of 2",0,D6)</f>
        <v>0</v>
      </c>
      <c r="L9" s="121" t="n">
        <f aca="false">IF(AC2="1 of 2",0,F6)</f>
        <v>0</v>
      </c>
      <c r="M9" s="120" t="n">
        <f aca="false">IF(AC2="1 of 2",0,IF(AC2="3 of 4",D12,IF(OR(AC2="5 of 6",AC2="7 of 8"),C13,0)))</f>
        <v>0</v>
      </c>
      <c r="N9" s="121" t="n">
        <f aca="false">IF(AC2="1 of 2",0,IF(AC2="3 of 4",F12,IF(OR(AC2="5 of 6",AC2="7 of 8"),E13,)))</f>
        <v>0</v>
      </c>
      <c r="O9" s="120" t="n">
        <f aca="false">IF(AC2="1 of 2",0,IF(AC2="3 of 4",D17,IF(OR(AC2="5 of 6",AC2="7 of 8"),D17,0)))</f>
        <v>0</v>
      </c>
      <c r="P9" s="121" t="n">
        <f aca="false">IF(AC2="1 of 2",0,IF(AC2="3 of 4",F17,IF(OR(AC2="5 of 6",AC2="7 of 8"),F17,1)))</f>
        <v>0</v>
      </c>
      <c r="Q9" s="120" t="n">
        <f aca="false">IF(AC2="1 of 2",0,IF(OR(AC2="3 of 4",AC2="5 of 6"),D24,IF(AC2="7 of 8",C26,0)))</f>
        <v>0</v>
      </c>
      <c r="R9" s="121" t="n">
        <f aca="false">IF(AC2="1 of 2",0,IF(OR(AC2="3 of 4",AC2="5 of 6"),F24,IF(AC2="7 of 8",E26,0)))</f>
        <v>0</v>
      </c>
      <c r="S9" s="122" t="n">
        <f aca="false">IF(AC2="1 of 2",0,IF(AC2="3 of 4",D30,IF(AC2="5 of 6",C31,IF(AC2="7 of 8",C32,0))))</f>
        <v>0</v>
      </c>
      <c r="T9" s="123" t="n">
        <f aca="false">IF(AC2="1 of 2",0,IF(AC2="3 of 4",F30,IF(AC2="5 of 6",E31,IF(AC2="7 of 8",E32,0))))</f>
        <v>0</v>
      </c>
      <c r="U9" s="122" t="n">
        <f aca="false">IF(AC2="1 of 2",0,IF(AC2="3 of 4",D35,IF(AC2="7 of 8",D36,0)))</f>
        <v>0</v>
      </c>
      <c r="V9" s="123" t="n">
        <f aca="false">IF(AC2="1 of 2",0,IF(AC2="3 of 4",F35,IF(AC2="7 of 8",F36,0)))</f>
        <v>0</v>
      </c>
      <c r="W9" s="124" t="n">
        <f aca="false">IF(AC2="7 of 8",C43,0)</f>
        <v>0</v>
      </c>
      <c r="X9" s="123" t="n">
        <f aca="false">IF(AC2="7 of 8",E43,0)</f>
        <v>0</v>
      </c>
      <c r="Y9" s="125" t="n">
        <f aca="false">IF(Deelnemers!D5=2,"",IF(C$5&lt;&gt;"",K9+M9+O9+Q9+S9+U9+W9,0))</f>
        <v>0</v>
      </c>
      <c r="Z9" s="126" t="n">
        <f aca="false">IF(Deelnemers!D5=2,"",IF(C$5&lt;&gt;"",L9+N9+P9+R9+T9+V9+X9+(AA9/100),0))</f>
        <v>0</v>
      </c>
      <c r="AA9" s="127"/>
      <c r="AC9" s="114" t="str">
        <f aca="false">IF(Deelnemers!D5="1 of 2","",IF(C$5&lt;&gt;"",_xlfn.RANK.EQ(AF9,AF$6:AF$13),""))</f>
        <v/>
      </c>
      <c r="AD9" s="1" t="n">
        <f aca="false">IF(Deelnemers!D5="1 of 2","",Deelnemers!B23)</f>
        <v>0</v>
      </c>
      <c r="AE9" s="1" t="n">
        <f aca="false">IF(AD9&lt;&gt;"",Deelnemers!C23,"")</f>
        <v>0</v>
      </c>
      <c r="AF9" s="115" t="n">
        <f aca="false">IF(Deelnemers!D5="1 of 2","",IF(C$5&lt;&gt;"",L9+N9+P9+R9+T9+V9+X9+(AA9/100),0))</f>
        <v>0</v>
      </c>
      <c r="AG9" s="116" t="str">
        <f aca="false">IF(AA9="","",AA9)</f>
        <v/>
      </c>
    </row>
    <row r="10" customFormat="false" ht="14.25" hidden="false" customHeight="true" outlineLevel="0" collapsed="false">
      <c r="A10" s="62" t="s">
        <v>127</v>
      </c>
      <c r="C10" s="81"/>
      <c r="D10" s="81"/>
      <c r="F10" s="82"/>
      <c r="H10" s="103" t="str">
        <f aca="false">IF(OR(Deelnemers!D5="1 of 2",Deelnemers!D5="3 of 4"),"",IF(C$5&lt;&gt;"",RANK(Z10,Z$6:Z$13),""))</f>
        <v/>
      </c>
      <c r="I10" s="118" t="n">
        <f aca="false">IF(OR(Deelnemers!D5="1 of 2",Deelnemers!D5="3 of 4"),"",Deelnemers!B28)</f>
        <v>0</v>
      </c>
      <c r="J10" s="119" t="n">
        <f aca="false">IF(I10&lt;&gt;"",Deelnemers!C28,"")</f>
        <v>0</v>
      </c>
      <c r="K10" s="120" t="n">
        <f aca="false">IF(OR(AC2="1 of 2",AC2="3 of 4"),0,C7)</f>
        <v>0</v>
      </c>
      <c r="L10" s="121" t="n">
        <f aca="false">IF(OR(AC2="1 of 2",AC2="3 of 4"),0,E7)</f>
        <v>0</v>
      </c>
      <c r="M10" s="120" t="n">
        <f aca="false">IF(OR(AC2="1 of 2",AC2="3 of 4"),0,IF(OR(AC2="5 of 6",AC2="7 of 8"),D12,1))</f>
        <v>0</v>
      </c>
      <c r="N10" s="121" t="n">
        <f aca="false">IF(OR(AC2="1 of 2",AC2="3 of 4"),0,IF(OR(AC2="5 of 6",AC2="7 of 8"),F12,1))</f>
        <v>0</v>
      </c>
      <c r="O10" s="120" t="n">
        <f aca="false">IF(OR(AC2="1 of 2",AC2="3 of 4"),0,IF(AC2="5 of 6",D19,IF(AC2="7 of 8",C20,0)))</f>
        <v>0</v>
      </c>
      <c r="P10" s="121" t="n">
        <f aca="false">IF(OR(AC2="1 of 2",AC2="3 of 4"),0,IF(AC2="5 of 6",F19,IF(AC2="7 of 8",E20,0)))</f>
        <v>0</v>
      </c>
      <c r="Q10" s="120" t="n">
        <f aca="false">IF(OR(AC2="1 of 2",AC2="3 of 4"),0,IF(OR(AC2="5 of 6",AC2="7 of 8"),D23,1))</f>
        <v>0</v>
      </c>
      <c r="R10" s="121" t="n">
        <f aca="false">IF(OR(AC2="1 of 2",AC2="3 of 4"),0,IF(OR(AC2="5 of 6",AC2="7 of 8"),F23,1))</f>
        <v>0</v>
      </c>
      <c r="S10" s="122" t="n">
        <f aca="false">IF(OR(AC2="1 of 2",AC2="3 of 4"),0,IF(OR(AC2="5 of 6",AC2="7 of 8"),D31,0))</f>
        <v>0</v>
      </c>
      <c r="T10" s="123" t="n">
        <f aca="false">IF(OR(AC2="1 of 2",AC2="3 of 4"),0,IF(OR(AC2="5 of 6",AC2="7 of 8"),F31,1))</f>
        <v>0</v>
      </c>
      <c r="U10" s="122" t="n">
        <f aca="false">IF(OR(AC2="1 of 2",AC2="3 of 4"),0,IF(AC2="5 of 6",0,IF(AC2="7 of 8",C38,0)))</f>
        <v>0</v>
      </c>
      <c r="V10" s="123" t="n">
        <f aca="false">IF(OR(AC2="1 of 2",AC2="3 of 4"),0,IF(AC2="5 of 6",0,IF(AC2="7 of 8",E38,0)))</f>
        <v>0</v>
      </c>
      <c r="W10" s="124" t="n">
        <f aca="false">IF(AC2="7 of 8",D43,0)</f>
        <v>0</v>
      </c>
      <c r="X10" s="123" t="n">
        <f aca="false">IF(AC2="7 of 8",F43,0)</f>
        <v>0</v>
      </c>
      <c r="Y10" s="125" t="n">
        <f aca="false">IF(OR(Deelnemers!D5=2,Deelnemers!D5="3 of 4"),"",IF(C$5&lt;&gt;"",K10+M10+O10+Q10+S10+U10+W10,0))</f>
        <v>0</v>
      </c>
      <c r="Z10" s="126" t="n">
        <f aca="false">IF(OR(Deelnemers!D5=2,Deelnemers!D5="3 of 4"),"",IF(C$5&lt;&gt;"",L10+N10+P10+R10+T10+V10+X10+(AA10/100),0))</f>
        <v>0</v>
      </c>
      <c r="AA10" s="127"/>
      <c r="AC10" s="114" t="str">
        <f aca="false">IF(OR(Deelnemers!D5="1 of 2",Deelnemers!D5="3 of 4"),"",IF(C$5&lt;&gt;"",_xlfn.RANK.EQ(AF10,AF$6:AF$13),""))</f>
        <v/>
      </c>
      <c r="AD10" s="1" t="n">
        <f aca="false">IF(OR(Deelnemers!D5="1 of 2",Deelnemers!D5="3 of 4"),"",Deelnemers!B28)</f>
        <v>0</v>
      </c>
      <c r="AE10" s="1" t="n">
        <f aca="false">IF(AD10&lt;&gt;"",Deelnemers!C28,"")</f>
        <v>0</v>
      </c>
      <c r="AF10" s="115" t="n">
        <f aca="false">IF(OR(Deelnemers!D5="1 of 2",Deelnemers!D5="3 of 4"),"",IF(C$5&lt;&gt;"",L10+N10+P10+R10+T10+V10+X10+(AA10/100),0))</f>
        <v>0</v>
      </c>
      <c r="AG10" s="116" t="str">
        <f aca="false">IF(AA10="","",AA10)</f>
        <v/>
      </c>
    </row>
    <row r="11" customFormat="false" ht="14.25" hidden="false" customHeight="true" outlineLevel="0" collapsed="false">
      <c r="A11" s="88"/>
      <c r="B11" s="1" t="str">
        <f aca="false">CONCATENATE(Wedstrijdschema!D11," - ",Wedstrijdschema!F11)</f>
        <v>0 - 0</v>
      </c>
      <c r="C11" s="89"/>
      <c r="D11" s="90"/>
      <c r="E11" s="47" t="n">
        <f aca="false">IF(C11="",0,IF(AND(C11=0,D11=0),0,IF(C11=D11,1,IF(C11&gt;D11,2,0))))</f>
        <v>0</v>
      </c>
      <c r="F11" s="82" t="n">
        <f aca="false">IF(C11="",0,IF(AND(C11=0,D11=0),0,IF(C11=D11,1,IF(C11&lt;D11,2,0))))</f>
        <v>0</v>
      </c>
      <c r="H11" s="103" t="str">
        <f aca="false">IF(OR(Deelnemers!D5="1 of 2",Deelnemers!D5="3 of 4")," ",IF(C$5&lt;&gt;"",RANK(Z11,Z$6:Z$13),""))</f>
        <v/>
      </c>
      <c r="I11" s="118" t="n">
        <f aca="false">IF(OR(Deelnemers!D5="1 of 2",Deelnemers!D5="3 of 4"),"",Deelnemers!B33)</f>
        <v>0</v>
      </c>
      <c r="J11" s="119" t="n">
        <f aca="false">IF(I11&lt;&gt;"",Deelnemers!C33,"")</f>
        <v>0</v>
      </c>
      <c r="K11" s="120" t="n">
        <f aca="false">IF(OR(AC2="1 of 2",AC2="3 of 4"),0,D7)</f>
        <v>0</v>
      </c>
      <c r="L11" s="121" t="n">
        <f aca="false">IF(OR(AC2="1 of 2",AC2="3 of 4"),0,F7)</f>
        <v>0</v>
      </c>
      <c r="M11" s="120" t="n">
        <f aca="false">IF(OR(AC2="1 of 2",AC2="3 of 4"),0,IF(AC2="5 of 6",D13,IF(AC2="7 of 8",C14,0)))</f>
        <v>0</v>
      </c>
      <c r="N11" s="121" t="n">
        <f aca="false">IF(OR(AC2="1 of 2",AC2="3 of 4"),0,IF(AC2="5 of 6",F13,IF(AC2="7 of 8",E14,0)))</f>
        <v>0</v>
      </c>
      <c r="O11" s="120" t="n">
        <f aca="false">IF(OR(AC2="1 of 2",AC2="3 of 4"),0,IF(OR(AC2="5 of 6",AC2="7 of 8"),D18,1))</f>
        <v>0</v>
      </c>
      <c r="P11" s="121" t="n">
        <f aca="false">IF(OR(AC2="1 of 2",AC2="3 of 4"),0,IF(OR(AC2="5 of 6",AC2="7 of 8"),F18,1))</f>
        <v>0</v>
      </c>
      <c r="Q11" s="120" t="n">
        <f aca="false">IF(OR(AC2="1 of 2",AC2="3 of 4"),0,IF(AC2="5 of 6",D25,IF(AC2="7 of 8",D26,0)))</f>
        <v>0</v>
      </c>
      <c r="R11" s="121" t="n">
        <f aca="false">IF(OR(AC2="1 of 2",AC2="3 of 4"),0,IF(AC2="5 of 6",F25,IF(AC2="7 of 8",F26,0)))</f>
        <v>0</v>
      </c>
      <c r="S11" s="122" t="n">
        <f aca="false">IF(OR(AC2="1 of 2",AC2="3 of 4"),0,IF(OR(AC2="5 of 6",AC2="7 of 8"),D29,0))</f>
        <v>0</v>
      </c>
      <c r="T11" s="123" t="n">
        <f aca="false">IF(OR(AC2="1 of 2",AC2="3 of 4"),0,IF(OR(AC2="5 of 6",AC2="7 of 8"),F29,0))</f>
        <v>0</v>
      </c>
      <c r="U11" s="122" t="n">
        <f aca="false">IF(OR(AC2="1 of 2",AC2="3 of 4"),0,IF(AC2="5 of 6",0,IF(AC2="7 of 8",D37,0)))</f>
        <v>0</v>
      </c>
      <c r="V11" s="123" t="n">
        <f aca="false">IF(OR(AC2="1 of 2",AC2="3 of 4"),0,IF(AC2="5 of 6",0,IF(AC2="7 of 8",F37,0)))</f>
        <v>0</v>
      </c>
      <c r="W11" s="124" t="n">
        <f aca="false">IF(AC2="7 of 8",C44,0)</f>
        <v>0</v>
      </c>
      <c r="X11" s="123" t="n">
        <f aca="false">IF(AC2="7 of 8",E44,0)</f>
        <v>0</v>
      </c>
      <c r="Y11" s="125" t="n">
        <f aca="false">IF(OR(Deelnemers!D5=2,Deelnemers!D5="3 of 4"),"",IF(C$5&lt;&gt;"",K11+M11+O11+Q11+S11+U11+W11,0))</f>
        <v>0</v>
      </c>
      <c r="Z11" s="126" t="n">
        <f aca="false">IF(OR(Deelnemers!D5=2,Deelnemers!D5="3 of 4"),"",IF(C$5&lt;&gt;"",L11+N11+P11+R11+T11+V11+X11+(AA11/100),0))</f>
        <v>0</v>
      </c>
      <c r="AA11" s="127"/>
      <c r="AC11" s="114" t="str">
        <f aca="false">IF(OR(Deelnemers!D5="1 of 2",Deelnemers!D5="3 of 4"),"",IF(C$5&lt;&gt;"",_xlfn.RANK.EQ(AF11,AF$6:AF$13),""))</f>
        <v/>
      </c>
      <c r="AD11" s="1" t="n">
        <f aca="false">IF(OR(Deelnemers!D5="1 of 2",Deelnemers!D5="3 of 4"),"",Deelnemers!B33)</f>
        <v>0</v>
      </c>
      <c r="AE11" s="1" t="n">
        <f aca="false">IF(AD11&lt;&gt;"",Deelnemers!C33,"")</f>
        <v>0</v>
      </c>
      <c r="AF11" s="115" t="n">
        <f aca="false">IF(OR(Deelnemers!D5="1 of 2",Deelnemers!D5="3 of 4"),"",IF(C$5&lt;&gt;"",L11+N11+P11+R11+T11+V11+X11+(AA11/100),0))</f>
        <v>0</v>
      </c>
      <c r="AG11" s="116" t="str">
        <f aca="false">IF(AA11="","",AA11)</f>
        <v/>
      </c>
    </row>
    <row r="12" customFormat="false" ht="14.25" hidden="false" customHeight="true" outlineLevel="0" collapsed="false">
      <c r="A12" s="100"/>
      <c r="B12" s="1" t="str">
        <f aca="false">CONCATENATE(Wedstrijdschema!D12," - ",Wedstrijdschema!F12)</f>
        <v>0 - 0</v>
      </c>
      <c r="C12" s="101"/>
      <c r="D12" s="102"/>
      <c r="E12" s="47" t="n">
        <f aca="false">IF(C12="",0,IF(AND(C12=0,D12=0),0,IF(C12=D12,1,IF(C12&gt;D12,2,0))))</f>
        <v>0</v>
      </c>
      <c r="F12" s="82" t="n">
        <f aca="false">IF(C12="",0,IF(AND(C12=0,D12=0),0,IF(C12=D12,1,IF(C12&lt;D12,2,0))))</f>
        <v>0</v>
      </c>
      <c r="H12" s="103" t="str">
        <f aca="false">IF(Deelnemers!D5&lt;&gt;"7 of 8","  ",IF(C$5&lt;&gt;"",RANK(Z12,Z$6:Z$13),""))</f>
        <v/>
      </c>
      <c r="I12" s="118" t="n">
        <f aca="false">IF(Deelnemers!D5="7 of 8",Deelnemers!B38,"")</f>
        <v>0</v>
      </c>
      <c r="J12" s="119" t="n">
        <f aca="false">IF(I12&lt;&gt;"",Deelnemers!C38,"")</f>
        <v>0</v>
      </c>
      <c r="K12" s="120" t="n">
        <f aca="false">IF(AC2="7 of 8",C8,0)</f>
        <v>0</v>
      </c>
      <c r="L12" s="121" t="n">
        <f aca="false">IF(AC2="7 of 8",E8,0)</f>
        <v>0</v>
      </c>
      <c r="M12" s="120" t="n">
        <f aca="false">IF(AC2="7 of 8",D13,0)</f>
        <v>0</v>
      </c>
      <c r="N12" s="121" t="n">
        <f aca="false">IF(AC2="7 of 8",F13,0)</f>
        <v>0</v>
      </c>
      <c r="O12" s="120" t="n">
        <f aca="false">IF(AC2="7 of 8",D20,0)</f>
        <v>0</v>
      </c>
      <c r="P12" s="121" t="n">
        <f aca="false">IF(AC2="7 of 8",F20,0)</f>
        <v>0</v>
      </c>
      <c r="Q12" s="120" t="n">
        <f aca="false">IF(AC2="7 of 8",D25,0)</f>
        <v>0</v>
      </c>
      <c r="R12" s="121" t="n">
        <f aca="false">IF(AC2="7 of 8",F25,0)</f>
        <v>0</v>
      </c>
      <c r="S12" s="122" t="n">
        <f aca="false">IF(AC2="7 of 8",D30,0)</f>
        <v>0</v>
      </c>
      <c r="T12" s="123" t="n">
        <f aca="false">IF(AC2="7 of 8",F30,0)</f>
        <v>0</v>
      </c>
      <c r="U12" s="122" t="n">
        <f aca="false">IF(AC2="7 of 8",D35,0)</f>
        <v>0</v>
      </c>
      <c r="V12" s="123" t="n">
        <f aca="false">IF(AC2="7 of 8",F35,0)</f>
        <v>0</v>
      </c>
      <c r="W12" s="124" t="n">
        <f aca="false">IF(AC2="7 of 8",D44,0)</f>
        <v>0</v>
      </c>
      <c r="X12" s="123" t="n">
        <f aca="false">IF(AC2="7 of 8",F44,0)</f>
        <v>0</v>
      </c>
      <c r="Y12" s="125" t="n">
        <f aca="false">IF(Deelnemers!D5&lt;&gt;"7 of 8","",IF(C$5&lt;&gt;"",K12+M12+O12+Q12+S12+U12+W12,0))</f>
        <v>0</v>
      </c>
      <c r="Z12" s="126" t="n">
        <f aca="false">IF(Deelnemers!D5&lt;&gt;"7 of 8","",IF(C$5&lt;&gt;"",L12+N12+P12+R12+T12+V12+X12+(AA12/100),0))</f>
        <v>0</v>
      </c>
      <c r="AA12" s="127"/>
      <c r="AC12" s="114" t="str">
        <f aca="false">IF(Deelnemers!D5&lt;&gt;"7 of 8","",IF(C$5&lt;&gt;"",_xlfn.RANK.EQ(AF12,AF$6:AF$13),""))</f>
        <v/>
      </c>
      <c r="AD12" s="1" t="n">
        <f aca="false">IF(Deelnemers!D5="7 of 8",Deelnemers!B38,"")</f>
        <v>0</v>
      </c>
      <c r="AE12" s="1" t="n">
        <f aca="false">IF(AD12&lt;&gt;"",Deelnemers!C38,"")</f>
        <v>0</v>
      </c>
      <c r="AF12" s="115" t="n">
        <f aca="false">IF(Deelnemers!D5&lt;&gt;"7 of 8","",IF(C$5&lt;&gt;"",L12+N12+P12+R12+T12+V12+X12+(AA12/100),0))</f>
        <v>0</v>
      </c>
      <c r="AG12" s="116" t="str">
        <f aca="false">IF(AA12="","",AA12)</f>
        <v/>
      </c>
    </row>
    <row r="13" customFormat="false" ht="14.25" hidden="false" customHeight="true" outlineLevel="0" collapsed="false">
      <c r="A13" s="117"/>
      <c r="B13" s="1" t="str">
        <f aca="false">CONCATENATE(Wedstrijdschema!D13," - ",Wedstrijdschema!F13)</f>
        <v>0 - 0</v>
      </c>
      <c r="C13" s="101"/>
      <c r="D13" s="102"/>
      <c r="E13" s="47" t="n">
        <f aca="false">IF(C13="",0,IF(AND(C13=0,D13=0),0,IF(C13=D13,1,IF(C13&gt;D13,2,0))))</f>
        <v>0</v>
      </c>
      <c r="F13" s="82" t="n">
        <f aca="false">IF(C13="",0,IF(AND(C13=0,D13=0),0,IF(C13=D13,1,IF(C13&lt;D13,2,0))))</f>
        <v>0</v>
      </c>
      <c r="H13" s="103" t="str">
        <f aca="false">IF(Deelnemers!D5&lt;&gt;"7 of 8","   ",IF(C$5&lt;&gt;"",RANK(Z13,Z$6:Z$13),""))</f>
        <v/>
      </c>
      <c r="I13" s="131" t="n">
        <f aca="false">IF(Deelnemers!D5="7 of 8",Deelnemers!B43,"")</f>
        <v>0</v>
      </c>
      <c r="J13" s="132" t="n">
        <f aca="false">IF(I13&lt;&gt;"",Deelnemers!C43,"")</f>
        <v>0</v>
      </c>
      <c r="K13" s="133" t="n">
        <f aca="false">IF(AC2="7 of 8",D8,0)</f>
        <v>0</v>
      </c>
      <c r="L13" s="134" t="n">
        <f aca="false">IF(AC2="7 of 8",F8,0)</f>
        <v>0</v>
      </c>
      <c r="M13" s="133" t="n">
        <f aca="false">IF(AC2="7 of 8",D14,0)</f>
        <v>0</v>
      </c>
      <c r="N13" s="134" t="n">
        <f aca="false">IF(AC2="7 of 8",F14,0)</f>
        <v>0</v>
      </c>
      <c r="O13" s="133" t="n">
        <f aca="false">IF(AC2="7 of 8",D19,0)</f>
        <v>0</v>
      </c>
      <c r="P13" s="134" t="n">
        <f aca="false">IF(AC2="7 of 8",F19,0)</f>
        <v>0</v>
      </c>
      <c r="Q13" s="133" t="n">
        <f aca="false">IF(AC2="7 of 8",D24,0)</f>
        <v>0</v>
      </c>
      <c r="R13" s="134" t="n">
        <f aca="false">IF(AC2="7 of 8",F24,0)</f>
        <v>0</v>
      </c>
      <c r="S13" s="135" t="n">
        <f aca="false">IF(AC2="7 of 8",D32,0)</f>
        <v>0</v>
      </c>
      <c r="T13" s="136" t="n">
        <f aca="false">IF(AC2="7 of 8",F32,0)</f>
        <v>0</v>
      </c>
      <c r="U13" s="135" t="n">
        <f aca="false">IF(AC2="7 of 8",D38,0)</f>
        <v>0</v>
      </c>
      <c r="V13" s="136" t="n">
        <f aca="false">IF(AC2="7 of 8",F38,0)</f>
        <v>0</v>
      </c>
      <c r="W13" s="137" t="n">
        <f aca="false">IF(AC2="7 of 8",D41,0)</f>
        <v>0</v>
      </c>
      <c r="X13" s="136" t="n">
        <f aca="false">IF(AC2="7 of 8",F41,0)</f>
        <v>0</v>
      </c>
      <c r="Y13" s="138" t="n">
        <f aca="false">IF(Deelnemers!D5&lt;&gt;"7 of 8","",IF(C$5&lt;&gt;"",K13+M13+O13+Q13+S13+U13+W13,0))</f>
        <v>0</v>
      </c>
      <c r="Z13" s="139" t="n">
        <f aca="false">IF(Deelnemers!D5&lt;&gt;"7 of 8","",IF(C$5&lt;&gt;"",L13+N13+P13+R13+T13+V13+X13+(AA13/100),0))</f>
        <v>0</v>
      </c>
      <c r="AA13" s="140"/>
      <c r="AC13" s="141" t="str">
        <f aca="false">IF(Deelnemers!D5&lt;&gt;"7 of 8","",IF(C$5&lt;&gt;"",_xlfn.RANK.EQ(AF13,AF$6:AF$13),""))</f>
        <v/>
      </c>
      <c r="AD13" s="142" t="n">
        <f aca="false">IF(Deelnemers!D5="7 of 8",Deelnemers!B43,"")</f>
        <v>0</v>
      </c>
      <c r="AE13" s="142" t="n">
        <f aca="false">IF(AD13&lt;&gt;"",Deelnemers!C43,"")</f>
        <v>0</v>
      </c>
      <c r="AF13" s="143" t="n">
        <f aca="false">IF(Deelnemers!D5&lt;&gt;"7 of 8","",IF(C$5&lt;&gt;"",L13+N13+P13+R13+T13+V13+X13+(AA13/100),0))</f>
        <v>0</v>
      </c>
      <c r="AG13" s="144" t="str">
        <f aca="false">IF(AA13="","",AA13)</f>
        <v/>
      </c>
    </row>
    <row r="14" customFormat="false" ht="14.25" hidden="false" customHeight="true" outlineLevel="0" collapsed="false">
      <c r="A14" s="128"/>
      <c r="B14" s="1" t="str">
        <f aca="false">CONCATENATE(Wedstrijdschema!D14," - ",Wedstrijdschema!F14)</f>
        <v>0 - 0</v>
      </c>
      <c r="C14" s="129"/>
      <c r="D14" s="130"/>
      <c r="E14" s="47" t="n">
        <f aca="false">IF(C14="",0,IF(AND(C14=0,D14=0),0,IF(C14=D14,1,IF(C14&gt;D14,2,0))))</f>
        <v>0</v>
      </c>
      <c r="F14" s="82" t="n">
        <f aca="false">IF(C14="",0,IF(AND(C14=0,D14=0),0,IF(C14=D14,1,IF(C14&lt;D14,2,0))))</f>
        <v>0</v>
      </c>
      <c r="H14" s="95"/>
      <c r="I14" s="95"/>
      <c r="J14" s="145"/>
      <c r="K14" s="145"/>
      <c r="L14" s="145"/>
      <c r="M14" s="145"/>
      <c r="N14" s="145"/>
      <c r="O14" s="145"/>
      <c r="P14" s="145"/>
      <c r="Q14" s="145"/>
      <c r="R14" s="145"/>
      <c r="S14" s="145"/>
      <c r="T14" s="145"/>
      <c r="U14" s="145"/>
      <c r="V14" s="145"/>
      <c r="W14" s="145"/>
      <c r="X14" s="145"/>
      <c r="Y14" s="145"/>
      <c r="Z14" s="96"/>
      <c r="AA14" s="96"/>
    </row>
    <row r="15" customFormat="false" ht="14.25" hidden="false" customHeight="true" outlineLevel="0" collapsed="false">
      <c r="A15" s="62"/>
      <c r="C15" s="81"/>
      <c r="D15" s="81"/>
      <c r="F15" s="82"/>
      <c r="AC15" s="1" t="s">
        <v>128</v>
      </c>
    </row>
    <row r="16" customFormat="false" ht="14.25" hidden="false" customHeight="true" outlineLevel="0" collapsed="false">
      <c r="A16" s="62" t="s">
        <v>129</v>
      </c>
      <c r="C16" s="81"/>
      <c r="D16" s="81"/>
      <c r="F16" s="82"/>
      <c r="I16" s="1" t="s">
        <v>130</v>
      </c>
      <c r="AC16" s="97" t="str">
        <f aca="false" t="array" ref="AC16:AG23">_xlfn._xlws.SORT(AC6:AG13,1,1)</f>
        <v/>
      </c>
      <c r="AD16" s="98" t="n">
        <v>0</v>
      </c>
      <c r="AE16" s="98" t="n">
        <v>0</v>
      </c>
      <c r="AF16" s="98" t="n">
        <v>0</v>
      </c>
      <c r="AG16" s="99" t="str">
        <v/>
      </c>
    </row>
    <row r="17" customFormat="false" ht="14.25" hidden="false" customHeight="true" outlineLevel="0" collapsed="false">
      <c r="A17" s="88"/>
      <c r="B17" s="1" t="str">
        <f aca="false">CONCATENATE(Wedstrijdschema!D17," - ",Wedstrijdschema!F17)</f>
        <v>0 - 0</v>
      </c>
      <c r="C17" s="89"/>
      <c r="D17" s="90"/>
      <c r="E17" s="47" t="n">
        <f aca="false">IF(C17="",0,IF(AND(C17=0,D17=0),0,IF(C17=D17,1,IF(C17&gt;D17,2,0))))</f>
        <v>0</v>
      </c>
      <c r="F17" s="82" t="n">
        <f aca="false">IF(C17="",0,IF(AND(C17=0,D17=0),0,IF(C17=D17,1,IF(C17&lt;D17,2,0))))</f>
        <v>0</v>
      </c>
      <c r="AC17" s="114" t="str">
        <v/>
      </c>
      <c r="AD17" s="1" t="n">
        <v>0</v>
      </c>
      <c r="AE17" s="1" t="n">
        <v>0</v>
      </c>
      <c r="AF17" s="1" t="n">
        <v>0</v>
      </c>
      <c r="AG17" s="146" t="str">
        <v/>
      </c>
    </row>
    <row r="18" customFormat="false" ht="14.25" hidden="false" customHeight="true" outlineLevel="0" collapsed="false">
      <c r="A18" s="100"/>
      <c r="B18" s="1" t="str">
        <f aca="false">CONCATENATE(Wedstrijdschema!D18," - ",Wedstrijdschema!F18)</f>
        <v>0 - 0</v>
      </c>
      <c r="C18" s="101"/>
      <c r="D18" s="102"/>
      <c r="E18" s="47" t="n">
        <f aca="false">IF(C18="",0,IF(AND(C18=0,D18=0),0,IF(C18=D18,1,IF(C18&gt;D18,2,0))))</f>
        <v>0</v>
      </c>
      <c r="F18" s="82" t="n">
        <f aca="false">IF(C18="",0,IF(AND(C18=0,D18=0),0,IF(C18=D18,1,IF(C18&lt;D18,2,0))))</f>
        <v>0</v>
      </c>
      <c r="I18" s="1" t="s">
        <v>131</v>
      </c>
      <c r="T18" s="78"/>
      <c r="V18" s="78"/>
      <c r="X18" s="78"/>
      <c r="AC18" s="114" t="str">
        <v/>
      </c>
      <c r="AD18" s="1" t="n">
        <v>0</v>
      </c>
      <c r="AE18" s="1" t="n">
        <v>0</v>
      </c>
      <c r="AF18" s="1" t="n">
        <v>0</v>
      </c>
      <c r="AG18" s="146" t="str">
        <v/>
      </c>
    </row>
    <row r="19" customFormat="false" ht="14.25" hidden="false" customHeight="true" outlineLevel="0" collapsed="false">
      <c r="A19" s="117"/>
      <c r="B19" s="1" t="str">
        <f aca="false">CONCATENATE(Wedstrijdschema!D19," - ",Wedstrijdschema!F19)</f>
        <v>0 - 0</v>
      </c>
      <c r="C19" s="101"/>
      <c r="D19" s="102"/>
      <c r="E19" s="47" t="n">
        <f aca="false">IF(C19="",0,IF(AND(C19=0,D19=0),0,IF(C19=D19,1,IF(C19&gt;D19,2,0))))</f>
        <v>0</v>
      </c>
      <c r="F19" s="82" t="n">
        <f aca="false">IF(C19="",0,IF(AND(C19=0,D19=0),0,IF(C19=D19,1,IF(C19&lt;D19,2,0))))</f>
        <v>0</v>
      </c>
      <c r="I19" s="1" t="s">
        <v>132</v>
      </c>
      <c r="T19" s="78"/>
      <c r="V19" s="78"/>
      <c r="X19" s="78"/>
      <c r="AC19" s="114" t="str">
        <v/>
      </c>
      <c r="AD19" s="1" t="n">
        <v>0</v>
      </c>
      <c r="AE19" s="1" t="n">
        <v>0</v>
      </c>
      <c r="AF19" s="1" t="n">
        <v>0</v>
      </c>
      <c r="AG19" s="146" t="str">
        <v/>
      </c>
    </row>
    <row r="20" customFormat="false" ht="14.25" hidden="false" customHeight="true" outlineLevel="0" collapsed="false">
      <c r="A20" s="128"/>
      <c r="B20" s="1" t="str">
        <f aca="false">CONCATENATE(Wedstrijdschema!D20," - ",Wedstrijdschema!F20)</f>
        <v>0 - 0</v>
      </c>
      <c r="C20" s="129"/>
      <c r="D20" s="130"/>
      <c r="E20" s="47" t="n">
        <f aca="false">IF(C20="",0,IF(AND(C20=0,D20=0),0,IF(C20=D20,1,IF(C20&gt;D20,2,0))))</f>
        <v>0</v>
      </c>
      <c r="F20" s="82" t="n">
        <f aca="false">IF(C20="",0,IF(AND(C20=0,D20=0),0,IF(C20=D20,1,IF(C20&lt;D20,2,0))))</f>
        <v>0</v>
      </c>
      <c r="I20" s="1" t="s">
        <v>133</v>
      </c>
      <c r="T20" s="78"/>
      <c r="V20" s="78"/>
      <c r="X20" s="78"/>
      <c r="AC20" s="114" t="str">
        <v/>
      </c>
      <c r="AD20" s="1" t="n">
        <v>0</v>
      </c>
      <c r="AE20" s="1" t="n">
        <v>0</v>
      </c>
      <c r="AF20" s="1" t="n">
        <v>0</v>
      </c>
      <c r="AG20" s="146" t="str">
        <v/>
      </c>
    </row>
    <row r="21" customFormat="false" ht="14.25" hidden="false" customHeight="true" outlineLevel="0" collapsed="false">
      <c r="A21" s="62"/>
      <c r="C21" s="81"/>
      <c r="D21" s="81"/>
      <c r="F21" s="82"/>
      <c r="T21" s="78"/>
      <c r="V21" s="78"/>
      <c r="X21" s="78"/>
      <c r="AC21" s="114" t="str">
        <v/>
      </c>
      <c r="AD21" s="1" t="n">
        <v>0</v>
      </c>
      <c r="AE21" s="1" t="n">
        <v>0</v>
      </c>
      <c r="AF21" s="1" t="n">
        <v>0</v>
      </c>
      <c r="AG21" s="146" t="str">
        <v/>
      </c>
    </row>
    <row r="22" customFormat="false" ht="14.25" hidden="false" customHeight="true" outlineLevel="0" collapsed="false">
      <c r="A22" s="62" t="s">
        <v>134</v>
      </c>
      <c r="C22" s="81"/>
      <c r="D22" s="81"/>
      <c r="F22" s="82"/>
      <c r="T22" s="78"/>
      <c r="V22" s="78"/>
      <c r="X22" s="78"/>
      <c r="AC22" s="114" t="str">
        <v/>
      </c>
      <c r="AD22" s="1" t="n">
        <v>0</v>
      </c>
      <c r="AE22" s="1" t="n">
        <v>0</v>
      </c>
      <c r="AF22" s="1" t="n">
        <v>0</v>
      </c>
      <c r="AG22" s="146" t="str">
        <v/>
      </c>
    </row>
    <row r="23" customFormat="false" ht="14.25" hidden="false" customHeight="true" outlineLevel="0" collapsed="false">
      <c r="A23" s="88"/>
      <c r="B23" s="1" t="str">
        <f aca="false">CONCATENATE(Wedstrijdschema!D23," - ",Wedstrijdschema!F23)</f>
        <v>0 - 0</v>
      </c>
      <c r="C23" s="89"/>
      <c r="D23" s="90"/>
      <c r="E23" s="47" t="n">
        <f aca="false">IF(C23="",0,IF(AND(C23=0,D23=0),0,IF(C23=D23,1,IF(C23&gt;D23,2,0))))</f>
        <v>0</v>
      </c>
      <c r="F23" s="82" t="n">
        <f aca="false">IF(C23="",0,IF(AND(C23=0,D23=0),0,IF(C23=D23,1,IF(C23&lt;D23,2,0))))</f>
        <v>0</v>
      </c>
      <c r="T23" s="78"/>
      <c r="V23" s="78"/>
      <c r="X23" s="78"/>
      <c r="AC23" s="141" t="str">
        <v/>
      </c>
      <c r="AD23" s="142" t="n">
        <v>0</v>
      </c>
      <c r="AE23" s="142" t="n">
        <v>0</v>
      </c>
      <c r="AF23" s="142" t="n">
        <v>0</v>
      </c>
      <c r="AG23" s="147" t="str">
        <v/>
      </c>
    </row>
    <row r="24" customFormat="false" ht="14.25" hidden="false" customHeight="true" outlineLevel="0" collapsed="false">
      <c r="A24" s="100"/>
      <c r="B24" s="1" t="str">
        <f aca="false">CONCATENATE(Wedstrijdschema!D24," - ",Wedstrijdschema!F24)</f>
        <v>0 - 0</v>
      </c>
      <c r="C24" s="101"/>
      <c r="D24" s="102"/>
      <c r="E24" s="47" t="n">
        <f aca="false">IF(C24="",0,IF(AND(C24=0,D24=0),0,IF(C24=D24,1,IF(C24&gt;D24,2,0))))</f>
        <v>0</v>
      </c>
      <c r="F24" s="82" t="n">
        <f aca="false">IF(C24="",0,IF(AND(C24=0,D24=0),0,IF(C24=D24,1,IF(C24&lt;D24,2,0))))</f>
        <v>0</v>
      </c>
      <c r="T24" s="78"/>
      <c r="V24" s="78"/>
      <c r="X24" s="78"/>
    </row>
    <row r="25" customFormat="false" ht="14.25" hidden="false" customHeight="true" outlineLevel="0" collapsed="false">
      <c r="A25" s="117"/>
      <c r="B25" s="1" t="str">
        <f aca="false">CONCATENATE(Wedstrijdschema!D25," - ",Wedstrijdschema!F25)</f>
        <v>0 - 0</v>
      </c>
      <c r="C25" s="101"/>
      <c r="D25" s="102"/>
      <c r="E25" s="47" t="n">
        <f aca="false">IF(C25="",0,IF(AND(C25=0,D25=0),0,IF(C25=D25,1,IF(C25&gt;D25,2,0))))</f>
        <v>0</v>
      </c>
      <c r="F25" s="82" t="n">
        <f aca="false">IF(C25="",0,IF(AND(C25=0,D25=0),0,IF(C25=D25,1,IF(C25&lt;D25,2,0))))</f>
        <v>0</v>
      </c>
      <c r="T25" s="78"/>
      <c r="V25" s="78"/>
      <c r="X25" s="78"/>
    </row>
    <row r="26" customFormat="false" ht="14.25" hidden="false" customHeight="true" outlineLevel="0" collapsed="false">
      <c r="A26" s="128"/>
      <c r="B26" s="1" t="str">
        <f aca="false">CONCATENATE(Wedstrijdschema!D26," - ",Wedstrijdschema!F26)</f>
        <v>0 - 0</v>
      </c>
      <c r="C26" s="129"/>
      <c r="D26" s="130"/>
      <c r="E26" s="47" t="n">
        <f aca="false">IF(C26="",0,IF(AND(C26=0,D26=0),0,IF(C26=D26,1,IF(C26&gt;D26,2,0))))</f>
        <v>0</v>
      </c>
      <c r="F26" s="82" t="n">
        <f aca="false">IF(C26="",0,IF(AND(C26=0,D26=0),0,IF(C26=D26,1,IF(C26&lt;D26,2,0))))</f>
        <v>0</v>
      </c>
    </row>
    <row r="27" customFormat="false" ht="14.25" hidden="false" customHeight="true" outlineLevel="0" collapsed="false">
      <c r="A27" s="62"/>
      <c r="C27" s="81"/>
      <c r="D27" s="81"/>
      <c r="F27" s="82"/>
    </row>
    <row r="28" customFormat="false" ht="14.25" hidden="false" customHeight="true" outlineLevel="0" collapsed="false">
      <c r="A28" s="62" t="s">
        <v>135</v>
      </c>
      <c r="C28" s="81"/>
      <c r="D28" s="81"/>
      <c r="F28" s="82"/>
    </row>
    <row r="29" customFormat="false" ht="14.25" hidden="false" customHeight="true" outlineLevel="0" collapsed="false">
      <c r="A29" s="88"/>
      <c r="B29" s="1" t="str">
        <f aca="false">CONCATENATE(Wedstrijdschema!D29," - ",Wedstrijdschema!F29)</f>
        <v>0 - 0</v>
      </c>
      <c r="C29" s="89"/>
      <c r="D29" s="90"/>
      <c r="E29" s="47" t="n">
        <f aca="false">IF(C29="",0,IF(AND(C29=0,D29=0),0,IF(C29=D29,1,IF(C29&gt;D29,2,0))))</f>
        <v>0</v>
      </c>
      <c r="F29" s="82" t="n">
        <f aca="false">IF(C29="",0,IF(AND(C29=0,D29=0),0,IF(C29=D29,1,IF(C29&lt;D29,2,0))))</f>
        <v>0</v>
      </c>
    </row>
    <row r="30" customFormat="false" ht="14.25" hidden="false" customHeight="true" outlineLevel="0" collapsed="false">
      <c r="A30" s="100"/>
      <c r="B30" s="1" t="str">
        <f aca="false">CONCATENATE(Wedstrijdschema!D30," - ",Wedstrijdschema!F30)</f>
        <v>0 - 0</v>
      </c>
      <c r="C30" s="101"/>
      <c r="D30" s="102"/>
      <c r="E30" s="47" t="n">
        <f aca="false">IF(C30="",0,IF(AND(C30=0,D30=0),0,IF(C30=D30,1,IF(C30&gt;D30,2,0))))</f>
        <v>0</v>
      </c>
      <c r="F30" s="82" t="n">
        <f aca="false">IF(C30="",0,IF(AND(C30=0,D30=0),0,IF(C30=D30,1,IF(C30&lt;D30,2,0))))</f>
        <v>0</v>
      </c>
    </row>
    <row r="31" customFormat="false" ht="14.25" hidden="false" customHeight="true" outlineLevel="0" collapsed="false">
      <c r="A31" s="117"/>
      <c r="B31" s="1" t="str">
        <f aca="false">CONCATENATE(Wedstrijdschema!D31," - ",Wedstrijdschema!F31)</f>
        <v>0 - 0</v>
      </c>
      <c r="C31" s="101"/>
      <c r="D31" s="102"/>
      <c r="E31" s="47" t="n">
        <f aca="false">IF(C31="",0,IF(AND(C31=0,D31=0),0,IF(C31=D31,1,IF(C31&gt;D31,2,0))))</f>
        <v>0</v>
      </c>
      <c r="F31" s="82" t="n">
        <f aca="false">IF(C31="",0,IF(AND(C31=0,D31=0),0,IF(C31=D31,1,IF(C31&lt;D31,2,0))))</f>
        <v>0</v>
      </c>
    </row>
    <row r="32" customFormat="false" ht="14.25" hidden="false" customHeight="true" outlineLevel="0" collapsed="false">
      <c r="A32" s="128"/>
      <c r="B32" s="1" t="str">
        <f aca="false">CONCATENATE(Wedstrijdschema!D32," - ",Wedstrijdschema!F32)</f>
        <v>0 - 0</v>
      </c>
      <c r="C32" s="129"/>
      <c r="D32" s="130"/>
      <c r="E32" s="47" t="n">
        <f aca="false">IF(C32="",0,IF(AND(C32=0,D32=0),0,IF(C32=D32,1,IF(C32&gt;D32,2,0))))</f>
        <v>0</v>
      </c>
      <c r="F32" s="82" t="n">
        <f aca="false">IF(C32="",0,IF(AND(C32=0,D32=0),0,IF(C32=D32,1,IF(C32&lt;D32,2,0))))</f>
        <v>0</v>
      </c>
    </row>
    <row r="33" customFormat="false" ht="14.25" hidden="false" customHeight="true" outlineLevel="0" collapsed="false">
      <c r="A33" s="62"/>
      <c r="C33" s="81"/>
      <c r="D33" s="81"/>
      <c r="F33" s="82"/>
    </row>
    <row r="34" customFormat="false" ht="14.25" hidden="false" customHeight="true" outlineLevel="0" collapsed="false">
      <c r="A34" s="62" t="s">
        <v>136</v>
      </c>
      <c r="C34" s="81"/>
      <c r="D34" s="81"/>
      <c r="F34" s="82"/>
    </row>
    <row r="35" customFormat="false" ht="14.25" hidden="false" customHeight="true" outlineLevel="0" collapsed="false">
      <c r="A35" s="88"/>
      <c r="B35" s="1" t="str">
        <f aca="false">CONCATENATE(Wedstrijdschema!D35," - ",Wedstrijdschema!F35)</f>
        <v>0 - 0</v>
      </c>
      <c r="C35" s="89"/>
      <c r="D35" s="90"/>
      <c r="E35" s="47" t="n">
        <f aca="false">IF(C35="",0,IF(AND(C35=0,D35=0),0,IF(C35=D35,1,IF(C35&gt;D35,2,0))))</f>
        <v>0</v>
      </c>
      <c r="F35" s="82" t="n">
        <f aca="false">IF(C35="",0,IF(AND(C35=0,D35=0),0,IF(C35=D35,1,IF(C35&lt;D35,2,0))))</f>
        <v>0</v>
      </c>
    </row>
    <row r="36" customFormat="false" ht="14.25" hidden="false" customHeight="true" outlineLevel="0" collapsed="false">
      <c r="A36" s="100"/>
      <c r="B36" s="1" t="str">
        <f aca="false">CONCATENATE(Wedstrijdschema!D36," - ",Wedstrijdschema!F36)</f>
        <v>0 - 0</v>
      </c>
      <c r="C36" s="101"/>
      <c r="D36" s="102"/>
      <c r="E36" s="47" t="n">
        <f aca="false">IF(C36="",0,IF(AND(C36=0,D36=0),0,IF(C36=D36,1,IF(C36&gt;D36,2,0))))</f>
        <v>0</v>
      </c>
      <c r="F36" s="82" t="n">
        <f aca="false">IF(C36="",0,IF(AND(C36=0,D36=0),0,IF(C36=D36,1,IF(C36&lt;D36,2,0))))</f>
        <v>0</v>
      </c>
    </row>
    <row r="37" customFormat="false" ht="14.25" hidden="false" customHeight="true" outlineLevel="0" collapsed="false">
      <c r="A37" s="117"/>
      <c r="B37" s="1" t="str">
        <f aca="false">CONCATENATE(Wedstrijdschema!D37," - ",Wedstrijdschema!F37)</f>
        <v>0 - 0</v>
      </c>
      <c r="C37" s="101"/>
      <c r="D37" s="102"/>
      <c r="E37" s="47" t="n">
        <f aca="false">IF(C37="",0,IF(AND(C37=0,D37=0),0,IF(C37=D37,1,IF(C37&gt;D37,2,0))))</f>
        <v>0</v>
      </c>
      <c r="F37" s="82" t="n">
        <f aca="false">IF(C37="",0,IF(AND(C37=0,D37=0),0,IF(C37=D37,1,IF(C37&lt;D37,2,0))))</f>
        <v>0</v>
      </c>
    </row>
    <row r="38" customFormat="false" ht="14.25" hidden="false" customHeight="true" outlineLevel="0" collapsed="false">
      <c r="A38" s="128"/>
      <c r="B38" s="1" t="str">
        <f aca="false">CONCATENATE(Wedstrijdschema!D38," - ",Wedstrijdschema!F38)</f>
        <v>0 - 0</v>
      </c>
      <c r="C38" s="129"/>
      <c r="D38" s="130"/>
      <c r="E38" s="47" t="n">
        <f aca="false">IF(C38="",0,IF(AND(C38=0,D38=0),0,IF(C38=D38,1,IF(C38&gt;D38,2,0))))</f>
        <v>0</v>
      </c>
      <c r="F38" s="82" t="n">
        <f aca="false">IF(C38="",0,IF(AND(C38=0,D38=0),0,IF(C38=D38,1,IF(C38&lt;D38,2,0))))</f>
        <v>0</v>
      </c>
    </row>
    <row r="39" customFormat="false" ht="14.25" hidden="false" customHeight="true" outlineLevel="0" collapsed="false">
      <c r="A39" s="62"/>
      <c r="C39" s="81"/>
      <c r="D39" s="81"/>
      <c r="F39" s="82"/>
    </row>
    <row r="40" customFormat="false" ht="14.25" hidden="false" customHeight="true" outlineLevel="0" collapsed="false">
      <c r="A40" s="62" t="s">
        <v>137</v>
      </c>
      <c r="C40" s="81"/>
      <c r="D40" s="81"/>
      <c r="F40" s="82"/>
    </row>
    <row r="41" customFormat="false" ht="14.25" hidden="false" customHeight="true" outlineLevel="0" collapsed="false">
      <c r="A41" s="88"/>
      <c r="B41" s="1" t="str">
        <f aca="false">CONCATENATE(Wedstrijdschema!D41," - ",Wedstrijdschema!F41)</f>
        <v>0 - 0</v>
      </c>
      <c r="C41" s="89"/>
      <c r="D41" s="90"/>
      <c r="E41" s="47" t="n">
        <f aca="false">IF(C41="",0,IF(AND(C41=0,D41=0),0,IF(C41=D41,1,IF(C41&gt;D41,2,0))))</f>
        <v>0</v>
      </c>
      <c r="F41" s="82" t="n">
        <f aca="false">IF(C41="",0,IF(AND(C41=0,D41=0),0,IF(C41=D41,1,IF(C41&lt;D41,2,0))))</f>
        <v>0</v>
      </c>
    </row>
    <row r="42" customFormat="false" ht="14.25" hidden="false" customHeight="true" outlineLevel="0" collapsed="false">
      <c r="A42" s="100"/>
      <c r="B42" s="1" t="str">
        <f aca="false">CONCATENATE(Wedstrijdschema!D42," - ",Wedstrijdschema!F42)</f>
        <v>0 - 0</v>
      </c>
      <c r="C42" s="101"/>
      <c r="D42" s="102"/>
      <c r="E42" s="47" t="n">
        <f aca="false">IF(C42="",0,IF(AND(C42=0,D42=0),0,IF(C42=D42,1,IF(C42&gt;D42,2,0))))</f>
        <v>0</v>
      </c>
      <c r="F42" s="82" t="n">
        <f aca="false">IF(C42="",0,IF(AND(C42=0,D42=0),0,IF(C42=D42,1,IF(C42&lt;D42,2,0))))</f>
        <v>0</v>
      </c>
    </row>
    <row r="43" customFormat="false" ht="14.25" hidden="false" customHeight="true" outlineLevel="0" collapsed="false">
      <c r="A43" s="117"/>
      <c r="B43" s="1" t="str">
        <f aca="false">CONCATENATE(Wedstrijdschema!D43," - ",Wedstrijdschema!F43)</f>
        <v>0 - 0</v>
      </c>
      <c r="C43" s="101"/>
      <c r="D43" s="102"/>
      <c r="E43" s="47" t="n">
        <f aca="false">IF(C43="",0,IF(AND(C43=0,D43=0),0,IF(C43=D43,1,IF(C43&gt;D43,2,0))))</f>
        <v>0</v>
      </c>
      <c r="F43" s="82" t="n">
        <f aca="false">IF(C43="",0,IF(AND(C43=0,D43=0),0,IF(C43=D43,1,IF(C43&lt;D43,2,0))))</f>
        <v>0</v>
      </c>
    </row>
    <row r="44" customFormat="false" ht="14.25" hidden="false" customHeight="true" outlineLevel="0" collapsed="false">
      <c r="A44" s="128"/>
      <c r="B44" s="1" t="str">
        <f aca="false">CONCATENATE(Wedstrijdschema!D44," - ",Wedstrijdschema!F44)</f>
        <v>0 - 0</v>
      </c>
      <c r="C44" s="129"/>
      <c r="D44" s="130"/>
      <c r="E44" s="47" t="n">
        <f aca="false">IF(C44="",0,IF(AND(C44=0,D44=0),0,IF(C44=D44,1,IF(C44&gt;D44,2,0))))</f>
        <v>0</v>
      </c>
      <c r="F44" s="82" t="n">
        <f aca="false">IF(C44="",0,IF(AND(C44=0,D44=0),0,IF(C44=D44,1,IF(C44&lt;D44,2,0))))</f>
        <v>0</v>
      </c>
    </row>
    <row r="45" customFormat="false" ht="14.25" hidden="false" customHeight="true" outlineLevel="0" collapsed="false">
      <c r="A45" s="95"/>
      <c r="B45" s="145"/>
      <c r="C45" s="148"/>
      <c r="D45" s="148"/>
      <c r="E45" s="149"/>
      <c r="F45" s="150"/>
    </row>
    <row r="46" customFormat="false" ht="14.25" hidden="false" customHeight="true" outlineLevel="0" collapsed="false">
      <c r="C46" s="81"/>
      <c r="D46" s="81"/>
    </row>
    <row r="47" customFormat="false" ht="14.25" hidden="false" customHeight="true" outlineLevel="0" collapsed="false">
      <c r="C47" s="81"/>
      <c r="D47" s="81"/>
    </row>
    <row r="48" customFormat="false" ht="14.25" hidden="false" customHeight="true" outlineLevel="0" collapsed="false">
      <c r="C48" s="81"/>
      <c r="D48" s="81"/>
    </row>
    <row r="49" customFormat="false" ht="14.25" hidden="false" customHeight="true" outlineLevel="0" collapsed="false">
      <c r="C49" s="81"/>
      <c r="D49" s="81"/>
    </row>
    <row r="50" customFormat="false" ht="14.25" hidden="false" customHeight="true" outlineLevel="0" collapsed="false">
      <c r="C50" s="81"/>
      <c r="D50" s="81"/>
    </row>
    <row r="51" customFormat="false" ht="14.25" hidden="false" customHeight="true" outlineLevel="0" collapsed="false">
      <c r="C51" s="81"/>
      <c r="D51" s="81"/>
    </row>
    <row r="52" customFormat="false" ht="14.25" hidden="false" customHeight="true" outlineLevel="0" collapsed="false">
      <c r="C52" s="81"/>
      <c r="D52" s="81"/>
    </row>
    <row r="53" customFormat="false" ht="14.25" hidden="false" customHeight="true" outlineLevel="0" collapsed="false">
      <c r="C53" s="81"/>
      <c r="D53" s="81"/>
    </row>
    <row r="54" customFormat="false" ht="14.25" hidden="false" customHeight="true" outlineLevel="0" collapsed="false">
      <c r="C54" s="81"/>
      <c r="D54" s="81"/>
    </row>
    <row r="55" customFormat="false" ht="14.25" hidden="false" customHeight="true" outlineLevel="0" collapsed="false">
      <c r="C55" s="81"/>
      <c r="D55" s="81"/>
    </row>
    <row r="56" customFormat="false" ht="14.25" hidden="false" customHeight="true" outlineLevel="0" collapsed="false">
      <c r="C56" s="81"/>
      <c r="D56" s="81"/>
    </row>
    <row r="57" customFormat="false" ht="14.25" hidden="false" customHeight="true" outlineLevel="0" collapsed="false">
      <c r="C57" s="81"/>
      <c r="D57" s="81"/>
    </row>
    <row r="58" customFormat="false" ht="14.25" hidden="false" customHeight="true" outlineLevel="0" collapsed="false">
      <c r="C58" s="81"/>
      <c r="D58" s="81"/>
    </row>
    <row r="59" customFormat="false" ht="14.25" hidden="false" customHeight="true" outlineLevel="0" collapsed="false">
      <c r="C59" s="81"/>
      <c r="D59" s="81"/>
    </row>
    <row r="60" customFormat="false" ht="14.25" hidden="false" customHeight="true" outlineLevel="0" collapsed="false">
      <c r="C60" s="81"/>
      <c r="D60" s="81"/>
    </row>
    <row r="61" customFormat="false" ht="14.25" hidden="false" customHeight="true" outlineLevel="0" collapsed="false">
      <c r="C61" s="81"/>
      <c r="D61" s="81"/>
    </row>
    <row r="62" customFormat="false" ht="14.25" hidden="false" customHeight="true" outlineLevel="0" collapsed="false">
      <c r="C62" s="81"/>
      <c r="D62" s="81"/>
    </row>
    <row r="63" customFormat="false" ht="14.25" hidden="false" customHeight="true" outlineLevel="0" collapsed="false">
      <c r="C63" s="81"/>
      <c r="D63" s="81"/>
    </row>
    <row r="64" customFormat="false" ht="14.25" hidden="false" customHeight="true" outlineLevel="0" collapsed="false">
      <c r="C64" s="81"/>
      <c r="D64" s="81"/>
    </row>
    <row r="65" customFormat="false" ht="14.25" hidden="false" customHeight="true" outlineLevel="0" collapsed="false">
      <c r="C65" s="81"/>
      <c r="D65" s="81"/>
    </row>
    <row r="66" customFormat="false" ht="14.25" hidden="false" customHeight="true" outlineLevel="0" collapsed="false">
      <c r="C66" s="81"/>
      <c r="D66" s="81"/>
    </row>
    <row r="67" customFormat="false" ht="14.25" hidden="false" customHeight="true" outlineLevel="0" collapsed="false">
      <c r="C67" s="81"/>
      <c r="D67" s="81"/>
    </row>
    <row r="68" customFormat="false" ht="14.25" hidden="false" customHeight="true" outlineLevel="0" collapsed="false">
      <c r="C68" s="81"/>
      <c r="D68" s="81"/>
    </row>
    <row r="69" customFormat="false" ht="14.25" hidden="false" customHeight="true" outlineLevel="0" collapsed="false">
      <c r="C69" s="81"/>
      <c r="D69" s="81"/>
    </row>
    <row r="70" customFormat="false" ht="14.25" hidden="false" customHeight="true" outlineLevel="0" collapsed="false">
      <c r="C70" s="81"/>
      <c r="D70" s="81"/>
    </row>
    <row r="71" customFormat="false" ht="14.25" hidden="false" customHeight="true" outlineLevel="0" collapsed="false">
      <c r="C71" s="81"/>
      <c r="D71" s="81"/>
    </row>
    <row r="72" customFormat="false" ht="14.25" hidden="false" customHeight="true" outlineLevel="0" collapsed="false">
      <c r="C72" s="81"/>
      <c r="D72" s="81"/>
    </row>
    <row r="73" customFormat="false" ht="14.25" hidden="false" customHeight="true" outlineLevel="0" collapsed="false">
      <c r="C73" s="81"/>
      <c r="D73" s="81"/>
    </row>
    <row r="74" customFormat="false" ht="14.25" hidden="false" customHeight="true" outlineLevel="0" collapsed="false">
      <c r="C74" s="81"/>
      <c r="D74" s="81"/>
    </row>
    <row r="75" customFormat="false" ht="14.25" hidden="false" customHeight="true" outlineLevel="0" collapsed="false">
      <c r="C75" s="81"/>
      <c r="D75" s="81"/>
    </row>
    <row r="76" customFormat="false" ht="14.25" hidden="false" customHeight="true" outlineLevel="0" collapsed="false">
      <c r="C76" s="81"/>
      <c r="D76" s="81"/>
    </row>
    <row r="77" customFormat="false" ht="14.25" hidden="false" customHeight="true" outlineLevel="0" collapsed="false">
      <c r="C77" s="81"/>
      <c r="D77" s="81"/>
    </row>
    <row r="78" customFormat="false" ht="14.25" hidden="false" customHeight="true" outlineLevel="0" collapsed="false">
      <c r="C78" s="81"/>
      <c r="D78" s="81"/>
    </row>
    <row r="79" customFormat="false" ht="14.25" hidden="false" customHeight="true" outlineLevel="0" collapsed="false">
      <c r="C79" s="81"/>
      <c r="D79" s="81"/>
    </row>
    <row r="80" customFormat="false" ht="14.25" hidden="false" customHeight="true" outlineLevel="0" collapsed="false">
      <c r="C80" s="81"/>
      <c r="D80" s="81"/>
    </row>
    <row r="81" customFormat="false" ht="14.25" hidden="false" customHeight="true" outlineLevel="0" collapsed="false">
      <c r="C81" s="81"/>
      <c r="D81" s="81"/>
    </row>
    <row r="82" customFormat="false" ht="14.25" hidden="false" customHeight="true" outlineLevel="0" collapsed="false">
      <c r="C82" s="81"/>
      <c r="D82" s="81"/>
    </row>
    <row r="83" customFormat="false" ht="14.25" hidden="false" customHeight="true" outlineLevel="0" collapsed="false">
      <c r="C83" s="81"/>
      <c r="D83" s="81"/>
    </row>
    <row r="84" customFormat="false" ht="14.25" hidden="false" customHeight="true" outlineLevel="0" collapsed="false">
      <c r="C84" s="81"/>
      <c r="D84" s="81"/>
    </row>
    <row r="85" customFormat="false" ht="14.25" hidden="false" customHeight="true" outlineLevel="0" collapsed="false">
      <c r="C85" s="81"/>
      <c r="D85" s="81"/>
    </row>
    <row r="86" customFormat="false" ht="14.25" hidden="false" customHeight="true" outlineLevel="0" collapsed="false">
      <c r="C86" s="81"/>
      <c r="D86" s="81"/>
    </row>
    <row r="87" customFormat="false" ht="14.25" hidden="false" customHeight="true" outlineLevel="0" collapsed="false">
      <c r="C87" s="81"/>
      <c r="D87" s="81"/>
    </row>
    <row r="88" customFormat="false" ht="14.25" hidden="false" customHeight="true" outlineLevel="0" collapsed="false">
      <c r="C88" s="81"/>
      <c r="D88" s="81"/>
    </row>
    <row r="89" customFormat="false" ht="14.25" hidden="false" customHeight="true" outlineLevel="0" collapsed="false">
      <c r="C89" s="81"/>
      <c r="D89" s="81"/>
    </row>
    <row r="90" customFormat="false" ht="14.25" hidden="false" customHeight="true" outlineLevel="0" collapsed="false">
      <c r="C90" s="81"/>
      <c r="D90" s="81"/>
    </row>
    <row r="91" customFormat="false" ht="14.25" hidden="false" customHeight="true" outlineLevel="0" collapsed="false">
      <c r="C91" s="81"/>
      <c r="D91" s="81"/>
    </row>
    <row r="92" customFormat="false" ht="14.25" hidden="false" customHeight="true" outlineLevel="0" collapsed="false">
      <c r="C92" s="81"/>
      <c r="D92" s="81"/>
    </row>
    <row r="93" customFormat="false" ht="14.25" hidden="false" customHeight="true" outlineLevel="0" collapsed="false">
      <c r="C93" s="81"/>
      <c r="D93" s="81"/>
    </row>
    <row r="94" customFormat="false" ht="14.25" hidden="false" customHeight="true" outlineLevel="0" collapsed="false">
      <c r="C94" s="81"/>
      <c r="D94" s="81"/>
    </row>
    <row r="95" customFormat="false" ht="14.25" hidden="false" customHeight="true" outlineLevel="0" collapsed="false">
      <c r="C95" s="81"/>
      <c r="D95" s="81"/>
    </row>
    <row r="96" customFormat="false" ht="14.25" hidden="false" customHeight="true" outlineLevel="0" collapsed="false">
      <c r="C96" s="81"/>
      <c r="D96" s="81"/>
    </row>
    <row r="97" customFormat="false" ht="14.25" hidden="false" customHeight="true" outlineLevel="0" collapsed="false">
      <c r="C97" s="81"/>
      <c r="D97" s="81"/>
    </row>
    <row r="98" customFormat="false" ht="14.25" hidden="false" customHeight="true" outlineLevel="0" collapsed="false">
      <c r="C98" s="81"/>
      <c r="D98" s="81"/>
    </row>
    <row r="99" customFormat="false" ht="14.25" hidden="false" customHeight="true" outlineLevel="0" collapsed="false">
      <c r="C99" s="81"/>
      <c r="D99" s="81"/>
    </row>
    <row r="100" customFormat="false" ht="14.25" hidden="false" customHeight="true" outlineLevel="0" collapsed="false">
      <c r="C100" s="81"/>
      <c r="D100" s="81"/>
    </row>
    <row r="101" customFormat="false" ht="14.25" hidden="false" customHeight="true" outlineLevel="0" collapsed="false">
      <c r="C101" s="81"/>
      <c r="D101" s="81"/>
    </row>
    <row r="102" customFormat="false" ht="14.25" hidden="false" customHeight="true" outlineLevel="0" collapsed="false">
      <c r="C102" s="81"/>
      <c r="D102" s="81"/>
    </row>
    <row r="103" customFormat="false" ht="14.25" hidden="false" customHeight="true" outlineLevel="0" collapsed="false">
      <c r="C103" s="81"/>
      <c r="D103" s="81"/>
    </row>
    <row r="104" customFormat="false" ht="14.25" hidden="false" customHeight="true" outlineLevel="0" collapsed="false">
      <c r="C104" s="81"/>
      <c r="D104" s="81"/>
    </row>
    <row r="105" customFormat="false" ht="14.25" hidden="false" customHeight="true" outlineLevel="0" collapsed="false">
      <c r="C105" s="81"/>
      <c r="D105" s="81"/>
    </row>
    <row r="106" customFormat="false" ht="14.25" hidden="false" customHeight="true" outlineLevel="0" collapsed="false">
      <c r="C106" s="81"/>
      <c r="D106" s="81"/>
    </row>
    <row r="107" customFormat="false" ht="14.25" hidden="false" customHeight="true" outlineLevel="0" collapsed="false">
      <c r="C107" s="81"/>
      <c r="D107" s="81"/>
    </row>
    <row r="108" customFormat="false" ht="14.25" hidden="false" customHeight="true" outlineLevel="0" collapsed="false">
      <c r="C108" s="81"/>
      <c r="D108" s="81"/>
    </row>
    <row r="109" customFormat="false" ht="14.25" hidden="false" customHeight="true" outlineLevel="0" collapsed="false">
      <c r="C109" s="81"/>
      <c r="D109" s="81"/>
    </row>
    <row r="110" customFormat="false" ht="14.25" hidden="false" customHeight="true" outlineLevel="0" collapsed="false">
      <c r="C110" s="81"/>
      <c r="D110" s="81"/>
    </row>
    <row r="111" customFormat="false" ht="14.25" hidden="false" customHeight="true" outlineLevel="0" collapsed="false">
      <c r="C111" s="81"/>
      <c r="D111" s="81"/>
    </row>
    <row r="112" customFormat="false" ht="14.25" hidden="false" customHeight="true" outlineLevel="0" collapsed="false">
      <c r="C112" s="81"/>
      <c r="D112" s="81"/>
    </row>
    <row r="113" customFormat="false" ht="14.25" hidden="false" customHeight="true" outlineLevel="0" collapsed="false">
      <c r="C113" s="81"/>
      <c r="D113" s="81"/>
    </row>
    <row r="114" customFormat="false" ht="14.25" hidden="false" customHeight="true" outlineLevel="0" collapsed="false">
      <c r="C114" s="81"/>
      <c r="D114" s="81"/>
    </row>
    <row r="115" customFormat="false" ht="14.25" hidden="false" customHeight="true" outlineLevel="0" collapsed="false">
      <c r="C115" s="81"/>
      <c r="D115" s="81"/>
    </row>
    <row r="116" customFormat="false" ht="14.25" hidden="false" customHeight="true" outlineLevel="0" collapsed="false">
      <c r="C116" s="81"/>
      <c r="D116" s="81"/>
    </row>
    <row r="117" customFormat="false" ht="14.25" hidden="false" customHeight="true" outlineLevel="0" collapsed="false">
      <c r="C117" s="81"/>
      <c r="D117" s="81"/>
    </row>
    <row r="118" customFormat="false" ht="14.25" hidden="false" customHeight="true" outlineLevel="0" collapsed="false">
      <c r="C118" s="81"/>
      <c r="D118" s="81"/>
    </row>
    <row r="119" customFormat="false" ht="14.25" hidden="false" customHeight="true" outlineLevel="0" collapsed="false">
      <c r="C119" s="81"/>
      <c r="D119" s="81"/>
    </row>
    <row r="120" customFormat="false" ht="14.25" hidden="false" customHeight="true" outlineLevel="0" collapsed="false">
      <c r="C120" s="81"/>
      <c r="D120" s="81"/>
    </row>
    <row r="121" customFormat="false" ht="14.25" hidden="false" customHeight="true" outlineLevel="0" collapsed="false">
      <c r="C121" s="81"/>
      <c r="D121" s="81"/>
    </row>
    <row r="122" customFormat="false" ht="14.25" hidden="false" customHeight="true" outlineLevel="0" collapsed="false">
      <c r="C122" s="81"/>
      <c r="D122" s="81"/>
    </row>
    <row r="123" customFormat="false" ht="14.25" hidden="false" customHeight="true" outlineLevel="0" collapsed="false">
      <c r="C123" s="81"/>
      <c r="D123" s="81"/>
    </row>
    <row r="124" customFormat="false" ht="14.25" hidden="false" customHeight="true" outlineLevel="0" collapsed="false">
      <c r="C124" s="81"/>
      <c r="D124" s="81"/>
    </row>
    <row r="125" customFormat="false" ht="14.25" hidden="false" customHeight="true" outlineLevel="0" collapsed="false">
      <c r="C125" s="81"/>
      <c r="D125" s="81"/>
    </row>
    <row r="126" customFormat="false" ht="14.25" hidden="false" customHeight="true" outlineLevel="0" collapsed="false">
      <c r="C126" s="81"/>
      <c r="D126" s="81"/>
    </row>
    <row r="127" customFormat="false" ht="14.25" hidden="false" customHeight="true" outlineLevel="0" collapsed="false">
      <c r="C127" s="81"/>
      <c r="D127" s="81"/>
    </row>
    <row r="128" customFormat="false" ht="14.25" hidden="false" customHeight="true" outlineLevel="0" collapsed="false">
      <c r="C128" s="81"/>
      <c r="D128" s="81"/>
    </row>
    <row r="129" customFormat="false" ht="14.25" hidden="false" customHeight="true" outlineLevel="0" collapsed="false">
      <c r="C129" s="81"/>
      <c r="D129" s="81"/>
    </row>
    <row r="130" customFormat="false" ht="14.25" hidden="false" customHeight="true" outlineLevel="0" collapsed="false">
      <c r="C130" s="81"/>
      <c r="D130" s="81"/>
    </row>
    <row r="131" customFormat="false" ht="14.25" hidden="false" customHeight="true" outlineLevel="0" collapsed="false">
      <c r="C131" s="81"/>
      <c r="D131" s="81"/>
    </row>
    <row r="132" customFormat="false" ht="14.25" hidden="false" customHeight="true" outlineLevel="0" collapsed="false">
      <c r="C132" s="81"/>
      <c r="D132" s="81"/>
    </row>
    <row r="133" customFormat="false" ht="14.25" hidden="false" customHeight="true" outlineLevel="0" collapsed="false">
      <c r="C133" s="81"/>
      <c r="D133" s="81"/>
    </row>
    <row r="134" customFormat="false" ht="14.25" hidden="false" customHeight="true" outlineLevel="0" collapsed="false">
      <c r="C134" s="81"/>
      <c r="D134" s="81"/>
    </row>
    <row r="135" customFormat="false" ht="14.25" hidden="false" customHeight="true" outlineLevel="0" collapsed="false">
      <c r="C135" s="81"/>
      <c r="D135" s="81"/>
    </row>
    <row r="136" customFormat="false" ht="14.25" hidden="false" customHeight="true" outlineLevel="0" collapsed="false">
      <c r="C136" s="81"/>
      <c r="D136" s="81"/>
    </row>
    <row r="137" customFormat="false" ht="14.25" hidden="false" customHeight="true" outlineLevel="0" collapsed="false">
      <c r="C137" s="81"/>
      <c r="D137" s="81"/>
    </row>
    <row r="138" customFormat="false" ht="14.25" hidden="false" customHeight="true" outlineLevel="0" collapsed="false">
      <c r="C138" s="81"/>
      <c r="D138" s="81"/>
    </row>
    <row r="139" customFormat="false" ht="14.25" hidden="false" customHeight="true" outlineLevel="0" collapsed="false">
      <c r="C139" s="81"/>
      <c r="D139" s="81"/>
    </row>
    <row r="140" customFormat="false" ht="14.25" hidden="false" customHeight="true" outlineLevel="0" collapsed="false">
      <c r="C140" s="81"/>
      <c r="D140" s="81"/>
    </row>
    <row r="141" customFormat="false" ht="14.25" hidden="false" customHeight="true" outlineLevel="0" collapsed="false">
      <c r="C141" s="81"/>
      <c r="D141" s="81"/>
    </row>
    <row r="142" customFormat="false" ht="14.25" hidden="false" customHeight="true" outlineLevel="0" collapsed="false">
      <c r="C142" s="81"/>
      <c r="D142" s="81"/>
    </row>
    <row r="143" customFormat="false" ht="14.25" hidden="false" customHeight="true" outlineLevel="0" collapsed="false">
      <c r="C143" s="81"/>
      <c r="D143" s="81"/>
    </row>
    <row r="144" customFormat="false" ht="14.25" hidden="false" customHeight="true" outlineLevel="0" collapsed="false">
      <c r="C144" s="81"/>
      <c r="D144" s="81"/>
    </row>
    <row r="145" customFormat="false" ht="14.25" hidden="false" customHeight="true" outlineLevel="0" collapsed="false">
      <c r="C145" s="81"/>
      <c r="D145" s="81"/>
    </row>
    <row r="146" customFormat="false" ht="14.25" hidden="false" customHeight="true" outlineLevel="0" collapsed="false">
      <c r="C146" s="81"/>
      <c r="D146" s="81"/>
    </row>
    <row r="147" customFormat="false" ht="14.25" hidden="false" customHeight="true" outlineLevel="0" collapsed="false">
      <c r="C147" s="81"/>
      <c r="D147" s="81"/>
    </row>
    <row r="148" customFormat="false" ht="14.25" hidden="false" customHeight="true" outlineLevel="0" collapsed="false">
      <c r="C148" s="81"/>
      <c r="D148" s="81"/>
    </row>
    <row r="149" customFormat="false" ht="14.25" hidden="false" customHeight="true" outlineLevel="0" collapsed="false">
      <c r="C149" s="81"/>
      <c r="D149" s="81"/>
    </row>
    <row r="150" customFormat="false" ht="14.25" hidden="false" customHeight="true" outlineLevel="0" collapsed="false">
      <c r="C150" s="81"/>
      <c r="D150" s="81"/>
    </row>
    <row r="151" customFormat="false" ht="14.25" hidden="false" customHeight="true" outlineLevel="0" collapsed="false">
      <c r="C151" s="81"/>
      <c r="D151" s="81"/>
    </row>
    <row r="152" customFormat="false" ht="14.25" hidden="false" customHeight="true" outlineLevel="0" collapsed="false">
      <c r="C152" s="81"/>
      <c r="D152" s="81"/>
    </row>
    <row r="153" customFormat="false" ht="14.25" hidden="false" customHeight="true" outlineLevel="0" collapsed="false">
      <c r="C153" s="81"/>
      <c r="D153" s="81"/>
    </row>
    <row r="154" customFormat="false" ht="14.25" hidden="false" customHeight="true" outlineLevel="0" collapsed="false">
      <c r="C154" s="81"/>
      <c r="D154" s="81"/>
    </row>
    <row r="155" customFormat="false" ht="14.25" hidden="false" customHeight="true" outlineLevel="0" collapsed="false">
      <c r="C155" s="81"/>
      <c r="D155" s="81"/>
    </row>
    <row r="156" customFormat="false" ht="14.25" hidden="false" customHeight="true" outlineLevel="0" collapsed="false">
      <c r="C156" s="81"/>
      <c r="D156" s="81"/>
    </row>
    <row r="157" customFormat="false" ht="14.25" hidden="false" customHeight="true" outlineLevel="0" collapsed="false">
      <c r="C157" s="81"/>
      <c r="D157" s="81"/>
    </row>
    <row r="158" customFormat="false" ht="14.25" hidden="false" customHeight="true" outlineLevel="0" collapsed="false">
      <c r="C158" s="81"/>
      <c r="D158" s="81"/>
    </row>
    <row r="159" customFormat="false" ht="14.25" hidden="false" customHeight="true" outlineLevel="0" collapsed="false">
      <c r="C159" s="81"/>
      <c r="D159" s="81"/>
    </row>
    <row r="160" customFormat="false" ht="14.25" hidden="false" customHeight="true" outlineLevel="0" collapsed="false">
      <c r="C160" s="81"/>
      <c r="D160" s="81"/>
    </row>
    <row r="161" customFormat="false" ht="14.25" hidden="false" customHeight="true" outlineLevel="0" collapsed="false">
      <c r="C161" s="81"/>
      <c r="D161" s="81"/>
    </row>
    <row r="162" customFormat="false" ht="14.25" hidden="false" customHeight="true" outlineLevel="0" collapsed="false">
      <c r="C162" s="81"/>
      <c r="D162" s="81"/>
    </row>
    <row r="163" customFormat="false" ht="14.25" hidden="false" customHeight="true" outlineLevel="0" collapsed="false">
      <c r="C163" s="81"/>
      <c r="D163" s="81"/>
    </row>
    <row r="164" customFormat="false" ht="14.25" hidden="false" customHeight="true" outlineLevel="0" collapsed="false">
      <c r="C164" s="81"/>
      <c r="D164" s="81"/>
    </row>
    <row r="165" customFormat="false" ht="14.25" hidden="false" customHeight="true" outlineLevel="0" collapsed="false">
      <c r="C165" s="81"/>
      <c r="D165" s="81"/>
    </row>
    <row r="166" customFormat="false" ht="14.25" hidden="false" customHeight="true" outlineLevel="0" collapsed="false">
      <c r="C166" s="81"/>
      <c r="D166" s="81"/>
    </row>
    <row r="167" customFormat="false" ht="14.25" hidden="false" customHeight="true" outlineLevel="0" collapsed="false">
      <c r="C167" s="81"/>
      <c r="D167" s="81"/>
    </row>
    <row r="168" customFormat="false" ht="14.25" hidden="false" customHeight="true" outlineLevel="0" collapsed="false">
      <c r="C168" s="81"/>
      <c r="D168" s="81"/>
    </row>
    <row r="169" customFormat="false" ht="14.25" hidden="false" customHeight="true" outlineLevel="0" collapsed="false">
      <c r="C169" s="81"/>
      <c r="D169" s="81"/>
    </row>
    <row r="170" customFormat="false" ht="14.25" hidden="false" customHeight="true" outlineLevel="0" collapsed="false">
      <c r="C170" s="81"/>
      <c r="D170" s="81"/>
    </row>
    <row r="171" customFormat="false" ht="14.25" hidden="false" customHeight="true" outlineLevel="0" collapsed="false">
      <c r="C171" s="81"/>
      <c r="D171" s="81"/>
    </row>
    <row r="172" customFormat="false" ht="14.25" hidden="false" customHeight="true" outlineLevel="0" collapsed="false">
      <c r="C172" s="81"/>
      <c r="D172" s="81"/>
    </row>
    <row r="173" customFormat="false" ht="14.25" hidden="false" customHeight="true" outlineLevel="0" collapsed="false">
      <c r="C173" s="81"/>
      <c r="D173" s="81"/>
    </row>
    <row r="174" customFormat="false" ht="14.25" hidden="false" customHeight="true" outlineLevel="0" collapsed="false">
      <c r="C174" s="81"/>
      <c r="D174" s="81"/>
    </row>
    <row r="175" customFormat="false" ht="14.25" hidden="false" customHeight="true" outlineLevel="0" collapsed="false">
      <c r="C175" s="81"/>
      <c r="D175" s="81"/>
    </row>
    <row r="176" customFormat="false" ht="14.25" hidden="false" customHeight="true" outlineLevel="0" collapsed="false">
      <c r="C176" s="81"/>
      <c r="D176" s="81"/>
    </row>
    <row r="177" customFormat="false" ht="14.25" hidden="false" customHeight="true" outlineLevel="0" collapsed="false">
      <c r="C177" s="81"/>
      <c r="D177" s="81"/>
    </row>
    <row r="178" customFormat="false" ht="14.25" hidden="false" customHeight="true" outlineLevel="0" collapsed="false">
      <c r="C178" s="81"/>
      <c r="D178" s="81"/>
    </row>
    <row r="179" customFormat="false" ht="14.25" hidden="false" customHeight="true" outlineLevel="0" collapsed="false">
      <c r="C179" s="81"/>
      <c r="D179" s="81"/>
    </row>
    <row r="180" customFormat="false" ht="14.25" hidden="false" customHeight="true" outlineLevel="0" collapsed="false">
      <c r="C180" s="81"/>
      <c r="D180" s="81"/>
    </row>
    <row r="181" customFormat="false" ht="14.25" hidden="false" customHeight="true" outlineLevel="0" collapsed="false">
      <c r="C181" s="81"/>
      <c r="D181" s="81"/>
    </row>
    <row r="182" customFormat="false" ht="14.25" hidden="false" customHeight="true" outlineLevel="0" collapsed="false">
      <c r="C182" s="81"/>
      <c r="D182" s="81"/>
    </row>
    <row r="183" customFormat="false" ht="14.25" hidden="false" customHeight="true" outlineLevel="0" collapsed="false">
      <c r="C183" s="81"/>
      <c r="D183" s="81"/>
    </row>
    <row r="184" customFormat="false" ht="14.25" hidden="false" customHeight="true" outlineLevel="0" collapsed="false">
      <c r="C184" s="81"/>
      <c r="D184" s="81"/>
    </row>
    <row r="185" customFormat="false" ht="14.25" hidden="false" customHeight="true" outlineLevel="0" collapsed="false">
      <c r="C185" s="81"/>
      <c r="D185" s="81"/>
    </row>
    <row r="186" customFormat="false" ht="14.25" hidden="false" customHeight="true" outlineLevel="0" collapsed="false">
      <c r="C186" s="81"/>
      <c r="D186" s="81"/>
    </row>
    <row r="187" customFormat="false" ht="14.25" hidden="false" customHeight="true" outlineLevel="0" collapsed="false">
      <c r="C187" s="81"/>
      <c r="D187" s="81"/>
    </row>
    <row r="188" customFormat="false" ht="14.25" hidden="false" customHeight="true" outlineLevel="0" collapsed="false">
      <c r="C188" s="81"/>
      <c r="D188" s="81"/>
    </row>
    <row r="189" customFormat="false" ht="14.25" hidden="false" customHeight="true" outlineLevel="0" collapsed="false">
      <c r="C189" s="81"/>
      <c r="D189" s="81"/>
    </row>
    <row r="190" customFormat="false" ht="14.25" hidden="false" customHeight="true" outlineLevel="0" collapsed="false">
      <c r="C190" s="81"/>
      <c r="D190" s="81"/>
    </row>
    <row r="191" customFormat="false" ht="14.25" hidden="false" customHeight="true" outlineLevel="0" collapsed="false">
      <c r="C191" s="81"/>
      <c r="D191" s="81"/>
    </row>
    <row r="192" customFormat="false" ht="14.25" hidden="false" customHeight="true" outlineLevel="0" collapsed="false">
      <c r="C192" s="81"/>
      <c r="D192" s="81"/>
    </row>
    <row r="193" customFormat="false" ht="14.25" hidden="false" customHeight="true" outlineLevel="0" collapsed="false">
      <c r="C193" s="81"/>
      <c r="D193" s="81"/>
    </row>
    <row r="194" customFormat="false" ht="14.25" hidden="false" customHeight="true" outlineLevel="0" collapsed="false">
      <c r="C194" s="81"/>
      <c r="D194" s="81"/>
    </row>
    <row r="195" customFormat="false" ht="14.25" hidden="false" customHeight="true" outlineLevel="0" collapsed="false">
      <c r="C195" s="81"/>
      <c r="D195" s="81"/>
    </row>
    <row r="196" customFormat="false" ht="14.25" hidden="false" customHeight="true" outlineLevel="0" collapsed="false">
      <c r="C196" s="81"/>
      <c r="D196" s="81"/>
    </row>
    <row r="197" customFormat="false" ht="14.25" hidden="false" customHeight="true" outlineLevel="0" collapsed="false">
      <c r="C197" s="81"/>
      <c r="D197" s="81"/>
    </row>
    <row r="198" customFormat="false" ht="14.25" hidden="false" customHeight="true" outlineLevel="0" collapsed="false">
      <c r="C198" s="81"/>
      <c r="D198" s="81"/>
    </row>
    <row r="199" customFormat="false" ht="14.25" hidden="false" customHeight="true" outlineLevel="0" collapsed="false">
      <c r="C199" s="81"/>
      <c r="D199" s="81"/>
    </row>
    <row r="200" customFormat="false" ht="14.25" hidden="false" customHeight="true" outlineLevel="0" collapsed="false">
      <c r="C200" s="81"/>
      <c r="D200" s="81"/>
    </row>
    <row r="201" customFormat="false" ht="14.25" hidden="false" customHeight="true" outlineLevel="0" collapsed="false">
      <c r="C201" s="81"/>
      <c r="D201" s="81"/>
    </row>
    <row r="202" customFormat="false" ht="14.25" hidden="false" customHeight="true" outlineLevel="0" collapsed="false">
      <c r="C202" s="81"/>
      <c r="D202" s="81"/>
    </row>
    <row r="203" customFormat="false" ht="14.25" hidden="false" customHeight="true" outlineLevel="0" collapsed="false">
      <c r="C203" s="81"/>
      <c r="D203" s="81"/>
    </row>
    <row r="204" customFormat="false" ht="14.25" hidden="false" customHeight="true" outlineLevel="0" collapsed="false">
      <c r="C204" s="81"/>
      <c r="D204" s="81"/>
    </row>
    <row r="205" customFormat="false" ht="14.25" hidden="false" customHeight="true" outlineLevel="0" collapsed="false">
      <c r="C205" s="81"/>
      <c r="D205" s="81"/>
    </row>
    <row r="206" customFormat="false" ht="14.25" hidden="false" customHeight="true" outlineLevel="0" collapsed="false">
      <c r="C206" s="81"/>
      <c r="D206" s="81"/>
    </row>
    <row r="207" customFormat="false" ht="14.25" hidden="false" customHeight="true" outlineLevel="0" collapsed="false">
      <c r="C207" s="81"/>
      <c r="D207" s="81"/>
    </row>
    <row r="208" customFormat="false" ht="14.25" hidden="false" customHeight="true" outlineLevel="0" collapsed="false">
      <c r="C208" s="81"/>
      <c r="D208" s="81"/>
    </row>
    <row r="209" customFormat="false" ht="14.25" hidden="false" customHeight="true" outlineLevel="0" collapsed="false">
      <c r="C209" s="81"/>
      <c r="D209" s="81"/>
    </row>
    <row r="210" customFormat="false" ht="14.25" hidden="false" customHeight="true" outlineLevel="0" collapsed="false">
      <c r="C210" s="81"/>
      <c r="D210" s="81"/>
    </row>
    <row r="211" customFormat="false" ht="14.25" hidden="false" customHeight="true" outlineLevel="0" collapsed="false">
      <c r="C211" s="81"/>
      <c r="D211" s="81"/>
    </row>
    <row r="212" customFormat="false" ht="14.25" hidden="false" customHeight="true" outlineLevel="0" collapsed="false">
      <c r="C212" s="81"/>
      <c r="D212" s="81"/>
    </row>
    <row r="213" customFormat="false" ht="14.25" hidden="false" customHeight="true" outlineLevel="0" collapsed="false">
      <c r="C213" s="81"/>
      <c r="D213" s="81"/>
    </row>
    <row r="214" customFormat="false" ht="14.25" hidden="false" customHeight="true" outlineLevel="0" collapsed="false">
      <c r="C214" s="81"/>
      <c r="D214" s="81"/>
    </row>
    <row r="215" customFormat="false" ht="14.25" hidden="false" customHeight="true" outlineLevel="0" collapsed="false">
      <c r="C215" s="81"/>
      <c r="D215" s="81"/>
    </row>
    <row r="216" customFormat="false" ht="14.25" hidden="false" customHeight="true" outlineLevel="0" collapsed="false">
      <c r="C216" s="81"/>
      <c r="D216" s="81"/>
    </row>
    <row r="217" customFormat="false" ht="14.25" hidden="false" customHeight="true" outlineLevel="0" collapsed="false">
      <c r="C217" s="81"/>
      <c r="D217" s="81"/>
    </row>
    <row r="218" customFormat="false" ht="14.25" hidden="false" customHeight="true" outlineLevel="0" collapsed="false">
      <c r="C218" s="81"/>
      <c r="D218" s="81"/>
    </row>
    <row r="219" customFormat="false" ht="14.25" hidden="false" customHeight="true" outlineLevel="0" collapsed="false">
      <c r="C219" s="81"/>
      <c r="D219" s="81"/>
    </row>
    <row r="220" customFormat="false" ht="14.25" hidden="false" customHeight="true" outlineLevel="0" collapsed="false">
      <c r="C220" s="81"/>
      <c r="D220" s="81"/>
    </row>
    <row r="221" customFormat="false" ht="14.25" hidden="false" customHeight="true" outlineLevel="0" collapsed="false">
      <c r="C221" s="81"/>
      <c r="D221" s="81"/>
    </row>
    <row r="222" customFormat="false" ht="14.25" hidden="false" customHeight="true" outlineLevel="0" collapsed="false">
      <c r="C222" s="81"/>
      <c r="D222" s="81"/>
    </row>
    <row r="223" customFormat="false" ht="14.25" hidden="false" customHeight="true" outlineLevel="0" collapsed="false">
      <c r="C223" s="81"/>
      <c r="D223" s="81"/>
    </row>
    <row r="224" customFormat="false" ht="14.25" hidden="false" customHeight="true" outlineLevel="0" collapsed="false">
      <c r="C224" s="81"/>
      <c r="D224" s="81"/>
    </row>
    <row r="225" customFormat="false" ht="14.25" hidden="false" customHeight="true" outlineLevel="0" collapsed="false">
      <c r="C225" s="81"/>
      <c r="D225" s="81"/>
    </row>
    <row r="226" customFormat="false" ht="14.25" hidden="false" customHeight="true" outlineLevel="0" collapsed="false">
      <c r="C226" s="81"/>
      <c r="D226" s="81"/>
    </row>
    <row r="227" customFormat="false" ht="14.25" hidden="false" customHeight="true" outlineLevel="0" collapsed="false">
      <c r="C227" s="81"/>
      <c r="D227" s="81"/>
    </row>
    <row r="228" customFormat="false" ht="14.25" hidden="false" customHeight="true" outlineLevel="0" collapsed="false">
      <c r="C228" s="81"/>
      <c r="D228" s="81"/>
    </row>
    <row r="229" customFormat="false" ht="14.25" hidden="false" customHeight="true" outlineLevel="0" collapsed="false">
      <c r="C229" s="81"/>
      <c r="D229" s="81"/>
    </row>
    <row r="230" customFormat="false" ht="14.25" hidden="false" customHeight="true" outlineLevel="0" collapsed="false">
      <c r="C230" s="81"/>
      <c r="D230" s="81"/>
    </row>
    <row r="231" customFormat="false" ht="14.25" hidden="false" customHeight="true" outlineLevel="0" collapsed="false">
      <c r="C231" s="81"/>
      <c r="D231" s="81"/>
    </row>
    <row r="232" customFormat="false" ht="14.25" hidden="false" customHeight="true" outlineLevel="0" collapsed="false">
      <c r="C232" s="81"/>
      <c r="D232" s="81"/>
    </row>
    <row r="233" customFormat="false" ht="14.25" hidden="false" customHeight="true" outlineLevel="0" collapsed="false">
      <c r="C233" s="81"/>
      <c r="D233" s="81"/>
    </row>
    <row r="234" customFormat="false" ht="14.25" hidden="false" customHeight="true" outlineLevel="0" collapsed="false">
      <c r="C234" s="81"/>
      <c r="D234" s="81"/>
    </row>
    <row r="235" customFormat="false" ht="14.25" hidden="false" customHeight="true" outlineLevel="0" collapsed="false">
      <c r="C235" s="81"/>
      <c r="D235" s="81"/>
    </row>
    <row r="236" customFormat="false" ht="14.25" hidden="false" customHeight="true" outlineLevel="0" collapsed="false">
      <c r="C236" s="81"/>
      <c r="D236" s="81"/>
    </row>
    <row r="237" customFormat="false" ht="14.25" hidden="false" customHeight="true" outlineLevel="0" collapsed="false">
      <c r="C237" s="81"/>
      <c r="D237" s="81"/>
    </row>
    <row r="238" customFormat="false" ht="14.25" hidden="false" customHeight="true" outlineLevel="0" collapsed="false">
      <c r="C238" s="81"/>
      <c r="D238" s="81"/>
    </row>
    <row r="239" customFormat="false" ht="14.25" hidden="false" customHeight="true" outlineLevel="0" collapsed="false">
      <c r="C239" s="81"/>
      <c r="D239" s="81"/>
    </row>
    <row r="240" customFormat="false" ht="14.25" hidden="false" customHeight="true" outlineLevel="0" collapsed="false">
      <c r="C240" s="81"/>
      <c r="D240" s="81"/>
    </row>
    <row r="241" customFormat="false" ht="14.25" hidden="false" customHeight="true" outlineLevel="0" collapsed="false">
      <c r="C241" s="81"/>
      <c r="D241" s="81"/>
    </row>
    <row r="242" customFormat="false" ht="14.25" hidden="false" customHeight="true" outlineLevel="0" collapsed="false">
      <c r="C242" s="81"/>
      <c r="D242" s="81"/>
    </row>
    <row r="243" customFormat="false" ht="14.25" hidden="false" customHeight="true" outlineLevel="0" collapsed="false">
      <c r="C243" s="81"/>
      <c r="D243" s="81"/>
    </row>
    <row r="244" customFormat="false" ht="14.25" hidden="false" customHeight="true" outlineLevel="0" collapsed="false">
      <c r="C244" s="81"/>
      <c r="D244" s="81"/>
    </row>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algorithmName="SHA-512" hashValue="c5Q9k0twPkh1JMNZXvixbktV3k9knu1RgIwM8CqZ2LzWON8p36ro7jnaUSx2JYvItfKWzax5ELRUwilbgEaB3Q==" saltValue="HCXRlB+Ucg3BzZidDwH8hw==" spinCount="100000" sheet="true" objects="true" scenarios="true" selectLockedCells="true"/>
  <mergeCells count="11">
    <mergeCell ref="B2:F2"/>
    <mergeCell ref="I2:Y2"/>
    <mergeCell ref="C4:D4"/>
    <mergeCell ref="E4:F4"/>
    <mergeCell ref="K4:L4"/>
    <mergeCell ref="M4:N4"/>
    <mergeCell ref="O4:P4"/>
    <mergeCell ref="Q4:R4"/>
    <mergeCell ref="S4:T4"/>
    <mergeCell ref="U4:V4"/>
    <mergeCell ref="W4:X4"/>
  </mergeCells>
  <conditionalFormatting sqref="Z6:Z13">
    <cfRule type="expression" priority="2" aboveAverage="0" equalAverage="0" bottom="0" percent="0" rank="0" text="" dxfId="0">
      <formula>AND(H6&gt;0, H6&lt;=3, COUNTIF($H$6:$H$13, H6)&gt;1)</formula>
    </cfRule>
  </conditionalFormatting>
  <conditionalFormatting sqref="H6:H13">
    <cfRule type="expression" priority="3" aboveAverage="0" equalAverage="0" bottom="0" percent="0" rank="0" text="" dxfId="1">
      <formula>AND(H6&gt;0, H6&lt;=3, COUNTIF($H$6:$H$13, H6)&gt;1)</formula>
    </cfRule>
  </conditionalFormatting>
  <printOptions headings="false" gridLines="false" gridLinesSet="true" horizontalCentered="true" verticalCentered="true"/>
  <pageMargins left="0.196527777777778" right="0.196527777777778" top="0.747916666666667" bottom="0.747916666666667" header="0" footer="0"/>
  <pageSetup paperSize="9" scale="100" fitToWidth="1" fitToHeight="0" pageOrder="downThenOver" orientation="landscape" blackAndWhite="false" draft="false" cellComments="none" horizontalDpi="300" verticalDpi="300" copies="1"/>
  <headerFooter differentFirst="false" differentOddEven="false">
    <oddHeader>&amp;CTussenstand</oddHeader>
    <oddFooter>&amp;C&amp;D</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2: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4" activeCellId="0" sqref="E24"/>
    </sheetView>
  </sheetViews>
  <sheetFormatPr defaultColWidth="14.4296875" defaultRowHeight="15" customHeight="true" zeroHeight="false" outlineLevelRow="0" outlineLevelCol="0"/>
  <cols>
    <col collapsed="false" customWidth="true" hidden="false" outlineLevel="0" max="1" min="1" style="1" width="2.71"/>
    <col collapsed="false" customWidth="true" hidden="false" outlineLevel="0" max="2" min="2" style="1" width="6.28"/>
    <col collapsed="false" customWidth="true" hidden="false" outlineLevel="0" max="3" min="3" style="1" width="38.43"/>
    <col collapsed="false" customWidth="true" hidden="false" outlineLevel="0" max="4" min="4" style="1" width="13.86"/>
    <col collapsed="false" customWidth="true" hidden="false" outlineLevel="0" max="6" min="5" style="1" width="12.86"/>
    <col collapsed="false" customWidth="true" hidden="false" outlineLevel="0" max="7" min="7" style="1" width="12.14"/>
    <col collapsed="false" customWidth="true" hidden="false" outlineLevel="0" max="8" min="8" style="1" width="4.71"/>
    <col collapsed="false" customWidth="false" hidden="false" outlineLevel="0" max="16384" min="9" style="1" width="14.43"/>
  </cols>
  <sheetData>
    <row r="2" customFormat="false" ht="21.75" hidden="false" customHeight="true" outlineLevel="0" collapsed="false">
      <c r="B2" s="151" t="str">
        <f aca="false">"Uitslag "&amp;Deelnemers!B1</f>
        <v>Uitslag RK Teams Rayon 4, 25m 1pijl competitie 2025/2026</v>
      </c>
      <c r="C2" s="151"/>
      <c r="D2" s="151"/>
      <c r="E2" s="151"/>
      <c r="F2" s="151"/>
      <c r="G2" s="151"/>
    </row>
    <row r="3" customFormat="false" ht="21.75" hidden="false" customHeight="true" outlineLevel="0" collapsed="false">
      <c r="B3" s="151" t="str">
        <f aca="false">Deelnemers!B2</f>
        <v>Recurve klasse D</v>
      </c>
      <c r="C3" s="151"/>
      <c r="D3" s="151"/>
      <c r="E3" s="151"/>
      <c r="F3" s="151"/>
      <c r="G3" s="151"/>
    </row>
    <row r="4" customFormat="false" ht="19.5" hidden="false" customHeight="true" outlineLevel="0" collapsed="false">
      <c r="B4" s="152" t="str">
        <f aca="false">IF(Deelnemers!B3="","",Deelnemers!B3)</f>
        <v>Willem Tell 1921, Kerkrade</v>
      </c>
      <c r="C4" s="152"/>
      <c r="D4" s="152"/>
      <c r="E4" s="152"/>
      <c r="F4" s="152"/>
      <c r="G4" s="152"/>
    </row>
    <row r="5" customFormat="false" ht="19.5" hidden="false" customHeight="true" outlineLevel="0" collapsed="false">
      <c r="B5" s="153" t="str">
        <f aca="false">IF(Deelnemers!B4="","",Deelnemers!B4)</f>
        <v>2026-04-11</v>
      </c>
      <c r="C5" s="153"/>
      <c r="D5" s="153"/>
      <c r="E5" s="153"/>
      <c r="F5" s="153"/>
      <c r="G5" s="153"/>
    </row>
    <row r="7" customFormat="false" ht="15" hidden="false" customHeight="true" outlineLevel="0" collapsed="false">
      <c r="B7" s="28" t="s">
        <v>138</v>
      </c>
      <c r="C7" s="2" t="s">
        <v>139</v>
      </c>
      <c r="D7" s="28" t="s">
        <v>140</v>
      </c>
      <c r="E7" s="28" t="s">
        <v>118</v>
      </c>
      <c r="F7" s="28" t="s">
        <v>141</v>
      </c>
    </row>
    <row r="8" customFormat="false" ht="15" hidden="false" customHeight="true" outlineLevel="0" collapsed="false">
      <c r="A8" s="2"/>
      <c r="B8" s="28" t="str">
        <f aca="false">Scores!AC16</f>
        <v/>
      </c>
      <c r="C8" s="1" t="n">
        <f aca="false">Scores!AD16</f>
        <v>0</v>
      </c>
      <c r="D8" s="47" t="n">
        <f aca="false">Scores!AE16</f>
        <v>0</v>
      </c>
      <c r="E8" s="81" t="n">
        <f aca="false">Scores!AF16</f>
        <v>0</v>
      </c>
      <c r="F8" s="81" t="str">
        <f aca="false">IF(Scores!AG16&lt;&gt;"",Scores!AG16,"")</f>
        <v/>
      </c>
      <c r="G8" s="33" t="s">
        <v>142</v>
      </c>
    </row>
    <row r="9" customFormat="false" ht="15" hidden="false" customHeight="true" outlineLevel="0" collapsed="false">
      <c r="B9" s="28" t="str">
        <f aca="false">Scores!AC17</f>
        <v/>
      </c>
      <c r="C9" s="1" t="n">
        <f aca="false">Scores!AD17</f>
        <v>0</v>
      </c>
      <c r="D9" s="47" t="n">
        <f aca="false">Scores!AE17</f>
        <v>0</v>
      </c>
      <c r="E9" s="81" t="n">
        <f aca="false">Scores!AF17</f>
        <v>0</v>
      </c>
      <c r="F9" s="81" t="str">
        <f aca="false">IF(Scores!AG17&lt;&gt;"",Scores!AG17,"")</f>
        <v/>
      </c>
      <c r="G9" s="47" t="s">
        <v>143</v>
      </c>
    </row>
    <row r="10" customFormat="false" ht="15" hidden="false" customHeight="true" outlineLevel="0" collapsed="false">
      <c r="B10" s="28" t="str">
        <f aca="false">Scores!AC18</f>
        <v/>
      </c>
      <c r="C10" s="1" t="n">
        <f aca="false">Scores!AD18</f>
        <v>0</v>
      </c>
      <c r="D10" s="47" t="n">
        <f aca="false">Scores!AE18</f>
        <v>0</v>
      </c>
      <c r="E10" s="81" t="n">
        <f aca="false">Scores!AF18</f>
        <v>0</v>
      </c>
      <c r="F10" s="81" t="str">
        <f aca="false">IF(Scores!AG18&lt;&gt;"",Scores!AG18,"")</f>
        <v/>
      </c>
      <c r="G10" s="81" t="str">
        <f aca="false">IF(Scores!AC2=2,"","3e")</f>
        <v>3e</v>
      </c>
    </row>
    <row r="11" customFormat="false" ht="15" hidden="false" customHeight="true" outlineLevel="0" collapsed="false">
      <c r="B11" s="28" t="str">
        <f aca="false">Scores!AC19</f>
        <v/>
      </c>
      <c r="C11" s="1" t="n">
        <f aca="false">Scores!AD19</f>
        <v>0</v>
      </c>
      <c r="D11" s="47" t="n">
        <f aca="false">Scores!AE19</f>
        <v>0</v>
      </c>
      <c r="E11" s="81" t="n">
        <f aca="false">Scores!AF19</f>
        <v>0</v>
      </c>
      <c r="F11" s="81" t="str">
        <f aca="false">IF(Scores!AG19&lt;&gt;"",Scores!AG19,"")</f>
        <v/>
      </c>
      <c r="G11" s="81"/>
    </row>
    <row r="12" customFormat="false" ht="15" hidden="false" customHeight="true" outlineLevel="0" collapsed="false">
      <c r="B12" s="28" t="str">
        <f aca="false">Scores!AC20</f>
        <v/>
      </c>
      <c r="C12" s="1" t="n">
        <f aca="false">Scores!AD20</f>
        <v>0</v>
      </c>
      <c r="D12" s="47" t="n">
        <f aca="false">Scores!AE20</f>
        <v>0</v>
      </c>
      <c r="E12" s="81" t="n">
        <f aca="false">Scores!AF20</f>
        <v>0</v>
      </c>
      <c r="F12" s="81" t="str">
        <f aca="false">IF(Scores!AG20&lt;&gt;"",Scores!AG20,"")</f>
        <v/>
      </c>
      <c r="G12" s="81"/>
    </row>
    <row r="13" customFormat="false" ht="15" hidden="false" customHeight="true" outlineLevel="0" collapsed="false">
      <c r="B13" s="28" t="str">
        <f aca="false">Scores!AC21</f>
        <v/>
      </c>
      <c r="C13" s="1" t="n">
        <f aca="false">Scores!AD21</f>
        <v>0</v>
      </c>
      <c r="D13" s="47" t="n">
        <f aca="false">Scores!AE21</f>
        <v>0</v>
      </c>
      <c r="E13" s="81" t="n">
        <f aca="false">Scores!AF21</f>
        <v>0</v>
      </c>
      <c r="F13" s="81" t="str">
        <f aca="false">IF(Scores!AG21&lt;&gt;"",Scores!AG21,"")</f>
        <v/>
      </c>
      <c r="G13" s="81"/>
    </row>
    <row r="14" customFormat="false" ht="15" hidden="false" customHeight="true" outlineLevel="0" collapsed="false">
      <c r="B14" s="28" t="str">
        <f aca="false">Scores!AC22</f>
        <v/>
      </c>
      <c r="C14" s="1" t="n">
        <f aca="false">Scores!AD22</f>
        <v>0</v>
      </c>
      <c r="D14" s="47" t="n">
        <f aca="false">Scores!AE22</f>
        <v>0</v>
      </c>
      <c r="E14" s="81" t="n">
        <f aca="false">Scores!AF22</f>
        <v>0</v>
      </c>
      <c r="F14" s="81" t="str">
        <f aca="false">IF(Scores!AG22&lt;&gt;"",Scores!AG22,"")</f>
        <v/>
      </c>
      <c r="G14" s="81"/>
    </row>
    <row r="15" customFormat="false" ht="15" hidden="false" customHeight="true" outlineLevel="0" collapsed="false">
      <c r="B15" s="28" t="str">
        <f aca="false">Scores!AC23</f>
        <v/>
      </c>
      <c r="C15" s="1" t="n">
        <f aca="false">Scores!AD23</f>
        <v>0</v>
      </c>
      <c r="D15" s="47" t="n">
        <f aca="false">Scores!AE23</f>
        <v>0</v>
      </c>
      <c r="E15" s="81" t="n">
        <f aca="false">Scores!AF23</f>
        <v>0</v>
      </c>
      <c r="F15" s="81" t="str">
        <f aca="false">IF(Scores!AG23&lt;&gt;"",Scores!AG23,"")</f>
        <v/>
      </c>
      <c r="G15" s="81"/>
    </row>
    <row r="20" customFormat="false" ht="15" hidden="false" customHeight="true" outlineLevel="0" collapsed="false">
      <c r="J20" s="0"/>
    </row>
    <row r="21" customFormat="false" ht="15.75" hidden="false" customHeight="true" outlineLevel="0" collapsed="false">
      <c r="J21" s="0"/>
    </row>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c r="C30" s="4" t="s">
        <v>2</v>
      </c>
      <c r="D30" s="5" t="s">
        <v>3</v>
      </c>
      <c r="E30" s="5"/>
      <c r="F30" s="154" t="s">
        <v>4</v>
      </c>
      <c r="G30" s="7"/>
      <c r="H30" s="8"/>
      <c r="I30" s="0"/>
    </row>
    <row r="31" customFormat="false" ht="15.75" hidden="false" customHeight="true" outlineLevel="0" collapsed="false">
      <c r="C31" s="4"/>
      <c r="D31" s="11" t="s">
        <v>5</v>
      </c>
      <c r="E31" s="11"/>
      <c r="F31" s="11"/>
      <c r="G31" s="11"/>
      <c r="H31" s="12"/>
      <c r="I31" s="0"/>
    </row>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f57c" objects="true" scenarios="true" selectLockedCells="true"/>
  <mergeCells count="5">
    <mergeCell ref="B2:G2"/>
    <mergeCell ref="B3:G3"/>
    <mergeCell ref="B4:G4"/>
    <mergeCell ref="B5:G5"/>
    <mergeCell ref="C30:C31"/>
  </mergeCells>
  <hyperlinks>
    <hyperlink ref="F30" r:id="rId1" display="mh-support@handboogsport.nl"/>
  </hyperlinks>
  <printOptions headings="false" gridLines="false" gridLinesSet="true" horizontalCentered="true" verticalCentered="false"/>
  <pageMargins left="0.157638888888889" right="0.157638888888889"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19" man="true" max="16383" min="0"/>
  </rowBreaks>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14.4296875" defaultRowHeight="15" customHeight="true" zeroHeight="false" outlineLevelRow="0" outlineLevelCol="0"/>
  <cols>
    <col collapsed="false" customWidth="true" hidden="false" outlineLevel="0" max="1" min="1" style="47" width="7.57"/>
    <col collapsed="false" customWidth="true" hidden="false" outlineLevel="0" max="2" min="2" style="47" width="1.71"/>
    <col collapsed="false" customWidth="true" hidden="false" outlineLevel="0" max="3" min="3" style="47" width="7.57"/>
    <col collapsed="false" customWidth="true" hidden="false" outlineLevel="0" max="4" min="4" style="1" width="36.57"/>
    <col collapsed="false" customWidth="true" hidden="false" outlineLevel="0" max="5" min="5" style="1" width="1.71"/>
    <col collapsed="false" customWidth="true" hidden="false" outlineLevel="0" max="6" min="6" style="1" width="36.57"/>
    <col collapsed="false" customWidth="true" hidden="false" outlineLevel="0" max="10" min="7" style="1" width="8.71"/>
    <col collapsed="false" customWidth="false" hidden="true" outlineLevel="0" max="11" min="11" style="1" width="14.43"/>
    <col collapsed="false" customWidth="true" hidden="true" outlineLevel="0" max="19" min="12" style="1" width="7.57"/>
    <col collapsed="false" customWidth="true" hidden="false" outlineLevel="0" max="20" min="20" style="1" width="9.14"/>
    <col collapsed="false" customWidth="false" hidden="false" outlineLevel="0" max="16384" min="21" style="1" width="14.43"/>
  </cols>
  <sheetData>
    <row r="1" customFormat="false" ht="19.5" hidden="false" customHeight="true" outlineLevel="0" collapsed="false">
      <c r="A1" s="155" t="s">
        <v>144</v>
      </c>
      <c r="B1" s="155"/>
      <c r="C1" s="155"/>
      <c r="D1" s="155"/>
      <c r="E1" s="155"/>
      <c r="F1" s="155"/>
      <c r="K1" s="1" t="s">
        <v>145</v>
      </c>
      <c r="L1" s="78" t="str">
        <f aca="false">Deelnemers!D5</f>
        <v>7 of 8</v>
      </c>
    </row>
    <row r="2" customFormat="false" ht="15" hidden="false" customHeight="true" outlineLevel="0" collapsed="false">
      <c r="A2" s="156" t="str">
        <f aca="false">Deelnemers!B2</f>
        <v>Recurve klasse D</v>
      </c>
      <c r="B2" s="156"/>
      <c r="C2" s="156"/>
      <c r="D2" s="156"/>
      <c r="E2" s="156"/>
      <c r="F2" s="156"/>
      <c r="K2" s="1" t="s">
        <v>146</v>
      </c>
      <c r="L2" s="157" t="s">
        <v>147</v>
      </c>
      <c r="M2" s="157"/>
      <c r="N2" s="157" t="s">
        <v>148</v>
      </c>
      <c r="O2" s="157"/>
      <c r="P2" s="157" t="s">
        <v>149</v>
      </c>
      <c r="Q2" s="157"/>
      <c r="R2" s="157" t="s">
        <v>150</v>
      </c>
      <c r="S2" s="157"/>
    </row>
    <row r="3" customFormat="false" ht="15" hidden="false" customHeight="true" outlineLevel="0" collapsed="false">
      <c r="A3" s="158"/>
      <c r="B3" s="158"/>
      <c r="C3" s="158"/>
      <c r="D3" s="158"/>
      <c r="E3" s="158"/>
      <c r="F3" s="158"/>
      <c r="K3" s="1" t="n">
        <v>1</v>
      </c>
      <c r="L3" s="1" t="str">
        <f aca="false">Deelnemers!A8</f>
        <v>Baan 1</v>
      </c>
      <c r="M3" s="1" t="str">
        <f aca="false">Deelnemers!A13</f>
        <v>Baan 2</v>
      </c>
      <c r="N3" s="1" t="str">
        <f aca="false">IF(Deelnemers!D5="1 of 2","",Deelnemers!A18)</f>
        <v>Baan 3</v>
      </c>
      <c r="O3" s="1" t="str">
        <f aca="false">IF(Deelnemers!D5="1 of 2","",Deelnemers!A23)</f>
        <v>Baan 4</v>
      </c>
      <c r="P3" s="1" t="str">
        <f aca="false">IF(Deelnemers!D5="1 of 2","",IF(L1="3 of 4","",Deelnemers!A28))</f>
        <v>Baan 5</v>
      </c>
      <c r="Q3" s="1" t="str">
        <f aca="false">IF(Deelnemers!D5="1 of 2","",IF(L1="3 of 4","",Deelnemers!A33))</f>
        <v>Baan 6</v>
      </c>
      <c r="R3" s="1" t="str">
        <f aca="false">IF(L1="7 of 8",Deelnemers!A38,"")</f>
        <v>Baan 7</v>
      </c>
      <c r="S3" s="1" t="str">
        <f aca="false">IF(L1="7 of 8",Deelnemers!A43,"")</f>
        <v>Baan 8</v>
      </c>
    </row>
    <row r="4" customFormat="false" ht="17.25" hidden="false" customHeight="true" outlineLevel="0" collapsed="false">
      <c r="A4" s="159" t="s">
        <v>116</v>
      </c>
      <c r="B4" s="159"/>
      <c r="C4" s="159"/>
      <c r="D4" s="159"/>
      <c r="E4" s="159"/>
      <c r="F4" s="159"/>
      <c r="K4" s="1" t="n">
        <v>2</v>
      </c>
      <c r="L4" s="1" t="str">
        <f aca="false">Deelnemers!A8</f>
        <v>Baan 1</v>
      </c>
      <c r="M4" s="1" t="str">
        <f aca="false">IF(Deelnemers!D5="1 of 2",Deelnemers!A13,Deelnemers!A18)</f>
        <v>Baan 3</v>
      </c>
      <c r="N4" s="1" t="str">
        <f aca="false">IF(Deelnemers!D5="1 of 2","",Deelnemers!A13)</f>
        <v>Baan 2</v>
      </c>
      <c r="O4" s="1" t="str">
        <f aca="false">IF(Deelnemers!D5="1 of 2","",IF(L1="3 of 4",Deelnemers!A23,Deelnemers!A28))</f>
        <v>Baan 5</v>
      </c>
      <c r="P4" s="1" t="str">
        <f aca="false">IF(Deelnemers!D5="1 of 2","",IF(L1="3 of 4","",Deelnemers!A23))</f>
        <v>Baan 4</v>
      </c>
      <c r="Q4" s="1" t="str">
        <f aca="false">IF(Deelnemers!D5="1 of 2","",IF(L1="3 of 4","",IF(L1="7 of 8",Deelnemers!A38,Deelnemers!A33)))</f>
        <v>Baan 7</v>
      </c>
      <c r="R4" s="1" t="str">
        <f aca="false">IF(L1="7 of 8",Deelnemers!A33,"")</f>
        <v>Baan 6</v>
      </c>
      <c r="S4" s="1" t="str">
        <f aca="false">IF(L1="7 of 8",Deelnemers!A43,"")</f>
        <v>Baan 8</v>
      </c>
    </row>
    <row r="5" customFormat="false" ht="15" hidden="false" customHeight="true" outlineLevel="0" collapsed="false">
      <c r="A5" s="160" t="str">
        <f aca="false">L3</f>
        <v>Baan 1</v>
      </c>
      <c r="B5" s="161" t="s">
        <v>151</v>
      </c>
      <c r="C5" s="161" t="str">
        <f aca="false">M3</f>
        <v>Baan 2</v>
      </c>
      <c r="D5" s="162" t="n">
        <f aca="false">VLOOKUP(A5,Deelnemers!A:D,2,FALSE())</f>
        <v>0</v>
      </c>
      <c r="E5" s="1" t="s">
        <v>151</v>
      </c>
      <c r="F5" s="163" t="n">
        <f aca="false">VLOOKUP(C5,Deelnemers!A:D,2,FALSE())</f>
        <v>0</v>
      </c>
      <c r="K5" s="1" t="n">
        <v>3</v>
      </c>
      <c r="L5" s="1" t="str">
        <f aca="false">Deelnemers!A8</f>
        <v>Baan 1</v>
      </c>
      <c r="M5" s="1" t="str">
        <f aca="false">IF(Deelnemers!D5="1 of 2",Deelnemers!A13,Deelnemers!A23)</f>
        <v>Baan 4</v>
      </c>
      <c r="N5" s="1" t="str">
        <f aca="false">IF(Deelnemers!D5="1 of 2","",Deelnemers!A13)</f>
        <v>Baan 2</v>
      </c>
      <c r="O5" s="1" t="str">
        <f aca="false">IF(Deelnemers!D5="1 of 2","",IF(L1="3 of 4",Deelnemers!A18,Deelnemers!A33))</f>
        <v>Baan 6</v>
      </c>
      <c r="P5" s="1" t="str">
        <f aca="false">IF(Deelnemers!D5="1 of 2","",IF(L1="3 of 4","",Deelnemers!A18))</f>
        <v>Baan 3</v>
      </c>
      <c r="Q5" s="1" t="str">
        <f aca="false">IF(Deelnemers!D5="1 of 2","",IF(L1="3 of 4","",IF(L1="7 of 8",Deelnemers!A43,Deelnemers!A28)))</f>
        <v>Baan 8</v>
      </c>
      <c r="R5" s="1" t="str">
        <f aca="false">IF(L1="7 of 8",Deelnemers!A28,"")</f>
        <v>Baan 5</v>
      </c>
      <c r="S5" s="1" t="str">
        <f aca="false">IF(L1="7 of 8",Deelnemers!A38,"")</f>
        <v>Baan 7</v>
      </c>
    </row>
    <row r="6" customFormat="false" ht="15" hidden="false" customHeight="true" outlineLevel="0" collapsed="false">
      <c r="A6" s="164" t="str">
        <f aca="false">N3</f>
        <v>Baan 3</v>
      </c>
      <c r="B6" s="165" t="s">
        <v>151</v>
      </c>
      <c r="C6" s="165" t="str">
        <f aca="false">O3</f>
        <v>Baan 4</v>
      </c>
      <c r="D6" s="162" t="n">
        <f aca="false">IF(A6="","",VLOOKUP(A6,Deelnemers!A:D,2,FALSE()))</f>
        <v>0</v>
      </c>
      <c r="E6" s="1" t="s">
        <v>151</v>
      </c>
      <c r="F6" s="163" t="n">
        <f aca="false">IF(A6="","",VLOOKUP(C6,Deelnemers!A:D,2,FALSE()))</f>
        <v>0</v>
      </c>
      <c r="K6" s="1" t="n">
        <v>4</v>
      </c>
      <c r="L6" s="1" t="str">
        <f aca="false">Deelnemers!A8</f>
        <v>Baan 1</v>
      </c>
      <c r="M6" s="1" t="str">
        <f aca="false">IF(Deelnemers!D5="1 of 2",Deelnemers!A13,IF(L1="3 of 4",Deelnemers!A13,Deelnemers!A28))</f>
        <v>Baan 5</v>
      </c>
      <c r="N6" s="1" t="str">
        <f aca="false">IF(Deelnemers!D5="1 of 2","",IF(L1="3 of 4",Deelnemers!A18,Deelnemers!A13))</f>
        <v>Baan 2</v>
      </c>
      <c r="O6" s="1" t="str">
        <f aca="false">IF(Deelnemers!D5="1 of 2","",IF(L1="7 of 8",Deelnemers!A43,Deelnemers!A23))</f>
        <v>Baan 8</v>
      </c>
      <c r="P6" s="1" t="str">
        <f aca="false">IF(Deelnemers!D5="1 of 2","",IF(L1="3 of 4","",Deelnemers!A18))</f>
        <v>Baan 3</v>
      </c>
      <c r="Q6" s="1" t="str">
        <f aca="false">IF(Deelnemers!D5="1 of 2","",IF(L1="3 of 4","",IF(L1="7 of 8",Deelnemers!A38,Deelnemers!A33)))</f>
        <v>Baan 7</v>
      </c>
      <c r="R6" s="1" t="str">
        <f aca="false">IF(L1="7 of 8",Deelnemers!A23,"")</f>
        <v>Baan 4</v>
      </c>
      <c r="S6" s="1" t="str">
        <f aca="false">IF(L1="7 of 8",Deelnemers!A33,"")</f>
        <v>Baan 6</v>
      </c>
    </row>
    <row r="7" customFormat="false" ht="15" hidden="false" customHeight="true" outlineLevel="0" collapsed="false">
      <c r="A7" s="166" t="str">
        <f aca="false">P3</f>
        <v>Baan 5</v>
      </c>
      <c r="B7" s="167" t="s">
        <v>151</v>
      </c>
      <c r="C7" s="167" t="str">
        <f aca="false">Q3</f>
        <v>Baan 6</v>
      </c>
      <c r="D7" s="162" t="n">
        <f aca="false">IF(A7="","",VLOOKUP(A7,Deelnemers!A:D,2,FALSE()))</f>
        <v>0</v>
      </c>
      <c r="E7" s="1" t="s">
        <v>151</v>
      </c>
      <c r="F7" s="163" t="n">
        <f aca="false">IF(C7="","",VLOOKUP(C7,Deelnemers!A:D,2,FALSE()))</f>
        <v>0</v>
      </c>
      <c r="K7" s="1" t="n">
        <f aca="false">IF(L1="1 of 2","",5)</f>
        <v>5</v>
      </c>
      <c r="L7" s="1" t="str">
        <f aca="false">IF(Deelnemers!D5="1 of 2","",Deelnemers!A8)</f>
        <v>Baan 1</v>
      </c>
      <c r="M7" s="1" t="str">
        <f aca="false">IF(Deelnemers!D5="1 of 2","",IF(L1="3 of 4",Deelnemers!A18,Deelnemers!A33))</f>
        <v>Baan 6</v>
      </c>
      <c r="N7" s="1" t="str">
        <f aca="false">IF(Deelnemers!D5="1 of 2","",Deelnemers!A13)</f>
        <v>Baan 2</v>
      </c>
      <c r="O7" s="1" t="str">
        <f aca="false">IF(Deelnemers!D5="1 of 2","",IF(L1="3 of 4",Deelnemers!A23,IF(L1="7 of 8",Deelnemers!A38,Deelnemers!A18)))</f>
        <v>Baan 7</v>
      </c>
      <c r="P7" s="1" t="str">
        <f aca="false">IF(Deelnemers!D5="1 of 2","",IF(L1="3 of 4","",IF(L1="7 of 8",Deelnemers!A18,Deelnemers!A23)))</f>
        <v>Baan 3</v>
      </c>
      <c r="Q7" s="1" t="str">
        <f aca="false">IF(Deelnemers!D5="1 of 2","",IF(L1="3 of 4","",IF(L1="7 of 8",Deelnemers!A28,Deelnemers!A28)))</f>
        <v>Baan 5</v>
      </c>
      <c r="R7" s="1" t="str">
        <f aca="false">IF(L1="7 of 8",Deelnemers!A23,"")</f>
        <v>Baan 4</v>
      </c>
      <c r="S7" s="1" t="str">
        <f aca="false">IF(L1="7 of 8",Deelnemers!A43,"")</f>
        <v>Baan 8</v>
      </c>
    </row>
    <row r="8" customFormat="false" ht="15" hidden="false" customHeight="true" outlineLevel="0" collapsed="false">
      <c r="A8" s="168" t="str">
        <f aca="false">R3</f>
        <v>Baan 7</v>
      </c>
      <c r="B8" s="169" t="s">
        <v>151</v>
      </c>
      <c r="C8" s="169" t="str">
        <f aca="false">S3</f>
        <v>Baan 8</v>
      </c>
      <c r="D8" s="162" t="n">
        <f aca="false">IF(A8="","",VLOOKUP(A8,Deelnemers!A:D,2,FALSE()))</f>
        <v>0</v>
      </c>
      <c r="E8" s="1" t="s">
        <v>151</v>
      </c>
      <c r="F8" s="163" t="n">
        <f aca="false">IF(C8="","",VLOOKUP(C8,Deelnemers!A:D,2,FALSE()))</f>
        <v>0</v>
      </c>
      <c r="K8" s="1" t="n">
        <f aca="false">IF(L1="1 of 2","",IF(L1="5 of 6","",6))</f>
        <v>6</v>
      </c>
      <c r="L8" s="1" t="str">
        <f aca="false">IF(K8=6,Deelnemers!A8,"")</f>
        <v>Baan 1</v>
      </c>
      <c r="M8" s="1" t="str">
        <f aca="false">IF(L1="3 of 4",Deelnemers!A23,IF(L1="7 of 8",Deelnemers!A38,""))</f>
        <v>Baan 7</v>
      </c>
      <c r="N8" s="1" t="str">
        <f aca="false">IF(Deelnemers!D5="1 of 2","",IF(L1="5 of 6","",Deelnemers!A13))</f>
        <v>Baan 2</v>
      </c>
      <c r="O8" s="1" t="str">
        <f aca="false">IF(Deelnemers!D5="1 of 2","",IF(L1="3 of 4",Deelnemers!A18,IF(L1="7 of 8",Deelnemers!A23,"")))</f>
        <v>Baan 4</v>
      </c>
      <c r="P8" s="1" t="str">
        <f aca="false">IF(L1="7 of 8",Deelnemers!A18,"")</f>
        <v>Baan 3</v>
      </c>
      <c r="Q8" s="1" t="str">
        <f aca="false">IF(L1="7 of 8",Deelnemers!A33,"")</f>
        <v>Baan 6</v>
      </c>
      <c r="R8" s="1" t="str">
        <f aca="false">IF(L1="7 of 8",Deelnemers!A28,"")</f>
        <v>Baan 5</v>
      </c>
      <c r="S8" s="1" t="str">
        <f aca="false">IF(L1="7 of 8",Deelnemers!A43,"")</f>
        <v>Baan 8</v>
      </c>
    </row>
    <row r="9" customFormat="false" ht="15" hidden="false" customHeight="true" outlineLevel="0" collapsed="false">
      <c r="A9" s="170"/>
      <c r="F9" s="171"/>
      <c r="K9" s="1" t="n">
        <f aca="false">IF(L1="7 of 8",7,"")</f>
        <v>7</v>
      </c>
      <c r="L9" s="1" t="str">
        <f aca="false">IF(K9=7,Deelnemers!A8,"")</f>
        <v>Baan 1</v>
      </c>
      <c r="M9" s="1" t="str">
        <f aca="false">IF(L1="7 of 8",Deelnemers!A43,"")</f>
        <v>Baan 8</v>
      </c>
      <c r="N9" s="1" t="str">
        <f aca="false">IF(L1="7 of 8",Deelnemers!A13,"")</f>
        <v>Baan 2</v>
      </c>
      <c r="O9" s="1" t="str">
        <f aca="false">IF(L1="7 of 8",Deelnemers!A18,"")</f>
        <v>Baan 3</v>
      </c>
      <c r="P9" s="1" t="str">
        <f aca="false">IF(L1="7 of 8",Deelnemers!A23,"")</f>
        <v>Baan 4</v>
      </c>
      <c r="Q9" s="1" t="str">
        <f aca="false">IF(L1="7 of 8",Deelnemers!A28,"")</f>
        <v>Baan 5</v>
      </c>
      <c r="R9" s="1" t="str">
        <f aca="false">IF(L1="7 of 8",Deelnemers!A33,"")</f>
        <v>Baan 6</v>
      </c>
      <c r="S9" s="1" t="str">
        <f aca="false">IF(L1="7 of 8",Deelnemers!A38,"")</f>
        <v>Baan 7</v>
      </c>
    </row>
    <row r="10" customFormat="false" ht="17.25" hidden="false" customHeight="true" outlineLevel="0" collapsed="false">
      <c r="A10" s="159" t="s">
        <v>127</v>
      </c>
      <c r="B10" s="159"/>
      <c r="C10" s="159"/>
      <c r="D10" s="159"/>
      <c r="E10" s="159"/>
      <c r="F10" s="159"/>
    </row>
    <row r="11" customFormat="false" ht="15" hidden="false" customHeight="true" outlineLevel="0" collapsed="false">
      <c r="A11" s="160" t="str">
        <f aca="false">L4</f>
        <v>Baan 1</v>
      </c>
      <c r="B11" s="161" t="s">
        <v>151</v>
      </c>
      <c r="C11" s="161" t="str">
        <f aca="false">M4</f>
        <v>Baan 3</v>
      </c>
      <c r="D11" s="162" t="n">
        <f aca="false">VLOOKUP(A11,Deelnemers!A:D,2,FALSE())</f>
        <v>0</v>
      </c>
      <c r="E11" s="1" t="s">
        <v>151</v>
      </c>
      <c r="F11" s="163" t="n">
        <f aca="false">VLOOKUP(C11,Deelnemers!A:D,2,FALSE())</f>
        <v>0</v>
      </c>
    </row>
    <row r="12" customFormat="false" ht="15" hidden="false" customHeight="true" outlineLevel="0" collapsed="false">
      <c r="A12" s="164" t="str">
        <f aca="false">N4</f>
        <v>Baan 2</v>
      </c>
      <c r="B12" s="165" t="s">
        <v>151</v>
      </c>
      <c r="C12" s="165" t="str">
        <f aca="false">O4</f>
        <v>Baan 5</v>
      </c>
      <c r="D12" s="162" t="n">
        <f aca="false">IF(A12="","",VLOOKUP(A12,Deelnemers!A:D,2,FALSE()))</f>
        <v>0</v>
      </c>
      <c r="E12" s="1" t="s">
        <v>151</v>
      </c>
      <c r="F12" s="163" t="n">
        <f aca="false">IF(C12="","",VLOOKUP(C12,Deelnemers!A:D,2,FALSE()))</f>
        <v>0</v>
      </c>
    </row>
    <row r="13" customFormat="false" ht="15" hidden="false" customHeight="true" outlineLevel="0" collapsed="false">
      <c r="A13" s="166" t="str">
        <f aca="false">P4</f>
        <v>Baan 4</v>
      </c>
      <c r="B13" s="167" t="s">
        <v>151</v>
      </c>
      <c r="C13" s="167" t="str">
        <f aca="false">Q4</f>
        <v>Baan 7</v>
      </c>
      <c r="D13" s="162" t="n">
        <f aca="false">IF(A13="","",VLOOKUP(A13,Deelnemers!A:D,2,FALSE()))</f>
        <v>0</v>
      </c>
      <c r="E13" s="1" t="s">
        <v>151</v>
      </c>
      <c r="F13" s="163" t="n">
        <f aca="false">IF(C13="","",VLOOKUP(C13,Deelnemers!A:D,2,FALSE()))</f>
        <v>0</v>
      </c>
    </row>
    <row r="14" customFormat="false" ht="15" hidden="false" customHeight="true" outlineLevel="0" collapsed="false">
      <c r="A14" s="168" t="str">
        <f aca="false">R4</f>
        <v>Baan 6</v>
      </c>
      <c r="B14" s="169" t="s">
        <v>151</v>
      </c>
      <c r="C14" s="169" t="str">
        <f aca="false">S4</f>
        <v>Baan 8</v>
      </c>
      <c r="D14" s="162" t="n">
        <f aca="false">IF(A14="","",VLOOKUP(A14,Deelnemers!A:D,2,FALSE()))</f>
        <v>0</v>
      </c>
      <c r="E14" s="1" t="s">
        <v>151</v>
      </c>
      <c r="F14" s="163" t="n">
        <f aca="false">IF(C14="","",VLOOKUP(C14,Deelnemers!A:D,2,FALSE()))</f>
        <v>0</v>
      </c>
    </row>
    <row r="15" customFormat="false" ht="15" hidden="false" customHeight="true" outlineLevel="0" collapsed="false">
      <c r="A15" s="170"/>
      <c r="F15" s="171"/>
    </row>
    <row r="16" customFormat="false" ht="17.25" hidden="false" customHeight="true" outlineLevel="0" collapsed="false">
      <c r="A16" s="159" t="s">
        <v>129</v>
      </c>
      <c r="B16" s="159"/>
      <c r="C16" s="159"/>
      <c r="D16" s="159"/>
      <c r="E16" s="159"/>
      <c r="F16" s="159"/>
    </row>
    <row r="17" customFormat="false" ht="15" hidden="false" customHeight="true" outlineLevel="0" collapsed="false">
      <c r="A17" s="160" t="str">
        <f aca="false">L5</f>
        <v>Baan 1</v>
      </c>
      <c r="B17" s="161" t="s">
        <v>151</v>
      </c>
      <c r="C17" s="161" t="str">
        <f aca="false">M5</f>
        <v>Baan 4</v>
      </c>
      <c r="D17" s="162" t="n">
        <f aca="false">VLOOKUP(A17,Deelnemers!A:D,2,FALSE())</f>
        <v>0</v>
      </c>
      <c r="E17" s="1" t="s">
        <v>151</v>
      </c>
      <c r="F17" s="163" t="n">
        <f aca="false">VLOOKUP(C17,Deelnemers!A:D,2,FALSE())</f>
        <v>0</v>
      </c>
    </row>
    <row r="18" customFormat="false" ht="15" hidden="false" customHeight="true" outlineLevel="0" collapsed="false">
      <c r="A18" s="164" t="str">
        <f aca="false">N5</f>
        <v>Baan 2</v>
      </c>
      <c r="B18" s="165" t="s">
        <v>151</v>
      </c>
      <c r="C18" s="165" t="str">
        <f aca="false">O5</f>
        <v>Baan 6</v>
      </c>
      <c r="D18" s="162" t="n">
        <f aca="false">IF(A18="","",VLOOKUP(A18,Deelnemers!A:D,2,FALSE()))</f>
        <v>0</v>
      </c>
      <c r="E18" s="1" t="s">
        <v>151</v>
      </c>
      <c r="F18" s="163" t="n">
        <f aca="false">IF(C18="","",VLOOKUP(C18,Deelnemers!A:D,2,FALSE()))</f>
        <v>0</v>
      </c>
    </row>
    <row r="19" customFormat="false" ht="15" hidden="false" customHeight="true" outlineLevel="0" collapsed="false">
      <c r="A19" s="166" t="str">
        <f aca="false">P5</f>
        <v>Baan 3</v>
      </c>
      <c r="B19" s="167" t="s">
        <v>151</v>
      </c>
      <c r="C19" s="167" t="str">
        <f aca="false">Q5</f>
        <v>Baan 8</v>
      </c>
      <c r="D19" s="162" t="n">
        <f aca="false">IF(A19="","",VLOOKUP(A19,Deelnemers!A:D,2,FALSE()))</f>
        <v>0</v>
      </c>
      <c r="E19" s="1" t="s">
        <v>151</v>
      </c>
      <c r="F19" s="163" t="n">
        <f aca="false">IF(C19="","",VLOOKUP(C19,Deelnemers!A:D,2,FALSE()))</f>
        <v>0</v>
      </c>
    </row>
    <row r="20" customFormat="false" ht="15" hidden="false" customHeight="true" outlineLevel="0" collapsed="false">
      <c r="A20" s="168" t="str">
        <f aca="false">R5</f>
        <v>Baan 5</v>
      </c>
      <c r="B20" s="169" t="s">
        <v>151</v>
      </c>
      <c r="C20" s="169" t="str">
        <f aca="false">S5</f>
        <v>Baan 7</v>
      </c>
      <c r="D20" s="162" t="n">
        <f aca="false">IF(A20="","",VLOOKUP(A20,Deelnemers!A:D,2,FALSE()))</f>
        <v>0</v>
      </c>
      <c r="E20" s="1" t="s">
        <v>151</v>
      </c>
      <c r="F20" s="163" t="n">
        <f aca="false">IF(C20="","",VLOOKUP(C20,Deelnemers!A:D,2,FALSE()))</f>
        <v>0</v>
      </c>
    </row>
    <row r="21" customFormat="false" ht="15.75" hidden="false" customHeight="true" outlineLevel="0" collapsed="false">
      <c r="A21" s="170"/>
      <c r="F21" s="171"/>
    </row>
    <row r="22" customFormat="false" ht="15.75" hidden="false" customHeight="true" outlineLevel="0" collapsed="false">
      <c r="A22" s="159" t="s">
        <v>134</v>
      </c>
      <c r="B22" s="159"/>
      <c r="C22" s="159"/>
      <c r="D22" s="159"/>
      <c r="E22" s="159"/>
      <c r="F22" s="159"/>
    </row>
    <row r="23" customFormat="false" ht="15.75" hidden="false" customHeight="true" outlineLevel="0" collapsed="false">
      <c r="A23" s="160" t="str">
        <f aca="false">L6</f>
        <v>Baan 1</v>
      </c>
      <c r="B23" s="161" t="s">
        <v>151</v>
      </c>
      <c r="C23" s="161" t="str">
        <f aca="false">M6</f>
        <v>Baan 5</v>
      </c>
      <c r="D23" s="162" t="n">
        <f aca="false">VLOOKUP(A23,Deelnemers!A:D,2,FALSE())</f>
        <v>0</v>
      </c>
      <c r="E23" s="1" t="s">
        <v>151</v>
      </c>
      <c r="F23" s="163" t="n">
        <f aca="false">VLOOKUP(C23,Deelnemers!A:D,2,FALSE())</f>
        <v>0</v>
      </c>
    </row>
    <row r="24" customFormat="false" ht="15.75" hidden="false" customHeight="true" outlineLevel="0" collapsed="false">
      <c r="A24" s="164" t="str">
        <f aca="false">N6</f>
        <v>Baan 2</v>
      </c>
      <c r="B24" s="165" t="s">
        <v>151</v>
      </c>
      <c r="C24" s="165" t="str">
        <f aca="false">O6</f>
        <v>Baan 8</v>
      </c>
      <c r="D24" s="162" t="n">
        <f aca="false">IF(A24="","",VLOOKUP(A24,Deelnemers!A:D,2,FALSE()))</f>
        <v>0</v>
      </c>
      <c r="E24" s="1" t="s">
        <v>151</v>
      </c>
      <c r="F24" s="163" t="n">
        <f aca="false">IF(C24="","",VLOOKUP(C24,Deelnemers!A:D,2,FALSE()))</f>
        <v>0</v>
      </c>
    </row>
    <row r="25" customFormat="false" ht="15.75" hidden="false" customHeight="true" outlineLevel="0" collapsed="false">
      <c r="A25" s="166" t="str">
        <f aca="false">P6</f>
        <v>Baan 3</v>
      </c>
      <c r="B25" s="167" t="s">
        <v>151</v>
      </c>
      <c r="C25" s="167" t="str">
        <f aca="false">Q6</f>
        <v>Baan 7</v>
      </c>
      <c r="D25" s="162" t="n">
        <f aca="false">IF(A25="","",VLOOKUP(A25,Deelnemers!A:D,2,FALSE()))</f>
        <v>0</v>
      </c>
      <c r="E25" s="1" t="s">
        <v>151</v>
      </c>
      <c r="F25" s="163" t="n">
        <f aca="false">IF(C25="","",VLOOKUP(C25,Deelnemers!A:D,2,FALSE()))</f>
        <v>0</v>
      </c>
    </row>
    <row r="26" customFormat="false" ht="15.75" hidden="false" customHeight="true" outlineLevel="0" collapsed="false">
      <c r="A26" s="168" t="str">
        <f aca="false">R6</f>
        <v>Baan 4</v>
      </c>
      <c r="B26" s="169" t="s">
        <v>151</v>
      </c>
      <c r="C26" s="169" t="str">
        <f aca="false">S6</f>
        <v>Baan 6</v>
      </c>
      <c r="D26" s="162" t="n">
        <f aca="false">IF(A26="","",VLOOKUP(A26,Deelnemers!A:D,2,FALSE()))</f>
        <v>0</v>
      </c>
      <c r="E26" s="1" t="s">
        <v>151</v>
      </c>
      <c r="F26" s="163" t="n">
        <f aca="false">IF(C26="","",VLOOKUP(C26,Deelnemers!A:D,2,FALSE()))</f>
        <v>0</v>
      </c>
    </row>
    <row r="27" customFormat="false" ht="15.75" hidden="false" customHeight="true" outlineLevel="0" collapsed="false">
      <c r="A27" s="170"/>
      <c r="F27" s="171"/>
    </row>
    <row r="28" customFormat="false" ht="15.75" hidden="false" customHeight="true" outlineLevel="0" collapsed="false">
      <c r="A28" s="159" t="str">
        <f aca="false">IF(K7=5,"Ronde 5","")</f>
        <v>Ronde 5</v>
      </c>
      <c r="B28" s="159"/>
      <c r="C28" s="159"/>
      <c r="D28" s="159"/>
      <c r="E28" s="159"/>
      <c r="F28" s="159"/>
    </row>
    <row r="29" customFormat="false" ht="15.75" hidden="false" customHeight="true" outlineLevel="0" collapsed="false">
      <c r="A29" s="160" t="str">
        <f aca="false">L7</f>
        <v>Baan 1</v>
      </c>
      <c r="B29" s="161" t="s">
        <v>151</v>
      </c>
      <c r="C29" s="161" t="str">
        <f aca="false">M7</f>
        <v>Baan 6</v>
      </c>
      <c r="D29" s="162" t="n">
        <f aca="false">IF(A29="","",VLOOKUP(A29,Deelnemers!A:D,2,FALSE()))</f>
        <v>0</v>
      </c>
      <c r="E29" s="1" t="s">
        <v>151</v>
      </c>
      <c r="F29" s="163" t="n">
        <f aca="false">IF(C29="","",VLOOKUP(C29,Deelnemers!A:D,2,FALSE()))</f>
        <v>0</v>
      </c>
    </row>
    <row r="30" customFormat="false" ht="15.75" hidden="false" customHeight="true" outlineLevel="0" collapsed="false">
      <c r="A30" s="164" t="str">
        <f aca="false">N7</f>
        <v>Baan 2</v>
      </c>
      <c r="B30" s="165" t="s">
        <v>151</v>
      </c>
      <c r="C30" s="165" t="str">
        <f aca="false">O7</f>
        <v>Baan 7</v>
      </c>
      <c r="D30" s="162" t="n">
        <f aca="false">IF(A30="","",VLOOKUP(A30,Deelnemers!A:D,2,FALSE()))</f>
        <v>0</v>
      </c>
      <c r="E30" s="1" t="s">
        <v>151</v>
      </c>
      <c r="F30" s="163" t="n">
        <f aca="false">IF(C30="","",VLOOKUP(C30,Deelnemers!A:D,2,FALSE()))</f>
        <v>0</v>
      </c>
    </row>
    <row r="31" customFormat="false" ht="15.75" hidden="false" customHeight="true" outlineLevel="0" collapsed="false">
      <c r="A31" s="166" t="str">
        <f aca="false">P7</f>
        <v>Baan 3</v>
      </c>
      <c r="B31" s="167" t="s">
        <v>151</v>
      </c>
      <c r="C31" s="167" t="str">
        <f aca="false">Q7</f>
        <v>Baan 5</v>
      </c>
      <c r="D31" s="162" t="n">
        <f aca="false">IF(A31="","",VLOOKUP(A31,Deelnemers!A:D,2,FALSE()))</f>
        <v>0</v>
      </c>
      <c r="E31" s="1" t="s">
        <v>151</v>
      </c>
      <c r="F31" s="163" t="n">
        <f aca="false">IF(C31="","",VLOOKUP(C31,Deelnemers!A:D,2,FALSE()))</f>
        <v>0</v>
      </c>
    </row>
    <row r="32" customFormat="false" ht="15.75" hidden="false" customHeight="true" outlineLevel="0" collapsed="false">
      <c r="A32" s="168" t="str">
        <f aca="false">R7</f>
        <v>Baan 4</v>
      </c>
      <c r="B32" s="169" t="s">
        <v>151</v>
      </c>
      <c r="C32" s="169" t="str">
        <f aca="false">S7</f>
        <v>Baan 8</v>
      </c>
      <c r="D32" s="162" t="n">
        <f aca="false">IF(A32="","",VLOOKUP(A32,Deelnemers!A:D,2,FALSE()))</f>
        <v>0</v>
      </c>
      <c r="E32" s="1" t="s">
        <v>151</v>
      </c>
      <c r="F32" s="163" t="n">
        <f aca="false">IF(C32="","",VLOOKUP(C32,Deelnemers!A:D,2,FALSE()))</f>
        <v>0</v>
      </c>
    </row>
    <row r="33" customFormat="false" ht="15.75" hidden="false" customHeight="true" outlineLevel="0" collapsed="false">
      <c r="A33" s="170"/>
      <c r="F33" s="171"/>
    </row>
    <row r="34" customFormat="false" ht="15.75" hidden="false" customHeight="true" outlineLevel="0" collapsed="false">
      <c r="A34" s="159" t="str">
        <f aca="false">IF(K8=6,"Ronde 6","")</f>
        <v>Ronde 6</v>
      </c>
      <c r="B34" s="159"/>
      <c r="C34" s="159"/>
      <c r="D34" s="159"/>
      <c r="E34" s="159"/>
      <c r="F34" s="159"/>
    </row>
    <row r="35" customFormat="false" ht="15.75" hidden="false" customHeight="true" outlineLevel="0" collapsed="false">
      <c r="A35" s="160" t="str">
        <f aca="false">L8</f>
        <v>Baan 1</v>
      </c>
      <c r="B35" s="161" t="s">
        <v>151</v>
      </c>
      <c r="C35" s="161" t="str">
        <f aca="false">M8</f>
        <v>Baan 7</v>
      </c>
      <c r="D35" s="162" t="n">
        <f aca="false">IF(A35="","",VLOOKUP(A35,Deelnemers!A:D,2,FALSE()))</f>
        <v>0</v>
      </c>
      <c r="E35" s="1" t="s">
        <v>151</v>
      </c>
      <c r="F35" s="163" t="n">
        <f aca="false">IF(A35="","",VLOOKUP(C35,Deelnemers!A:D,2,FALSE()))</f>
        <v>0</v>
      </c>
    </row>
    <row r="36" customFormat="false" ht="15.75" hidden="false" customHeight="true" outlineLevel="0" collapsed="false">
      <c r="A36" s="164" t="str">
        <f aca="false">N8</f>
        <v>Baan 2</v>
      </c>
      <c r="B36" s="165" t="s">
        <v>151</v>
      </c>
      <c r="C36" s="165" t="str">
        <f aca="false">O8</f>
        <v>Baan 4</v>
      </c>
      <c r="D36" s="162" t="n">
        <f aca="false">IF(A35="","",VLOOKUP(A36,Deelnemers!A:D,2,FALSE()))</f>
        <v>0</v>
      </c>
      <c r="E36" s="1" t="s">
        <v>151</v>
      </c>
      <c r="F36" s="163" t="n">
        <f aca="false">IF(A35="","",VLOOKUP(C36,Deelnemers!A:D,2,FALSE()))</f>
        <v>0</v>
      </c>
    </row>
    <row r="37" customFormat="false" ht="15.75" hidden="false" customHeight="true" outlineLevel="0" collapsed="false">
      <c r="A37" s="166" t="str">
        <f aca="false">P8</f>
        <v>Baan 3</v>
      </c>
      <c r="B37" s="167" t="s">
        <v>151</v>
      </c>
      <c r="C37" s="167" t="str">
        <f aca="false">Q8</f>
        <v>Baan 6</v>
      </c>
      <c r="D37" s="162" t="n">
        <f aca="false">IF(A37="","",VLOOKUP(A37,Deelnemers!A:D,2,FALSE()))</f>
        <v>0</v>
      </c>
      <c r="E37" s="1" t="s">
        <v>151</v>
      </c>
      <c r="F37" s="163" t="n">
        <f aca="false">IF(C37="","",VLOOKUP(C37,Deelnemers!A:D,2,FALSE()))</f>
        <v>0</v>
      </c>
    </row>
    <row r="38" customFormat="false" ht="15.75" hidden="false" customHeight="true" outlineLevel="0" collapsed="false">
      <c r="A38" s="168" t="str">
        <f aca="false">R8</f>
        <v>Baan 5</v>
      </c>
      <c r="B38" s="169" t="s">
        <v>151</v>
      </c>
      <c r="C38" s="169" t="str">
        <f aca="false">S8</f>
        <v>Baan 8</v>
      </c>
      <c r="D38" s="162" t="n">
        <f aca="false">IF(A38="","",VLOOKUP(A38,Deelnemers!A:D,2,FALSE()))</f>
        <v>0</v>
      </c>
      <c r="E38" s="1" t="s">
        <v>151</v>
      </c>
      <c r="F38" s="163" t="n">
        <f aca="false">IF(C38="","",VLOOKUP(C38,Deelnemers!A:D,2,FALSE()))</f>
        <v>0</v>
      </c>
    </row>
    <row r="39" customFormat="false" ht="15.75" hidden="false" customHeight="true" outlineLevel="0" collapsed="false">
      <c r="A39" s="170"/>
      <c r="F39" s="171"/>
    </row>
    <row r="40" customFormat="false" ht="15.75" hidden="false" customHeight="true" outlineLevel="0" collapsed="false">
      <c r="A40" s="159" t="str">
        <f aca="false">IF(K9=7,"Ronde 7","")</f>
        <v>Ronde 7</v>
      </c>
      <c r="B40" s="159"/>
      <c r="C40" s="159"/>
      <c r="D40" s="159"/>
      <c r="E40" s="159"/>
      <c r="F40" s="159"/>
    </row>
    <row r="41" customFormat="false" ht="15.75" hidden="false" customHeight="true" outlineLevel="0" collapsed="false">
      <c r="A41" s="172" t="str">
        <f aca="false">L9</f>
        <v>Baan 1</v>
      </c>
      <c r="B41" s="173" t="s">
        <v>151</v>
      </c>
      <c r="C41" s="173" t="str">
        <f aca="false">M9</f>
        <v>Baan 8</v>
      </c>
      <c r="D41" s="162" t="n">
        <f aca="false">IF(A41="","",VLOOKUP(A41,Deelnemers!A:D,2,FALSE()))</f>
        <v>0</v>
      </c>
      <c r="E41" s="1" t="s">
        <v>151</v>
      </c>
      <c r="F41" s="163" t="n">
        <f aca="false">IF(C41="","",VLOOKUP(C41,Deelnemers!A:D,2,FALSE()))</f>
        <v>0</v>
      </c>
    </row>
    <row r="42" customFormat="false" ht="15.75" hidden="false" customHeight="true" outlineLevel="0" collapsed="false">
      <c r="A42" s="164" t="str">
        <f aca="false">N9</f>
        <v>Baan 2</v>
      </c>
      <c r="B42" s="165" t="s">
        <v>151</v>
      </c>
      <c r="C42" s="165" t="str">
        <f aca="false">O9</f>
        <v>Baan 3</v>
      </c>
      <c r="D42" s="162" t="n">
        <f aca="false">IF(A42="","",VLOOKUP(A42,Deelnemers!A:D,2,FALSE()))</f>
        <v>0</v>
      </c>
      <c r="E42" s="1" t="s">
        <v>151</v>
      </c>
      <c r="F42" s="163" t="n">
        <f aca="false">IF(C42="","",VLOOKUP(C42,Deelnemers!A:D,2,FALSE()))</f>
        <v>0</v>
      </c>
    </row>
    <row r="43" customFormat="false" ht="15.75" hidden="false" customHeight="true" outlineLevel="0" collapsed="false">
      <c r="A43" s="166" t="str">
        <f aca="false">P9</f>
        <v>Baan 4</v>
      </c>
      <c r="B43" s="167" t="s">
        <v>151</v>
      </c>
      <c r="C43" s="167" t="str">
        <f aca="false">Q9</f>
        <v>Baan 5</v>
      </c>
      <c r="D43" s="162" t="n">
        <f aca="false">IF(A43="","",VLOOKUP(A43,Deelnemers!A:D,2,FALSE()))</f>
        <v>0</v>
      </c>
      <c r="E43" s="1" t="s">
        <v>151</v>
      </c>
      <c r="F43" s="163" t="n">
        <f aca="false">IF(C43="","",VLOOKUP(C43,Deelnemers!A:D,2,FALSE()))</f>
        <v>0</v>
      </c>
    </row>
    <row r="44" customFormat="false" ht="15.75" hidden="false" customHeight="true" outlineLevel="0" collapsed="false">
      <c r="A44" s="174" t="str">
        <f aca="false">R9</f>
        <v>Baan 6</v>
      </c>
      <c r="B44" s="175" t="s">
        <v>151</v>
      </c>
      <c r="C44" s="175" t="str">
        <f aca="false">S9</f>
        <v>Baan 7</v>
      </c>
      <c r="D44" s="176" t="n">
        <f aca="false">IF(A44="","",VLOOKUP(A44,Deelnemers!A:D,2,FALSE()))</f>
        <v>0</v>
      </c>
      <c r="E44" s="177" t="s">
        <v>151</v>
      </c>
      <c r="F44" s="178" t="n">
        <f aca="false">IF(C44="","",VLOOKUP(C44,Deelnemers!A:D,2,FALSE()))</f>
        <v>0</v>
      </c>
    </row>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f57c" objects="true" scenarios="true" selectLockedCells="true"/>
  <mergeCells count="14">
    <mergeCell ref="A1:F1"/>
    <mergeCell ref="A2:F2"/>
    <mergeCell ref="L2:M2"/>
    <mergeCell ref="N2:O2"/>
    <mergeCell ref="P2:Q2"/>
    <mergeCell ref="R2:S2"/>
    <mergeCell ref="A3:F3"/>
    <mergeCell ref="A4:F4"/>
    <mergeCell ref="A10:F10"/>
    <mergeCell ref="A16:F16"/>
    <mergeCell ref="A22:F22"/>
    <mergeCell ref="A28:F28"/>
    <mergeCell ref="A34:F34"/>
    <mergeCell ref="A40:F40"/>
  </mergeCells>
  <printOptions headings="false" gridLines="false" gridLinesSet="true" horizontalCentered="true" verticalCentered="true"/>
  <pageMargins left="0.157638888888889" right="0.157638888888889" top="0.196527777777778" bottom="0.196527777777778" header="0.511811023622047" footer="0.511811023622047"/>
  <pageSetup paperSize="9" scale="11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true"/>
  </sheetPr>
  <dimension ref="A1:AI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79" width="3.14"/>
    <col collapsed="false" customWidth="true" hidden="false" outlineLevel="0" max="6" min="2" style="179" width="6.43"/>
    <col collapsed="false" customWidth="true" hidden="false" outlineLevel="0" max="7" min="7" style="179" width="0.14"/>
    <col collapsed="false" customWidth="true" hidden="false" outlineLevel="0" max="9" min="8" style="179" width="2.43"/>
    <col collapsed="false" customWidth="true" hidden="false" outlineLevel="0" max="13" min="10" style="179" width="3.71"/>
    <col collapsed="false" customWidth="true" hidden="false" outlineLevel="0" max="15" min="14" style="179" width="2.43"/>
    <col collapsed="false" customWidth="true" hidden="false" outlineLevel="0" max="16" min="16" style="179" width="3.14"/>
    <col collapsed="false" customWidth="true" hidden="false" outlineLevel="0" max="21" min="17" style="179" width="6.43"/>
    <col collapsed="false" customWidth="true" hidden="false" outlineLevel="0" max="22" min="22" style="179" width="0.14"/>
    <col collapsed="false" customWidth="true" hidden="false" outlineLevel="0" max="23" min="23" style="179" width="8.86"/>
    <col collapsed="false" customWidth="true" hidden="false" outlineLevel="0" max="24" min="24" style="179" width="13.72"/>
    <col collapsed="false" customWidth="true" hidden="false" outlineLevel="0" max="25" min="25" style="179" width="5"/>
    <col collapsed="false" customWidth="true" hidden="true" outlineLevel="0" max="27" min="26" style="179" width="7.71"/>
    <col collapsed="false" customWidth="true" hidden="true" outlineLevel="0" max="29" min="28" style="179" width="10.43"/>
    <col collapsed="false" customWidth="true" hidden="true" outlineLevel="0" max="30" min="30" style="179" width="8.71"/>
    <col collapsed="false" customWidth="true" hidden="true" outlineLevel="0" max="31" min="31" style="179" width="7"/>
    <col collapsed="false" customWidth="true" hidden="true" outlineLevel="0" max="32" min="32" style="179" width="7.43"/>
    <col collapsed="false" customWidth="true" hidden="true" outlineLevel="0" max="33" min="33" style="179" width="7"/>
    <col collapsed="false" customWidth="true" hidden="true" outlineLevel="0" max="34" min="34" style="179" width="7.43"/>
    <col collapsed="false" customWidth="true" hidden="true" outlineLevel="0" max="35" min="35" style="179" width="7"/>
    <col collapsed="false" customWidth="true" hidden="false" outlineLevel="0" max="36" min="36" style="179" width="9.14"/>
    <col collapsed="false" customWidth="false" hidden="false" outlineLevel="0" max="16384" min="37" style="179" width="14.43"/>
  </cols>
  <sheetData>
    <row r="1" customFormat="false" ht="14.25" hidden="false" customHeight="true" outlineLevel="0" collapsed="false">
      <c r="A1" s="180"/>
      <c r="I1" s="181"/>
      <c r="J1" s="181"/>
      <c r="K1" s="181"/>
      <c r="L1" s="181"/>
      <c r="M1" s="181"/>
      <c r="N1" s="181"/>
      <c r="P1" s="180"/>
      <c r="AA1" s="182"/>
    </row>
    <row r="2" customFormat="false" ht="14.25" hidden="false" customHeight="true" outlineLevel="0" collapsed="false">
      <c r="A2" s="183"/>
      <c r="B2" s="183"/>
      <c r="C2" s="184" t="str">
        <f aca="false">VLOOKUP(Z2,AA14:AI21,2,FALSE())</f>
        <v>Baan 1</v>
      </c>
      <c r="D2" s="184"/>
      <c r="E2" s="184"/>
      <c r="F2" s="184"/>
      <c r="G2" s="185"/>
      <c r="H2" s="186"/>
      <c r="I2" s="187" t="str">
        <f aca="false">Z2</f>
        <v>Ronde 1</v>
      </c>
      <c r="J2" s="187"/>
      <c r="K2" s="187"/>
      <c r="L2" s="187"/>
      <c r="M2" s="187"/>
      <c r="N2" s="187"/>
      <c r="O2" s="186"/>
      <c r="P2" s="183"/>
      <c r="Q2" s="183"/>
      <c r="R2" s="184" t="str">
        <f aca="false">VLOOKUP(Z2,AA14:AI21,3,FALSE())</f>
        <v>Baan 2</v>
      </c>
      <c r="S2" s="184"/>
      <c r="T2" s="184"/>
      <c r="U2" s="184"/>
      <c r="V2" s="185"/>
      <c r="X2" s="51" t="s">
        <v>152</v>
      </c>
      <c r="Y2" s="188" t="n">
        <v>1</v>
      </c>
      <c r="Z2" s="179" t="str">
        <f aca="false">CONCATENATE("Ronde"," ",Y2)</f>
        <v>Ronde 1</v>
      </c>
      <c r="AA2" s="179" t="s">
        <v>116</v>
      </c>
      <c r="AB2" s="189" t="n">
        <f aca="false">VLOOKUP(AB15,Deelnemers!A:D,2,FALSE())</f>
        <v>0</v>
      </c>
      <c r="AC2" s="189" t="n">
        <f aca="false">VLOOKUP(AC15,Deelnemers!A:D,2,FALSE())</f>
        <v>0</v>
      </c>
      <c r="AD2" s="190" t="n">
        <f aca="false">IF(AD15="","",VLOOKUP(AD15,Deelnemers!A:D,2,FALSE()))</f>
        <v>0</v>
      </c>
      <c r="AE2" s="190" t="n">
        <f aca="false">IF(AE15="","",VLOOKUP(AE15,Deelnemers!A:D,2,FALSE()))</f>
        <v>0</v>
      </c>
      <c r="AF2" s="191" t="n">
        <f aca="false">IF(AF15="","",VLOOKUP(AF15,Deelnemers!A:D,2,FALSE()))</f>
        <v>0</v>
      </c>
      <c r="AG2" s="191" t="n">
        <f aca="false">IF(AG15="","",VLOOKUP(AG15,Deelnemers!A:D,2,FALSE()))</f>
        <v>0</v>
      </c>
      <c r="AH2" s="192" t="n">
        <f aca="false">IF(AH15="","",VLOOKUP(AH15,Deelnemers!A:D,2,FALSE()))</f>
        <v>0</v>
      </c>
      <c r="AI2" s="192" t="n">
        <f aca="false">IF(AI15="","",VLOOKUP(AI15,Deelnemers!A:D,2,FALSE()))</f>
        <v>0</v>
      </c>
    </row>
    <row r="3" customFormat="false" ht="15.75" hidden="false" customHeight="true" outlineLevel="0" collapsed="false">
      <c r="A3" s="183"/>
      <c r="B3" s="183"/>
      <c r="C3" s="193" t="s">
        <v>153</v>
      </c>
      <c r="D3" s="194" t="str">
        <f aca="false">Deelnemers!$B$4</f>
        <v>2026-04-11</v>
      </c>
      <c r="E3" s="194"/>
      <c r="F3" s="194"/>
      <c r="G3" s="185"/>
      <c r="H3" s="195" t="s">
        <v>154</v>
      </c>
      <c r="I3" s="195"/>
      <c r="J3" s="195"/>
      <c r="K3" s="195"/>
      <c r="L3" s="195"/>
      <c r="M3" s="195"/>
      <c r="N3" s="195"/>
      <c r="O3" s="195"/>
      <c r="P3" s="183"/>
      <c r="Q3" s="183"/>
      <c r="R3" s="193" t="s">
        <v>153</v>
      </c>
      <c r="S3" s="194" t="str">
        <f aca="false">Deelnemers!$B$4</f>
        <v>2026-04-11</v>
      </c>
      <c r="T3" s="194"/>
      <c r="U3" s="194"/>
      <c r="V3" s="185"/>
      <c r="AA3" s="179" t="s">
        <v>127</v>
      </c>
      <c r="AB3" s="189" t="n">
        <f aca="false">VLOOKUP(AB16,Deelnemers!A:D,2,FALSE())</f>
        <v>0</v>
      </c>
      <c r="AC3" s="189" t="n">
        <f aca="false">VLOOKUP(AC16,Deelnemers!A:D,2,FALSE())</f>
        <v>0</v>
      </c>
      <c r="AD3" s="190" t="n">
        <f aca="false">IF(AD16="","",VLOOKUP(AD16,Deelnemers!A:D,2,FALSE()))</f>
        <v>0</v>
      </c>
      <c r="AE3" s="190" t="n">
        <f aca="false">IF(AE16="","",VLOOKUP(AE16,Deelnemers!A:D,2,FALSE()))</f>
        <v>0</v>
      </c>
      <c r="AF3" s="191" t="n">
        <f aca="false">IF(AF16="","",VLOOKUP(AF16,Deelnemers!A:D,2,FALSE()))</f>
        <v>0</v>
      </c>
      <c r="AG3" s="191" t="n">
        <f aca="false">IF(AG16="","",VLOOKUP(AG16,Deelnemers!A:D,2,FALSE()))</f>
        <v>0</v>
      </c>
      <c r="AH3" s="192" t="n">
        <f aca="false">IF(AH16="","",VLOOKUP(AH16,Deelnemers!A:D,2,FALSE()))</f>
        <v>0</v>
      </c>
      <c r="AI3" s="192" t="n">
        <f aca="false">IF(AI16="","",VLOOKUP(AI16,Deelnemers!A:D,2,FALSE()))</f>
        <v>0</v>
      </c>
    </row>
    <row r="4" customFormat="false" ht="15.75" hidden="false" customHeight="true" outlineLevel="0" collapsed="false">
      <c r="A4" s="183"/>
      <c r="B4" s="183"/>
      <c r="C4" s="196" t="str">
        <f aca="false">Deelnemers!$B$3</f>
        <v>Willem Tell 1921, Kerkrade</v>
      </c>
      <c r="D4" s="196"/>
      <c r="E4" s="196"/>
      <c r="F4" s="196"/>
      <c r="G4" s="197"/>
      <c r="H4" s="198" t="s">
        <v>155</v>
      </c>
      <c r="I4" s="198"/>
      <c r="J4" s="198"/>
      <c r="K4" s="198"/>
      <c r="L4" s="198"/>
      <c r="M4" s="198"/>
      <c r="N4" s="198"/>
      <c r="O4" s="198"/>
      <c r="P4" s="183"/>
      <c r="Q4" s="183"/>
      <c r="R4" s="196" t="str">
        <f aca="false">Deelnemers!$B$3</f>
        <v>Willem Tell 1921, Kerkrade</v>
      </c>
      <c r="S4" s="196"/>
      <c r="T4" s="196"/>
      <c r="U4" s="196"/>
      <c r="V4" s="197"/>
      <c r="AA4" s="179" t="s">
        <v>129</v>
      </c>
      <c r="AB4" s="189" t="n">
        <f aca="false">VLOOKUP(AB17,Deelnemers!A:D,2,FALSE())</f>
        <v>0</v>
      </c>
      <c r="AC4" s="189" t="n">
        <f aca="false">VLOOKUP(AC17,Deelnemers!A:D,2,FALSE())</f>
        <v>0</v>
      </c>
      <c r="AD4" s="190" t="n">
        <f aca="false">IF(AD17="","",VLOOKUP(AD17,Deelnemers!A:D,2,FALSE()))</f>
        <v>0</v>
      </c>
      <c r="AE4" s="190" t="n">
        <f aca="false">IF(AE17="","",VLOOKUP(AE17,Deelnemers!A:D,2,FALSE()))</f>
        <v>0</v>
      </c>
      <c r="AF4" s="191" t="n">
        <f aca="false">IF(AF17="","",VLOOKUP(AF17,Deelnemers!A:D,2,FALSE()))</f>
        <v>0</v>
      </c>
      <c r="AG4" s="191" t="n">
        <f aca="false">IF(AG17="","",VLOOKUP(AG17,Deelnemers!A:D,2,FALSE()))</f>
        <v>0</v>
      </c>
      <c r="AH4" s="192" t="n">
        <f aca="false">IF(AH17="","",VLOOKUP(AH17,Deelnemers!A:D,2,FALSE()))</f>
        <v>0</v>
      </c>
      <c r="AI4" s="192" t="n">
        <f aca="false">IF(AI17="","",VLOOKUP(AI17,Deelnemers!A:D,2,FALSE()))</f>
        <v>0</v>
      </c>
    </row>
    <row r="5" customFormat="false" ht="15.75" hidden="false" customHeight="true" outlineLevel="0" collapsed="false">
      <c r="A5" s="199" t="s">
        <v>156</v>
      </c>
      <c r="B5" s="200"/>
      <c r="C5" s="201" t="n">
        <f aca="false">VLOOKUP(Z2,AA2:AI8,2,FALSE())</f>
        <v>0</v>
      </c>
      <c r="D5" s="201"/>
      <c r="E5" s="201"/>
      <c r="F5" s="201"/>
      <c r="G5" s="201"/>
      <c r="J5" s="202" t="s">
        <v>157</v>
      </c>
      <c r="K5" s="202"/>
      <c r="L5" s="202"/>
      <c r="M5" s="202"/>
      <c r="P5" s="199" t="s">
        <v>156</v>
      </c>
      <c r="Q5" s="200"/>
      <c r="R5" s="203" t="n">
        <f aca="false">VLOOKUP(Z2,AA2:AI8,3,FALSE())</f>
        <v>0</v>
      </c>
      <c r="S5" s="203"/>
      <c r="T5" s="203"/>
      <c r="U5" s="203"/>
      <c r="V5" s="203"/>
      <c r="AA5" s="179" t="s">
        <v>134</v>
      </c>
      <c r="AB5" s="189" t="n">
        <f aca="false">VLOOKUP(AB18,Deelnemers!A:D,2,FALSE())</f>
        <v>0</v>
      </c>
      <c r="AC5" s="189" t="n">
        <f aca="false">VLOOKUP(AC18,Deelnemers!A:D,2,FALSE())</f>
        <v>0</v>
      </c>
      <c r="AD5" s="190" t="n">
        <f aca="false">IF(AD18="","",VLOOKUP(AD18,Deelnemers!A:D,2,FALSE()))</f>
        <v>0</v>
      </c>
      <c r="AE5" s="190" t="n">
        <f aca="false">IF(AE18="","",VLOOKUP(AE18,Deelnemers!A:D,2,FALSE()))</f>
        <v>0</v>
      </c>
      <c r="AF5" s="191" t="n">
        <f aca="false">IF(AF18="","",VLOOKUP(AF18,Deelnemers!A:D,2,FALSE()))</f>
        <v>0</v>
      </c>
      <c r="AG5" s="191" t="n">
        <f aca="false">IF(AG18="","",VLOOKUP(AG18,Deelnemers!A:D,2,FALSE()))</f>
        <v>0</v>
      </c>
      <c r="AH5" s="192" t="n">
        <f aca="false">IF(AH18="","",VLOOKUP(AH18,Deelnemers!A:D,2,FALSE()))</f>
        <v>0</v>
      </c>
      <c r="AI5" s="192" t="n">
        <f aca="false">IF(AI18="","",VLOOKUP(AI18,Deelnemers!A:D,2,FALSE()))</f>
        <v>0</v>
      </c>
    </row>
    <row r="6" customFormat="false" ht="14.25" hidden="false" customHeight="true" outlineLevel="0" collapsed="false">
      <c r="A6" s="199" t="s">
        <v>158</v>
      </c>
      <c r="B6" s="204" t="e">
        <f aca="false">IF(C5="","",VLOOKUP(C5,Deelnemers!B8:C46,2,FALSE()))</f>
        <v>#N/A</v>
      </c>
      <c r="C6" s="204"/>
      <c r="D6" s="204"/>
      <c r="E6" s="205" t="s">
        <v>159</v>
      </c>
      <c r="F6" s="205" t="s">
        <v>160</v>
      </c>
      <c r="G6" s="206"/>
      <c r="J6" s="207" t="s">
        <v>161</v>
      </c>
      <c r="K6" s="207"/>
      <c r="L6" s="208" t="s">
        <v>161</v>
      </c>
      <c r="M6" s="208"/>
      <c r="P6" s="199" t="s">
        <v>158</v>
      </c>
      <c r="Q6" s="204" t="e">
        <f aca="false">IF(R5="","",VLOOKUP(R5,Deelnemers!B8:C46,2,FALSE()))</f>
        <v>#N/A</v>
      </c>
      <c r="R6" s="204"/>
      <c r="S6" s="204"/>
      <c r="T6" s="209" t="s">
        <v>159</v>
      </c>
      <c r="U6" s="209" t="s">
        <v>160</v>
      </c>
      <c r="V6" s="206"/>
      <c r="AA6" s="179" t="s">
        <v>135</v>
      </c>
      <c r="AB6" s="189" t="n">
        <f aca="false">IF(AB19="","",VLOOKUP(AB19,Deelnemers!A:D,2,FALSE()))</f>
        <v>0</v>
      </c>
      <c r="AC6" s="189" t="n">
        <f aca="false">IF(AC19="","",VLOOKUP(AC19,Deelnemers!A:D,2,FALSE()))</f>
        <v>0</v>
      </c>
      <c r="AD6" s="190" t="n">
        <f aca="false">IF(AD19="","",VLOOKUP(AD19,Deelnemers!A:D,2,FALSE()))</f>
        <v>0</v>
      </c>
      <c r="AE6" s="190" t="n">
        <f aca="false">IF(AE19="","",VLOOKUP(AE19,Deelnemers!A:D,2,FALSE()))</f>
        <v>0</v>
      </c>
      <c r="AF6" s="191" t="n">
        <f aca="false">IF(AF19="","",VLOOKUP(AF19,Deelnemers!A:D,2,FALSE()))</f>
        <v>0</v>
      </c>
      <c r="AG6" s="191" t="n">
        <f aca="false">IF(AG19="","",VLOOKUP(AG19,Deelnemers!A:D,2,FALSE()))</f>
        <v>0</v>
      </c>
      <c r="AH6" s="192" t="n">
        <f aca="false">IF(AH19="","",VLOOKUP(AH19,Deelnemers!A:D,2,FALSE()))</f>
        <v>0</v>
      </c>
      <c r="AI6" s="192" t="n">
        <f aca="false">IF(AI19="","",VLOOKUP(AI19,Deelnemers!A:D,2,FALSE()))</f>
        <v>0</v>
      </c>
    </row>
    <row r="7" customFormat="false" ht="19.5" hidden="false" customHeight="true" outlineLevel="0" collapsed="false">
      <c r="A7" s="210" t="n">
        <v>1</v>
      </c>
      <c r="B7" s="206"/>
      <c r="C7" s="206"/>
      <c r="D7" s="206"/>
      <c r="E7" s="211"/>
      <c r="F7" s="212"/>
      <c r="G7" s="213"/>
      <c r="J7" s="214"/>
      <c r="K7" s="214"/>
      <c r="L7" s="215"/>
      <c r="M7" s="215"/>
      <c r="P7" s="210" t="n">
        <v>1</v>
      </c>
      <c r="Q7" s="206"/>
      <c r="R7" s="206"/>
      <c r="S7" s="206"/>
      <c r="T7" s="211"/>
      <c r="U7" s="212"/>
      <c r="V7" s="206"/>
      <c r="AA7" s="179" t="s">
        <v>136</v>
      </c>
      <c r="AB7" s="189" t="n">
        <f aca="false">IF(AB20="","",VLOOKUP(AB20,Deelnemers!A:D,2,FALSE()))</f>
        <v>0</v>
      </c>
      <c r="AC7" s="189" t="n">
        <f aca="false">IF(AC20="","",VLOOKUP(AC20,Deelnemers!A:D,2,FALSE()))</f>
        <v>0</v>
      </c>
      <c r="AD7" s="190" t="n">
        <f aca="false">IF(AD20="","",VLOOKUP(AD20,Deelnemers!A:D,2,FALSE()))</f>
        <v>0</v>
      </c>
      <c r="AE7" s="190" t="n">
        <f aca="false">IF(AE20="","",VLOOKUP(AE20,Deelnemers!A:D,2,FALSE()))</f>
        <v>0</v>
      </c>
      <c r="AF7" s="191" t="n">
        <f aca="false">IF(AF20="","",VLOOKUP(AF20,Deelnemers!A:D,2,FALSE()))</f>
        <v>0</v>
      </c>
      <c r="AG7" s="191" t="n">
        <f aca="false">IF(AG20="","",VLOOKUP(AG20,Deelnemers!A:D,2,FALSE()))</f>
        <v>0</v>
      </c>
      <c r="AH7" s="192" t="n">
        <f aca="false">IF(AH20="","",VLOOKUP(AH20,Deelnemers!A:D,2,FALSE()))</f>
        <v>0</v>
      </c>
      <c r="AI7" s="192" t="n">
        <f aca="false">IF(AI20="","",VLOOKUP(AI20,Deelnemers!A:D,2,FALSE()))</f>
        <v>0</v>
      </c>
    </row>
    <row r="8" customFormat="false" ht="19.5" hidden="false" customHeight="true" outlineLevel="0" collapsed="false">
      <c r="A8" s="210"/>
      <c r="B8" s="206"/>
      <c r="C8" s="206"/>
      <c r="D8" s="206"/>
      <c r="E8" s="216"/>
      <c r="F8" s="216"/>
      <c r="G8" s="213"/>
      <c r="J8" s="217"/>
      <c r="K8" s="218"/>
      <c r="L8" s="219"/>
      <c r="M8" s="213"/>
      <c r="P8" s="210"/>
      <c r="Q8" s="206"/>
      <c r="R8" s="206"/>
      <c r="S8" s="206"/>
      <c r="T8" s="216"/>
      <c r="U8" s="216"/>
      <c r="V8" s="206"/>
      <c r="AA8" s="179" t="s">
        <v>137</v>
      </c>
      <c r="AB8" s="189" t="n">
        <f aca="false">IF(AB21="","",VLOOKUP(AB21,Deelnemers!A:D,2,FALSE()))</f>
        <v>0</v>
      </c>
      <c r="AC8" s="189" t="n">
        <f aca="false">IF(AC21="","",VLOOKUP(AC21,Deelnemers!A:D,2,FALSE()))</f>
        <v>0</v>
      </c>
      <c r="AD8" s="190" t="n">
        <f aca="false">IF(AD21="","",VLOOKUP(AD21,Deelnemers!A:D,2,FALSE()))</f>
        <v>0</v>
      </c>
      <c r="AE8" s="190" t="n">
        <f aca="false">IF(AE21="","",VLOOKUP(AE21,Deelnemers!A:D,2,FALSE()))</f>
        <v>0</v>
      </c>
      <c r="AF8" s="191" t="n">
        <f aca="false">IF(AF21="","",VLOOKUP(AF21,Deelnemers!A:D,2,FALSE()))</f>
        <v>0</v>
      </c>
      <c r="AG8" s="191" t="n">
        <f aca="false">IF(AG21="","",VLOOKUP(AG21,Deelnemers!A:D,2,FALSE()))</f>
        <v>0</v>
      </c>
      <c r="AH8" s="192" t="n">
        <f aca="false">IF(AH21="","",VLOOKUP(AH21,Deelnemers!A:D,2,FALSE()))</f>
        <v>0</v>
      </c>
      <c r="AI8" s="192" t="n">
        <f aca="false">IF(AI21="","",VLOOKUP(AI21,Deelnemers!A:D,2,FALSE()))</f>
        <v>0</v>
      </c>
    </row>
    <row r="9" customFormat="false" ht="19.5" hidden="false" customHeight="true" outlineLevel="0" collapsed="false">
      <c r="A9" s="210" t="n">
        <v>2</v>
      </c>
      <c r="B9" s="206"/>
      <c r="C9" s="206"/>
      <c r="D9" s="206"/>
      <c r="E9" s="220"/>
      <c r="F9" s="221"/>
      <c r="G9" s="213"/>
      <c r="J9" s="214"/>
      <c r="K9" s="214"/>
      <c r="L9" s="215"/>
      <c r="M9" s="215"/>
      <c r="P9" s="210" t="n">
        <v>2</v>
      </c>
      <c r="Q9" s="206"/>
      <c r="R9" s="206"/>
      <c r="S9" s="206"/>
      <c r="T9" s="220"/>
      <c r="U9" s="221"/>
      <c r="V9" s="206"/>
      <c r="AB9" s="189"/>
      <c r="AC9" s="189"/>
      <c r="AD9" s="190"/>
      <c r="AE9" s="190"/>
      <c r="AF9" s="191"/>
      <c r="AG9" s="191"/>
      <c r="AH9" s="192"/>
      <c r="AI9" s="192"/>
    </row>
    <row r="10" customFormat="false" ht="19.5" hidden="false" customHeight="true" outlineLevel="0" collapsed="false">
      <c r="A10" s="210"/>
      <c r="B10" s="206"/>
      <c r="C10" s="206"/>
      <c r="D10" s="206"/>
      <c r="E10" s="220"/>
      <c r="F10" s="220"/>
      <c r="G10" s="213"/>
      <c r="J10" s="217"/>
      <c r="K10" s="218"/>
      <c r="L10" s="219"/>
      <c r="M10" s="213"/>
      <c r="P10" s="210"/>
      <c r="Q10" s="206"/>
      <c r="R10" s="206"/>
      <c r="S10" s="206"/>
      <c r="T10" s="220"/>
      <c r="U10" s="220"/>
      <c r="V10" s="206"/>
    </row>
    <row r="11" customFormat="false" ht="19.5" hidden="false" customHeight="true" outlineLevel="0" collapsed="false">
      <c r="A11" s="210" t="n">
        <v>3</v>
      </c>
      <c r="B11" s="206"/>
      <c r="C11" s="206"/>
      <c r="D11" s="206"/>
      <c r="E11" s="220"/>
      <c r="F11" s="221"/>
      <c r="G11" s="213"/>
      <c r="J11" s="214"/>
      <c r="K11" s="214"/>
      <c r="L11" s="215"/>
      <c r="M11" s="215"/>
      <c r="P11" s="210" t="n">
        <v>3</v>
      </c>
      <c r="Q11" s="206"/>
      <c r="R11" s="206"/>
      <c r="S11" s="206"/>
      <c r="T11" s="220"/>
      <c r="U11" s="221"/>
      <c r="V11" s="206"/>
    </row>
    <row r="12" customFormat="false" ht="19.5" hidden="false" customHeight="true" outlineLevel="0" collapsed="false">
      <c r="A12" s="210"/>
      <c r="B12" s="206"/>
      <c r="C12" s="206"/>
      <c r="D12" s="206"/>
      <c r="E12" s="220"/>
      <c r="F12" s="220"/>
      <c r="G12" s="213"/>
      <c r="J12" s="217"/>
      <c r="K12" s="218"/>
      <c r="L12" s="219"/>
      <c r="M12" s="213"/>
      <c r="P12" s="210"/>
      <c r="Q12" s="206"/>
      <c r="R12" s="206"/>
      <c r="S12" s="206"/>
      <c r="T12" s="220"/>
      <c r="U12" s="220"/>
      <c r="V12" s="206"/>
    </row>
    <row r="13" customFormat="false" ht="19.5" hidden="false" customHeight="true" outlineLevel="0" collapsed="false">
      <c r="A13" s="210" t="n">
        <v>4</v>
      </c>
      <c r="B13" s="206"/>
      <c r="C13" s="206"/>
      <c r="D13" s="206"/>
      <c r="E13" s="220"/>
      <c r="F13" s="221"/>
      <c r="G13" s="213"/>
      <c r="J13" s="214"/>
      <c r="K13" s="214"/>
      <c r="L13" s="215"/>
      <c r="M13" s="215"/>
      <c r="P13" s="210" t="n">
        <v>4</v>
      </c>
      <c r="Q13" s="206"/>
      <c r="R13" s="206"/>
      <c r="S13" s="206"/>
      <c r="T13" s="220"/>
      <c r="U13" s="221"/>
      <c r="V13" s="206"/>
    </row>
    <row r="14" customFormat="false" ht="19.5" hidden="false" customHeight="true" outlineLevel="0" collapsed="false">
      <c r="A14" s="210"/>
      <c r="B14" s="206"/>
      <c r="C14" s="206"/>
      <c r="D14" s="206"/>
      <c r="E14" s="222"/>
      <c r="F14" s="222"/>
      <c r="G14" s="213"/>
      <c r="J14" s="217"/>
      <c r="K14" s="218"/>
      <c r="L14" s="219"/>
      <c r="M14" s="213"/>
      <c r="P14" s="210"/>
      <c r="Q14" s="206"/>
      <c r="R14" s="206"/>
      <c r="S14" s="206"/>
      <c r="T14" s="222"/>
      <c r="U14" s="222"/>
      <c r="V14" s="206"/>
      <c r="AB14" s="189"/>
      <c r="AC14" s="189"/>
      <c r="AD14" s="190"/>
      <c r="AE14" s="190"/>
      <c r="AF14" s="191"/>
      <c r="AG14" s="191"/>
      <c r="AH14" s="192"/>
      <c r="AI14" s="192"/>
    </row>
    <row r="15" customFormat="false" ht="19.5" hidden="false" customHeight="true" outlineLevel="0" collapsed="false">
      <c r="A15" s="210" t="n">
        <v>5</v>
      </c>
      <c r="B15" s="206"/>
      <c r="C15" s="206"/>
      <c r="D15" s="206"/>
      <c r="E15" s="220"/>
      <c r="F15" s="221"/>
      <c r="G15" s="213"/>
      <c r="J15" s="214"/>
      <c r="K15" s="214"/>
      <c r="L15" s="215"/>
      <c r="M15" s="215"/>
      <c r="P15" s="210" t="n">
        <v>5</v>
      </c>
      <c r="Q15" s="206"/>
      <c r="R15" s="206"/>
      <c r="S15" s="206"/>
      <c r="T15" s="220"/>
      <c r="U15" s="221"/>
      <c r="V15" s="206"/>
      <c r="AA15" s="179" t="s">
        <v>116</v>
      </c>
      <c r="AB15" s="189" t="str">
        <f aca="false">Wedstrijdschema!L3</f>
        <v>Baan 1</v>
      </c>
      <c r="AC15" s="189" t="str">
        <f aca="false">Wedstrijdschema!M3</f>
        <v>Baan 2</v>
      </c>
      <c r="AD15" s="190" t="str">
        <f aca="false">Wedstrijdschema!N3</f>
        <v>Baan 3</v>
      </c>
      <c r="AE15" s="190" t="str">
        <f aca="false">Wedstrijdschema!O3</f>
        <v>Baan 4</v>
      </c>
      <c r="AF15" s="191" t="str">
        <f aca="false">Wedstrijdschema!P3</f>
        <v>Baan 5</v>
      </c>
      <c r="AG15" s="191" t="str">
        <f aca="false">Wedstrijdschema!Q3</f>
        <v>Baan 6</v>
      </c>
      <c r="AH15" s="192" t="str">
        <f aca="false">Wedstrijdschema!R3</f>
        <v>Baan 7</v>
      </c>
      <c r="AI15" s="192" t="str">
        <f aca="false">Wedstrijdschema!S3</f>
        <v>Baan 8</v>
      </c>
    </row>
    <row r="16" customFormat="false" ht="19.5" hidden="false" customHeight="true" outlineLevel="0" collapsed="false">
      <c r="A16" s="210"/>
      <c r="B16" s="206"/>
      <c r="C16" s="206"/>
      <c r="D16" s="206"/>
      <c r="E16" s="223"/>
      <c r="F16" s="222"/>
      <c r="G16" s="213"/>
      <c r="J16" s="217"/>
      <c r="K16" s="218"/>
      <c r="L16" s="219"/>
      <c r="M16" s="213"/>
      <c r="P16" s="210"/>
      <c r="Q16" s="206"/>
      <c r="R16" s="206"/>
      <c r="S16" s="206"/>
      <c r="T16" s="223"/>
      <c r="U16" s="222"/>
      <c r="V16" s="206"/>
      <c r="AA16" s="179" t="s">
        <v>127</v>
      </c>
      <c r="AB16" s="189" t="str">
        <f aca="false">Wedstrijdschema!L4</f>
        <v>Baan 1</v>
      </c>
      <c r="AC16" s="189" t="str">
        <f aca="false">Wedstrijdschema!M4</f>
        <v>Baan 3</v>
      </c>
      <c r="AD16" s="190" t="str">
        <f aca="false">Wedstrijdschema!N4</f>
        <v>Baan 2</v>
      </c>
      <c r="AE16" s="190" t="str">
        <f aca="false">Wedstrijdschema!O4</f>
        <v>Baan 5</v>
      </c>
      <c r="AF16" s="191" t="str">
        <f aca="false">Wedstrijdschema!P4</f>
        <v>Baan 4</v>
      </c>
      <c r="AG16" s="191" t="str">
        <f aca="false">Wedstrijdschema!Q4</f>
        <v>Baan 7</v>
      </c>
      <c r="AH16" s="192" t="str">
        <f aca="false">Wedstrijdschema!R4</f>
        <v>Baan 6</v>
      </c>
      <c r="AI16" s="192" t="str">
        <f aca="false">Wedstrijdschema!S4</f>
        <v>Baan 8</v>
      </c>
    </row>
    <row r="17" customFormat="false" ht="19.5" hidden="false" customHeight="true" outlineLevel="0" collapsed="false">
      <c r="A17" s="224"/>
      <c r="B17" s="185"/>
      <c r="C17" s="185"/>
      <c r="D17" s="225" t="s">
        <v>160</v>
      </c>
      <c r="E17" s="226"/>
      <c r="F17" s="227"/>
      <c r="G17" s="185"/>
      <c r="J17" s="228"/>
      <c r="K17" s="228"/>
      <c r="L17" s="229"/>
      <c r="M17" s="229"/>
      <c r="P17" s="224"/>
      <c r="Q17" s="186"/>
      <c r="R17" s="185"/>
      <c r="S17" s="225" t="s">
        <v>160</v>
      </c>
      <c r="T17" s="226"/>
      <c r="U17" s="227"/>
      <c r="V17" s="230"/>
      <c r="AA17" s="179" t="s">
        <v>129</v>
      </c>
      <c r="AB17" s="189" t="str">
        <f aca="false">Wedstrijdschema!L5</f>
        <v>Baan 1</v>
      </c>
      <c r="AC17" s="189" t="str">
        <f aca="false">Wedstrijdschema!M5</f>
        <v>Baan 4</v>
      </c>
      <c r="AD17" s="190" t="str">
        <f aca="false">Wedstrijdschema!N5</f>
        <v>Baan 2</v>
      </c>
      <c r="AE17" s="190" t="str">
        <f aca="false">Wedstrijdschema!O5</f>
        <v>Baan 6</v>
      </c>
      <c r="AF17" s="191" t="str">
        <f aca="false">Wedstrijdschema!P5</f>
        <v>Baan 3</v>
      </c>
      <c r="AG17" s="191" t="str">
        <f aca="false">Wedstrijdschema!Q5</f>
        <v>Baan 8</v>
      </c>
      <c r="AH17" s="192" t="str">
        <f aca="false">Wedstrijdschema!R5</f>
        <v>Baan 5</v>
      </c>
      <c r="AI17" s="192" t="str">
        <f aca="false">Wedstrijdschema!S5</f>
        <v>Baan 7</v>
      </c>
    </row>
    <row r="18" customFormat="false" ht="19.5" hidden="false" customHeight="true" outlineLevel="0" collapsed="false">
      <c r="A18" s="231" t="s">
        <v>162</v>
      </c>
      <c r="B18" s="186"/>
      <c r="C18" s="186"/>
      <c r="D18" s="186"/>
      <c r="E18" s="186"/>
      <c r="G18" s="185"/>
      <c r="J18" s="202"/>
      <c r="K18" s="202"/>
      <c r="L18" s="202"/>
      <c r="M18" s="202"/>
      <c r="P18" s="231" t="s">
        <v>162</v>
      </c>
      <c r="Q18" s="186"/>
      <c r="R18" s="186"/>
      <c r="S18" s="186"/>
      <c r="T18" s="186"/>
      <c r="U18" s="186"/>
      <c r="V18" s="185"/>
      <c r="AA18" s="179" t="s">
        <v>134</v>
      </c>
      <c r="AB18" s="189" t="str">
        <f aca="false">Wedstrijdschema!L6</f>
        <v>Baan 1</v>
      </c>
      <c r="AC18" s="189" t="str">
        <f aca="false">Wedstrijdschema!M6</f>
        <v>Baan 5</v>
      </c>
      <c r="AD18" s="190" t="str">
        <f aca="false">Wedstrijdschema!N6</f>
        <v>Baan 2</v>
      </c>
      <c r="AE18" s="190" t="str">
        <f aca="false">Wedstrijdschema!O6</f>
        <v>Baan 8</v>
      </c>
      <c r="AF18" s="191" t="str">
        <f aca="false">Wedstrijdschema!P6</f>
        <v>Baan 3</v>
      </c>
      <c r="AG18" s="191" t="str">
        <f aca="false">Wedstrijdschema!Q6</f>
        <v>Baan 7</v>
      </c>
      <c r="AH18" s="192" t="str">
        <f aca="false">Wedstrijdschema!R6</f>
        <v>Baan 4</v>
      </c>
      <c r="AI18" s="192" t="str">
        <f aca="false">Wedstrijdschema!S6</f>
        <v>Baan 6</v>
      </c>
    </row>
    <row r="19" customFormat="false" ht="14.25" hidden="false" customHeight="true" outlineLevel="0" collapsed="false">
      <c r="A19" s="232" t="s">
        <v>163</v>
      </c>
      <c r="B19" s="233"/>
      <c r="C19" s="233"/>
      <c r="D19" s="233"/>
      <c r="E19" s="233"/>
      <c r="F19" s="233"/>
      <c r="G19" s="197"/>
      <c r="H19" s="234" t="s">
        <v>164</v>
      </c>
      <c r="I19" s="234"/>
      <c r="J19" s="234"/>
      <c r="K19" s="234"/>
      <c r="L19" s="234"/>
      <c r="M19" s="234"/>
      <c r="N19" s="234"/>
      <c r="O19" s="234"/>
      <c r="P19" s="232" t="s">
        <v>163</v>
      </c>
      <c r="Q19" s="233"/>
      <c r="R19" s="233"/>
      <c r="S19" s="233"/>
      <c r="T19" s="233"/>
      <c r="U19" s="233"/>
      <c r="V19" s="197"/>
      <c r="AA19" s="179" t="s">
        <v>135</v>
      </c>
      <c r="AB19" s="189" t="str">
        <f aca="false">Wedstrijdschema!L7</f>
        <v>Baan 1</v>
      </c>
      <c r="AC19" s="189" t="str">
        <f aca="false">Wedstrijdschema!M7</f>
        <v>Baan 6</v>
      </c>
      <c r="AD19" s="190" t="str">
        <f aca="false">Wedstrijdschema!N7</f>
        <v>Baan 2</v>
      </c>
      <c r="AE19" s="190" t="str">
        <f aca="false">Wedstrijdschema!O7</f>
        <v>Baan 7</v>
      </c>
      <c r="AF19" s="191" t="str">
        <f aca="false">Wedstrijdschema!P7</f>
        <v>Baan 3</v>
      </c>
      <c r="AG19" s="191" t="str">
        <f aca="false">Wedstrijdschema!Q7</f>
        <v>Baan 5</v>
      </c>
      <c r="AH19" s="192" t="str">
        <f aca="false">Wedstrijdschema!R7</f>
        <v>Baan 4</v>
      </c>
      <c r="AI19" s="192" t="str">
        <f aca="false">Wedstrijdschema!S7</f>
        <v>Baan 8</v>
      </c>
    </row>
    <row r="20" customFormat="false" ht="14.25" hidden="false" customHeight="true" outlineLevel="0" collapsed="false">
      <c r="A20" s="235" t="s">
        <v>165</v>
      </c>
      <c r="G20" s="236"/>
      <c r="H20" s="237" t="s">
        <v>155</v>
      </c>
      <c r="I20" s="237"/>
      <c r="J20" s="237"/>
      <c r="K20" s="237"/>
      <c r="L20" s="237"/>
      <c r="M20" s="237"/>
      <c r="N20" s="237"/>
      <c r="O20" s="237"/>
      <c r="P20" s="235" t="s">
        <v>165</v>
      </c>
      <c r="V20" s="236"/>
      <c r="AA20" s="179" t="s">
        <v>136</v>
      </c>
      <c r="AB20" s="189" t="str">
        <f aca="false">Wedstrijdschema!L8</f>
        <v>Baan 1</v>
      </c>
      <c r="AC20" s="189" t="str">
        <f aca="false">Wedstrijdschema!M8</f>
        <v>Baan 7</v>
      </c>
      <c r="AD20" s="190" t="str">
        <f aca="false">Wedstrijdschema!N8</f>
        <v>Baan 2</v>
      </c>
      <c r="AE20" s="190" t="str">
        <f aca="false">Wedstrijdschema!O8</f>
        <v>Baan 4</v>
      </c>
      <c r="AF20" s="191" t="str">
        <f aca="false">Wedstrijdschema!P8</f>
        <v>Baan 3</v>
      </c>
      <c r="AG20" s="191" t="str">
        <f aca="false">Wedstrijdschema!Q8</f>
        <v>Baan 6</v>
      </c>
      <c r="AH20" s="192" t="str">
        <f aca="false">Wedstrijdschema!R8</f>
        <v>Baan 5</v>
      </c>
      <c r="AI20" s="192" t="str">
        <f aca="false">Wedstrijdschema!S8</f>
        <v>Baan 8</v>
      </c>
    </row>
    <row r="21" customFormat="false" ht="14.25" hidden="false" customHeight="true" outlineLevel="0" collapsed="false">
      <c r="A21" s="232" t="s">
        <v>163</v>
      </c>
      <c r="B21" s="233"/>
      <c r="C21" s="233"/>
      <c r="D21" s="233"/>
      <c r="E21" s="233"/>
      <c r="F21" s="233"/>
      <c r="G21" s="197"/>
      <c r="I21" s="238"/>
      <c r="J21" s="239"/>
      <c r="K21" s="239"/>
      <c r="L21" s="240"/>
      <c r="M21" s="240"/>
      <c r="N21" s="238"/>
      <c r="P21" s="232" t="s">
        <v>163</v>
      </c>
      <c r="Q21" s="233"/>
      <c r="R21" s="233"/>
      <c r="S21" s="233"/>
      <c r="T21" s="233"/>
      <c r="U21" s="233"/>
      <c r="V21" s="197"/>
      <c r="AA21" s="179" t="s">
        <v>137</v>
      </c>
      <c r="AB21" s="189" t="str">
        <f aca="false">Wedstrijdschema!L9</f>
        <v>Baan 1</v>
      </c>
      <c r="AC21" s="189" t="str">
        <f aca="false">Wedstrijdschema!M9</f>
        <v>Baan 8</v>
      </c>
      <c r="AD21" s="190" t="str">
        <f aca="false">Wedstrijdschema!N9</f>
        <v>Baan 2</v>
      </c>
      <c r="AE21" s="190" t="str">
        <f aca="false">Wedstrijdschema!O9</f>
        <v>Baan 3</v>
      </c>
      <c r="AF21" s="191" t="str">
        <f aca="false">Wedstrijdschema!P9</f>
        <v>Baan 4</v>
      </c>
      <c r="AG21" s="191" t="str">
        <f aca="false">Wedstrijdschema!Q9</f>
        <v>Baan 5</v>
      </c>
      <c r="AH21" s="192" t="str">
        <f aca="false">Wedstrijdschema!R9</f>
        <v>Baan 6</v>
      </c>
      <c r="AI21" s="192" t="str">
        <f aca="false">Wedstrijdschema!S9</f>
        <v>Baan 7</v>
      </c>
    </row>
    <row r="22" customFormat="false" ht="19.5" hidden="false" customHeight="true" outlineLevel="0" collapsed="false">
      <c r="A22" s="241"/>
      <c r="I22" s="181"/>
      <c r="J22" s="181"/>
      <c r="K22" s="181"/>
      <c r="L22" s="181"/>
      <c r="M22" s="181"/>
      <c r="N22" s="181"/>
      <c r="P22" s="180"/>
      <c r="V22" s="236"/>
    </row>
    <row r="23" customFormat="false" ht="14.25" hidden="false" customHeight="true" outlineLevel="0" collapsed="false">
      <c r="A23" s="241"/>
      <c r="I23" s="181"/>
      <c r="J23" s="202" t="s">
        <v>166</v>
      </c>
      <c r="K23" s="202"/>
      <c r="L23" s="202"/>
      <c r="M23" s="202"/>
      <c r="N23" s="181"/>
      <c r="P23" s="180"/>
      <c r="V23" s="236"/>
    </row>
    <row r="24" customFormat="false" ht="14.25" hidden="false" customHeight="true" outlineLevel="0" collapsed="false">
      <c r="A24" s="232"/>
      <c r="B24" s="233"/>
      <c r="C24" s="233"/>
      <c r="D24" s="233"/>
      <c r="E24" s="233"/>
      <c r="F24" s="233"/>
      <c r="G24" s="233"/>
      <c r="H24" s="233"/>
      <c r="I24" s="242"/>
      <c r="J24" s="242"/>
      <c r="K24" s="242"/>
      <c r="L24" s="242"/>
      <c r="M24" s="242"/>
      <c r="N24" s="242"/>
      <c r="O24" s="233"/>
      <c r="P24" s="243"/>
      <c r="Q24" s="233"/>
      <c r="R24" s="233"/>
      <c r="S24" s="233"/>
      <c r="T24" s="233"/>
      <c r="U24" s="233"/>
      <c r="V24" s="197"/>
    </row>
    <row r="25" customFormat="false" ht="14.25" hidden="false" customHeight="true" outlineLevel="0" collapsed="false">
      <c r="A25" s="244"/>
      <c r="I25" s="181"/>
      <c r="J25" s="181"/>
      <c r="K25" s="245"/>
      <c r="L25" s="245"/>
      <c r="M25" s="245"/>
      <c r="N25" s="181"/>
      <c r="P25" s="180"/>
      <c r="V25" s="186"/>
    </row>
    <row r="26" customFormat="false" ht="14.25" hidden="false" customHeight="true" outlineLevel="0" collapsed="false">
      <c r="A26" s="183"/>
      <c r="B26" s="183"/>
      <c r="C26" s="246" t="str">
        <f aca="false">VLOOKUP(Z2,AA14:AI21,4,FALSE())</f>
        <v>Baan 3</v>
      </c>
      <c r="D26" s="246"/>
      <c r="E26" s="246"/>
      <c r="F26" s="246"/>
      <c r="G26" s="185"/>
      <c r="H26" s="186"/>
      <c r="I26" s="187" t="str">
        <f aca="false">Z2</f>
        <v>Ronde 1</v>
      </c>
      <c r="J26" s="187"/>
      <c r="K26" s="187"/>
      <c r="L26" s="187"/>
      <c r="M26" s="187"/>
      <c r="N26" s="187"/>
      <c r="O26" s="186"/>
      <c r="P26" s="183"/>
      <c r="Q26" s="183"/>
      <c r="R26" s="246" t="str">
        <f aca="false">VLOOKUP(Z2,AA14:AI21,5,FALSE())</f>
        <v>Baan 4</v>
      </c>
      <c r="S26" s="246"/>
      <c r="T26" s="246"/>
      <c r="U26" s="246"/>
      <c r="V26" s="185"/>
    </row>
    <row r="27" customFormat="false" ht="15.75" hidden="false" customHeight="true" outlineLevel="0" collapsed="false">
      <c r="A27" s="183"/>
      <c r="B27" s="183"/>
      <c r="C27" s="193" t="s">
        <v>153</v>
      </c>
      <c r="D27" s="194" t="str">
        <f aca="false">Deelnemers!$B$4</f>
        <v>2026-04-11</v>
      </c>
      <c r="E27" s="194"/>
      <c r="F27" s="194"/>
      <c r="G27" s="185"/>
      <c r="H27" s="195" t="s">
        <v>154</v>
      </c>
      <c r="I27" s="195"/>
      <c r="J27" s="195"/>
      <c r="K27" s="195"/>
      <c r="L27" s="195"/>
      <c r="M27" s="195"/>
      <c r="N27" s="195"/>
      <c r="O27" s="195"/>
      <c r="P27" s="183"/>
      <c r="Q27" s="183"/>
      <c r="R27" s="193" t="s">
        <v>153</v>
      </c>
      <c r="S27" s="194" t="str">
        <f aca="false">Deelnemers!$B$4</f>
        <v>2026-04-11</v>
      </c>
      <c r="T27" s="194"/>
      <c r="U27" s="194"/>
      <c r="V27" s="185"/>
    </row>
    <row r="28" customFormat="false" ht="15.75" hidden="false" customHeight="true" outlineLevel="0" collapsed="false">
      <c r="A28" s="183"/>
      <c r="B28" s="183"/>
      <c r="C28" s="196" t="str">
        <f aca="false">Deelnemers!$B$3</f>
        <v>Willem Tell 1921, Kerkrade</v>
      </c>
      <c r="D28" s="196"/>
      <c r="E28" s="196"/>
      <c r="F28" s="196"/>
      <c r="G28" s="197"/>
      <c r="H28" s="198" t="s">
        <v>155</v>
      </c>
      <c r="I28" s="198"/>
      <c r="J28" s="198"/>
      <c r="K28" s="198"/>
      <c r="L28" s="198"/>
      <c r="M28" s="198"/>
      <c r="N28" s="198"/>
      <c r="O28" s="198"/>
      <c r="P28" s="183"/>
      <c r="Q28" s="183"/>
      <c r="R28" s="196" t="str">
        <f aca="false">Deelnemers!$B$3</f>
        <v>Willem Tell 1921, Kerkrade</v>
      </c>
      <c r="S28" s="196"/>
      <c r="T28" s="196"/>
      <c r="U28" s="196"/>
      <c r="V28" s="197"/>
    </row>
    <row r="29" customFormat="false" ht="15.75" hidden="false" customHeight="true" outlineLevel="0" collapsed="false">
      <c r="A29" s="199" t="s">
        <v>156</v>
      </c>
      <c r="B29" s="200"/>
      <c r="C29" s="201" t="n">
        <f aca="false">VLOOKUP(Z2,AA2:AI8,4,FALSE())</f>
        <v>0</v>
      </c>
      <c r="D29" s="201"/>
      <c r="E29" s="201"/>
      <c r="F29" s="201"/>
      <c r="G29" s="201"/>
      <c r="J29" s="202" t="s">
        <v>157</v>
      </c>
      <c r="K29" s="202"/>
      <c r="L29" s="202"/>
      <c r="M29" s="202"/>
      <c r="P29" s="199" t="s">
        <v>156</v>
      </c>
      <c r="Q29" s="200"/>
      <c r="R29" s="203" t="n">
        <f aca="false">VLOOKUP(Z2,AA2:AI8,5,FALSE())</f>
        <v>0</v>
      </c>
      <c r="S29" s="203"/>
      <c r="T29" s="203"/>
      <c r="U29" s="203"/>
      <c r="V29" s="203"/>
    </row>
    <row r="30" customFormat="false" ht="14.25" hidden="false" customHeight="true" outlineLevel="0" collapsed="false">
      <c r="A30" s="199" t="s">
        <v>158</v>
      </c>
      <c r="B30" s="204" t="e">
        <f aca="false">IF(C29="","",VLOOKUP(C29,Deelnemers!B8:C46,2,FALSE()))</f>
        <v>#N/A</v>
      </c>
      <c r="C30" s="204"/>
      <c r="D30" s="204"/>
      <c r="E30" s="209" t="s">
        <v>159</v>
      </c>
      <c r="F30" s="209" t="s">
        <v>160</v>
      </c>
      <c r="G30" s="206"/>
      <c r="J30" s="207" t="s">
        <v>161</v>
      </c>
      <c r="K30" s="207"/>
      <c r="L30" s="208" t="s">
        <v>161</v>
      </c>
      <c r="M30" s="208"/>
      <c r="P30" s="199" t="s">
        <v>158</v>
      </c>
      <c r="Q30" s="204" t="e">
        <f aca="false">IF(R29="","",VLOOKUP(R29,Deelnemers!B8:C46,2,FALSE()))</f>
        <v>#N/A</v>
      </c>
      <c r="R30" s="204"/>
      <c r="S30" s="204"/>
      <c r="T30" s="209" t="s">
        <v>159</v>
      </c>
      <c r="U30" s="209" t="s">
        <v>160</v>
      </c>
      <c r="V30" s="206"/>
    </row>
    <row r="31" customFormat="false" ht="19.5" hidden="false" customHeight="true" outlineLevel="0" collapsed="false">
      <c r="A31" s="210" t="n">
        <v>1</v>
      </c>
      <c r="B31" s="206"/>
      <c r="C31" s="206"/>
      <c r="D31" s="206"/>
      <c r="E31" s="211"/>
      <c r="F31" s="212"/>
      <c r="G31" s="213"/>
      <c r="J31" s="214"/>
      <c r="K31" s="214"/>
      <c r="L31" s="215"/>
      <c r="M31" s="215"/>
      <c r="P31" s="210" t="n">
        <v>1</v>
      </c>
      <c r="Q31" s="206"/>
      <c r="R31" s="206"/>
      <c r="S31" s="206"/>
      <c r="T31" s="211"/>
      <c r="U31" s="212"/>
      <c r="V31" s="206"/>
    </row>
    <row r="32" customFormat="false" ht="19.5" hidden="false" customHeight="true" outlineLevel="0" collapsed="false">
      <c r="A32" s="210"/>
      <c r="B32" s="206"/>
      <c r="C32" s="206"/>
      <c r="D32" s="206"/>
      <c r="E32" s="216"/>
      <c r="F32" s="216"/>
      <c r="G32" s="213"/>
      <c r="J32" s="217"/>
      <c r="K32" s="218"/>
      <c r="L32" s="219"/>
      <c r="M32" s="213"/>
      <c r="P32" s="210"/>
      <c r="Q32" s="206"/>
      <c r="R32" s="206"/>
      <c r="S32" s="206"/>
      <c r="T32" s="216"/>
      <c r="U32" s="216"/>
      <c r="V32" s="206"/>
    </row>
    <row r="33" customFormat="false" ht="19.5" hidden="false" customHeight="true" outlineLevel="0" collapsed="false">
      <c r="A33" s="210" t="n">
        <v>2</v>
      </c>
      <c r="B33" s="206"/>
      <c r="C33" s="206"/>
      <c r="D33" s="206"/>
      <c r="E33" s="220"/>
      <c r="F33" s="221"/>
      <c r="G33" s="213"/>
      <c r="J33" s="214"/>
      <c r="K33" s="214"/>
      <c r="L33" s="215"/>
      <c r="M33" s="215"/>
      <c r="P33" s="210" t="n">
        <v>2</v>
      </c>
      <c r="Q33" s="206"/>
      <c r="R33" s="206"/>
      <c r="S33" s="206"/>
      <c r="T33" s="220"/>
      <c r="U33" s="221"/>
      <c r="V33" s="206"/>
    </row>
    <row r="34" customFormat="false" ht="19.5" hidden="false" customHeight="true" outlineLevel="0" collapsed="false">
      <c r="A34" s="210"/>
      <c r="B34" s="206"/>
      <c r="C34" s="206"/>
      <c r="D34" s="206"/>
      <c r="E34" s="220"/>
      <c r="F34" s="220"/>
      <c r="G34" s="213"/>
      <c r="J34" s="217"/>
      <c r="K34" s="218"/>
      <c r="L34" s="219"/>
      <c r="M34" s="213"/>
      <c r="P34" s="210"/>
      <c r="Q34" s="206"/>
      <c r="R34" s="206"/>
      <c r="S34" s="206"/>
      <c r="T34" s="220"/>
      <c r="U34" s="220"/>
      <c r="V34" s="206"/>
    </row>
    <row r="35" customFormat="false" ht="19.5" hidden="false" customHeight="true" outlineLevel="0" collapsed="false">
      <c r="A35" s="210" t="n">
        <v>3</v>
      </c>
      <c r="B35" s="206"/>
      <c r="C35" s="206"/>
      <c r="D35" s="206"/>
      <c r="E35" s="220"/>
      <c r="F35" s="221"/>
      <c r="G35" s="213"/>
      <c r="J35" s="214"/>
      <c r="K35" s="214"/>
      <c r="L35" s="215"/>
      <c r="M35" s="215"/>
      <c r="P35" s="210" t="n">
        <v>3</v>
      </c>
      <c r="Q35" s="206"/>
      <c r="R35" s="206"/>
      <c r="S35" s="206"/>
      <c r="T35" s="220"/>
      <c r="U35" s="221"/>
      <c r="V35" s="206"/>
    </row>
    <row r="36" customFormat="false" ht="19.5" hidden="false" customHeight="true" outlineLevel="0" collapsed="false">
      <c r="A36" s="210"/>
      <c r="B36" s="206"/>
      <c r="C36" s="206"/>
      <c r="D36" s="206"/>
      <c r="E36" s="220"/>
      <c r="F36" s="220"/>
      <c r="G36" s="213"/>
      <c r="J36" s="217"/>
      <c r="K36" s="218"/>
      <c r="L36" s="219"/>
      <c r="M36" s="213"/>
      <c r="P36" s="210"/>
      <c r="Q36" s="206"/>
      <c r="R36" s="206"/>
      <c r="S36" s="206"/>
      <c r="T36" s="220"/>
      <c r="U36" s="220"/>
      <c r="V36" s="206"/>
    </row>
    <row r="37" customFormat="false" ht="19.5" hidden="false" customHeight="true" outlineLevel="0" collapsed="false">
      <c r="A37" s="210" t="n">
        <v>4</v>
      </c>
      <c r="B37" s="206"/>
      <c r="C37" s="206"/>
      <c r="D37" s="206"/>
      <c r="E37" s="220"/>
      <c r="F37" s="221"/>
      <c r="G37" s="213"/>
      <c r="J37" s="214"/>
      <c r="K37" s="214"/>
      <c r="L37" s="215"/>
      <c r="M37" s="215"/>
      <c r="P37" s="210" t="n">
        <v>4</v>
      </c>
      <c r="Q37" s="206"/>
      <c r="R37" s="206"/>
      <c r="S37" s="206"/>
      <c r="T37" s="220"/>
      <c r="U37" s="221"/>
      <c r="V37" s="206"/>
    </row>
    <row r="38" customFormat="false" ht="19.5" hidden="false" customHeight="true" outlineLevel="0" collapsed="false">
      <c r="A38" s="210"/>
      <c r="B38" s="206"/>
      <c r="C38" s="206"/>
      <c r="D38" s="206"/>
      <c r="E38" s="222"/>
      <c r="F38" s="222"/>
      <c r="G38" s="213"/>
      <c r="J38" s="217"/>
      <c r="K38" s="218"/>
      <c r="L38" s="219"/>
      <c r="M38" s="213"/>
      <c r="P38" s="210"/>
      <c r="Q38" s="206"/>
      <c r="R38" s="206"/>
      <c r="S38" s="206"/>
      <c r="T38" s="222"/>
      <c r="U38" s="222"/>
      <c r="V38" s="206"/>
    </row>
    <row r="39" customFormat="false" ht="19.5" hidden="false" customHeight="true" outlineLevel="0" collapsed="false">
      <c r="A39" s="210" t="n">
        <v>5</v>
      </c>
      <c r="B39" s="206"/>
      <c r="C39" s="206"/>
      <c r="D39" s="206"/>
      <c r="E39" s="220"/>
      <c r="F39" s="221"/>
      <c r="G39" s="213"/>
      <c r="J39" s="214"/>
      <c r="K39" s="214"/>
      <c r="L39" s="215"/>
      <c r="M39" s="215"/>
      <c r="P39" s="210" t="n">
        <v>5</v>
      </c>
      <c r="Q39" s="206"/>
      <c r="R39" s="206"/>
      <c r="S39" s="206"/>
      <c r="T39" s="220"/>
      <c r="U39" s="221"/>
      <c r="V39" s="206"/>
    </row>
    <row r="40" customFormat="false" ht="19.5" hidden="false" customHeight="true" outlineLevel="0" collapsed="false">
      <c r="A40" s="210"/>
      <c r="B40" s="206"/>
      <c r="C40" s="206"/>
      <c r="D40" s="206"/>
      <c r="E40" s="223"/>
      <c r="F40" s="222"/>
      <c r="G40" s="213"/>
      <c r="J40" s="217"/>
      <c r="K40" s="218"/>
      <c r="L40" s="219"/>
      <c r="M40" s="213"/>
      <c r="P40" s="210"/>
      <c r="Q40" s="206"/>
      <c r="R40" s="206"/>
      <c r="S40" s="206"/>
      <c r="T40" s="223"/>
      <c r="U40" s="222"/>
      <c r="V40" s="230"/>
    </row>
    <row r="41" customFormat="false" ht="19.5" hidden="false" customHeight="true" outlineLevel="0" collapsed="false">
      <c r="A41" s="224"/>
      <c r="B41" s="186"/>
      <c r="C41" s="185"/>
      <c r="D41" s="225" t="s">
        <v>160</v>
      </c>
      <c r="E41" s="226"/>
      <c r="F41" s="227"/>
      <c r="G41" s="230"/>
      <c r="J41" s="228"/>
      <c r="K41" s="228"/>
      <c r="L41" s="229"/>
      <c r="M41" s="229"/>
      <c r="P41" s="224"/>
      <c r="Q41" s="186"/>
      <c r="R41" s="185"/>
      <c r="S41" s="225" t="s">
        <v>160</v>
      </c>
      <c r="T41" s="226"/>
      <c r="U41" s="227"/>
      <c r="V41" s="230"/>
    </row>
    <row r="42" customFormat="false" ht="19.5" hidden="false" customHeight="true" outlineLevel="0" collapsed="false">
      <c r="A42" s="231" t="s">
        <v>162</v>
      </c>
      <c r="B42" s="186"/>
      <c r="C42" s="186"/>
      <c r="D42" s="186"/>
      <c r="E42" s="186"/>
      <c r="F42" s="186"/>
      <c r="G42" s="185"/>
      <c r="J42" s="202"/>
      <c r="K42" s="202"/>
      <c r="L42" s="202"/>
      <c r="M42" s="202"/>
      <c r="P42" s="231" t="s">
        <v>162</v>
      </c>
      <c r="Q42" s="186"/>
      <c r="R42" s="186"/>
      <c r="S42" s="186"/>
      <c r="T42" s="186"/>
      <c r="U42" s="186"/>
      <c r="V42" s="185"/>
    </row>
    <row r="43" customFormat="false" ht="14.25" hidden="false" customHeight="true" outlineLevel="0" collapsed="false">
      <c r="A43" s="232" t="s">
        <v>163</v>
      </c>
      <c r="B43" s="233"/>
      <c r="C43" s="233"/>
      <c r="D43" s="233"/>
      <c r="E43" s="233"/>
      <c r="F43" s="233"/>
      <c r="G43" s="197"/>
      <c r="H43" s="234" t="s">
        <v>164</v>
      </c>
      <c r="I43" s="234"/>
      <c r="J43" s="234"/>
      <c r="K43" s="234"/>
      <c r="L43" s="234"/>
      <c r="M43" s="234"/>
      <c r="N43" s="234"/>
      <c r="O43" s="234"/>
      <c r="P43" s="232" t="s">
        <v>163</v>
      </c>
      <c r="Q43" s="233"/>
      <c r="R43" s="233"/>
      <c r="S43" s="233"/>
      <c r="T43" s="233"/>
      <c r="U43" s="233"/>
      <c r="V43" s="197"/>
    </row>
    <row r="44" customFormat="false" ht="14.25" hidden="false" customHeight="true" outlineLevel="0" collapsed="false">
      <c r="A44" s="235" t="s">
        <v>165</v>
      </c>
      <c r="G44" s="236"/>
      <c r="H44" s="237" t="s">
        <v>155</v>
      </c>
      <c r="I44" s="237"/>
      <c r="J44" s="237"/>
      <c r="K44" s="237"/>
      <c r="L44" s="237"/>
      <c r="M44" s="237"/>
      <c r="N44" s="237"/>
      <c r="O44" s="237"/>
      <c r="P44" s="235" t="s">
        <v>165</v>
      </c>
      <c r="V44" s="236"/>
    </row>
    <row r="45" customFormat="false" ht="14.25" hidden="false" customHeight="true" outlineLevel="0" collapsed="false">
      <c r="A45" s="232" t="s">
        <v>163</v>
      </c>
      <c r="B45" s="233"/>
      <c r="C45" s="233"/>
      <c r="D45" s="233"/>
      <c r="E45" s="233"/>
      <c r="F45" s="233"/>
      <c r="G45" s="197"/>
      <c r="I45" s="238"/>
      <c r="J45" s="239"/>
      <c r="K45" s="239"/>
      <c r="L45" s="240"/>
      <c r="M45" s="240"/>
      <c r="N45" s="238"/>
      <c r="P45" s="232" t="s">
        <v>163</v>
      </c>
      <c r="Q45" s="233"/>
      <c r="R45" s="233"/>
      <c r="S45" s="233"/>
      <c r="T45" s="233"/>
      <c r="U45" s="233"/>
      <c r="V45" s="197"/>
    </row>
    <row r="46" customFormat="false" ht="19.5" hidden="false" customHeight="true" outlineLevel="0" collapsed="false">
      <c r="A46" s="247"/>
      <c r="I46" s="181"/>
      <c r="J46" s="181"/>
      <c r="K46" s="181"/>
      <c r="L46" s="181"/>
      <c r="M46" s="181"/>
      <c r="N46" s="181"/>
      <c r="P46" s="180"/>
      <c r="V46" s="236"/>
    </row>
    <row r="47" customFormat="false" ht="14.25" hidden="false" customHeight="true" outlineLevel="0" collapsed="false">
      <c r="A47" s="241"/>
      <c r="I47" s="181"/>
      <c r="J47" s="202" t="s">
        <v>166</v>
      </c>
      <c r="K47" s="202"/>
      <c r="L47" s="202"/>
      <c r="M47" s="202"/>
      <c r="N47" s="181"/>
      <c r="P47" s="180"/>
      <c r="V47" s="236"/>
    </row>
    <row r="48" customFormat="false" ht="14.25" hidden="false" customHeight="true" outlineLevel="0" collapsed="false">
      <c r="A48" s="232"/>
      <c r="B48" s="233"/>
      <c r="C48" s="233"/>
      <c r="D48" s="233"/>
      <c r="E48" s="233"/>
      <c r="F48" s="233"/>
      <c r="G48" s="233"/>
      <c r="H48" s="233"/>
      <c r="I48" s="242"/>
      <c r="J48" s="242"/>
      <c r="K48" s="242"/>
      <c r="L48" s="242"/>
      <c r="M48" s="242"/>
      <c r="N48" s="242"/>
      <c r="O48" s="233"/>
      <c r="P48" s="243"/>
      <c r="Q48" s="233"/>
      <c r="R48" s="233"/>
      <c r="S48" s="233"/>
      <c r="T48" s="233"/>
      <c r="U48" s="233"/>
      <c r="V48" s="197"/>
    </row>
    <row r="49" customFormat="false" ht="15" hidden="false" customHeight="true" outlineLevel="0" collapsed="false">
      <c r="A49" s="180"/>
      <c r="I49" s="181"/>
      <c r="J49" s="181"/>
      <c r="K49" s="181"/>
      <c r="L49" s="181"/>
      <c r="M49" s="181"/>
      <c r="N49" s="181"/>
      <c r="P49" s="180"/>
    </row>
    <row r="50" customFormat="false" ht="14.25" hidden="false" customHeight="true" outlineLevel="0" collapsed="false">
      <c r="A50" s="183"/>
      <c r="B50" s="183"/>
      <c r="C50" s="248" t="str">
        <f aca="false">VLOOKUP(Z2,AA14:AI21,6,FALSE())</f>
        <v>Baan 5</v>
      </c>
      <c r="D50" s="248"/>
      <c r="E50" s="248"/>
      <c r="F50" s="248"/>
      <c r="G50" s="185"/>
      <c r="H50" s="186"/>
      <c r="I50" s="187" t="str">
        <f aca="false">Z2</f>
        <v>Ronde 1</v>
      </c>
      <c r="J50" s="187"/>
      <c r="K50" s="187"/>
      <c r="L50" s="187"/>
      <c r="M50" s="187"/>
      <c r="N50" s="187"/>
      <c r="O50" s="186"/>
      <c r="P50" s="183"/>
      <c r="Q50" s="183"/>
      <c r="R50" s="248" t="str">
        <f aca="false">VLOOKUP(Z2,AA14:AI21,7,FALSE())</f>
        <v>Baan 6</v>
      </c>
      <c r="S50" s="248"/>
      <c r="T50" s="248"/>
      <c r="U50" s="248"/>
      <c r="V50" s="185"/>
    </row>
    <row r="51" customFormat="false" ht="15.75" hidden="false" customHeight="true" outlineLevel="0" collapsed="false">
      <c r="A51" s="183"/>
      <c r="B51" s="183"/>
      <c r="C51" s="193" t="s">
        <v>153</v>
      </c>
      <c r="D51" s="194" t="str">
        <f aca="false">Deelnemers!$B$4</f>
        <v>2026-04-11</v>
      </c>
      <c r="E51" s="194"/>
      <c r="F51" s="194"/>
      <c r="G51" s="185"/>
      <c r="H51" s="195" t="s">
        <v>154</v>
      </c>
      <c r="I51" s="195"/>
      <c r="J51" s="195"/>
      <c r="K51" s="195"/>
      <c r="L51" s="195"/>
      <c r="M51" s="195"/>
      <c r="N51" s="195"/>
      <c r="O51" s="195"/>
      <c r="P51" s="183"/>
      <c r="Q51" s="183"/>
      <c r="R51" s="193" t="s">
        <v>153</v>
      </c>
      <c r="S51" s="194" t="str">
        <f aca="false">Deelnemers!$B$4</f>
        <v>2026-04-11</v>
      </c>
      <c r="T51" s="194"/>
      <c r="U51" s="194"/>
      <c r="V51" s="185"/>
    </row>
    <row r="52" customFormat="false" ht="15.75" hidden="false" customHeight="true" outlineLevel="0" collapsed="false">
      <c r="A52" s="183"/>
      <c r="B52" s="183"/>
      <c r="C52" s="196" t="str">
        <f aca="false">Deelnemers!$B$3</f>
        <v>Willem Tell 1921, Kerkrade</v>
      </c>
      <c r="D52" s="196"/>
      <c r="E52" s="196"/>
      <c r="F52" s="196"/>
      <c r="G52" s="197"/>
      <c r="H52" s="198" t="s">
        <v>155</v>
      </c>
      <c r="I52" s="198"/>
      <c r="J52" s="198"/>
      <c r="K52" s="198"/>
      <c r="L52" s="198"/>
      <c r="M52" s="198"/>
      <c r="N52" s="198"/>
      <c r="O52" s="198"/>
      <c r="P52" s="183"/>
      <c r="Q52" s="183"/>
      <c r="R52" s="196" t="str">
        <f aca="false">Deelnemers!$B$3</f>
        <v>Willem Tell 1921, Kerkrade</v>
      </c>
      <c r="S52" s="196"/>
      <c r="T52" s="196"/>
      <c r="U52" s="196"/>
      <c r="V52" s="197"/>
    </row>
    <row r="53" customFormat="false" ht="15.75" hidden="false" customHeight="true" outlineLevel="0" collapsed="false">
      <c r="A53" s="199" t="s">
        <v>156</v>
      </c>
      <c r="B53" s="200"/>
      <c r="C53" s="201" t="n">
        <f aca="false">VLOOKUP(Z2,AA2:AI8,6,FALSE())</f>
        <v>0</v>
      </c>
      <c r="D53" s="201"/>
      <c r="E53" s="201"/>
      <c r="F53" s="201"/>
      <c r="G53" s="201"/>
      <c r="J53" s="202" t="s">
        <v>157</v>
      </c>
      <c r="K53" s="202"/>
      <c r="L53" s="202"/>
      <c r="M53" s="202"/>
      <c r="P53" s="199" t="s">
        <v>156</v>
      </c>
      <c r="Q53" s="200"/>
      <c r="R53" s="203" t="n">
        <f aca="false">VLOOKUP(Z2,AA2:AI8,7,FALSE())</f>
        <v>0</v>
      </c>
      <c r="S53" s="203"/>
      <c r="T53" s="203"/>
      <c r="U53" s="203"/>
      <c r="V53" s="203"/>
    </row>
    <row r="54" customFormat="false" ht="14.25" hidden="false" customHeight="true" outlineLevel="0" collapsed="false">
      <c r="A54" s="199" t="s">
        <v>158</v>
      </c>
      <c r="B54" s="204" t="e">
        <f aca="false">IF(C53="","",VLOOKUP(C53,Deelnemers!B8:C46,2,FALSE()))</f>
        <v>#N/A</v>
      </c>
      <c r="C54" s="204"/>
      <c r="D54" s="204"/>
      <c r="E54" s="209" t="s">
        <v>159</v>
      </c>
      <c r="F54" s="209" t="s">
        <v>160</v>
      </c>
      <c r="G54" s="206"/>
      <c r="J54" s="207" t="s">
        <v>161</v>
      </c>
      <c r="K54" s="207"/>
      <c r="L54" s="208" t="s">
        <v>161</v>
      </c>
      <c r="M54" s="208"/>
      <c r="P54" s="199" t="s">
        <v>158</v>
      </c>
      <c r="Q54" s="204" t="e">
        <f aca="false">IF(R53="","",VLOOKUP(R53,Deelnemers!B8:C46,2,FALSE()))</f>
        <v>#N/A</v>
      </c>
      <c r="R54" s="204"/>
      <c r="S54" s="204"/>
      <c r="T54" s="209" t="s">
        <v>159</v>
      </c>
      <c r="U54" s="209" t="s">
        <v>160</v>
      </c>
      <c r="V54" s="206"/>
    </row>
    <row r="55" customFormat="false" ht="19.5" hidden="false" customHeight="true" outlineLevel="0" collapsed="false">
      <c r="A55" s="210" t="n">
        <v>1</v>
      </c>
      <c r="B55" s="206"/>
      <c r="C55" s="206"/>
      <c r="D55" s="206"/>
      <c r="E55" s="211"/>
      <c r="F55" s="212"/>
      <c r="G55" s="213"/>
      <c r="J55" s="214"/>
      <c r="K55" s="214"/>
      <c r="L55" s="215"/>
      <c r="M55" s="215"/>
      <c r="P55" s="210" t="n">
        <v>1</v>
      </c>
      <c r="Q55" s="206"/>
      <c r="R55" s="206"/>
      <c r="S55" s="206"/>
      <c r="T55" s="211"/>
      <c r="U55" s="212"/>
      <c r="V55" s="206"/>
    </row>
    <row r="56" customFormat="false" ht="19.5" hidden="false" customHeight="true" outlineLevel="0" collapsed="false">
      <c r="A56" s="210"/>
      <c r="B56" s="206"/>
      <c r="C56" s="206"/>
      <c r="D56" s="206"/>
      <c r="E56" s="216"/>
      <c r="F56" s="216"/>
      <c r="G56" s="213"/>
      <c r="J56" s="217"/>
      <c r="K56" s="218"/>
      <c r="L56" s="219"/>
      <c r="M56" s="213"/>
      <c r="P56" s="210"/>
      <c r="Q56" s="206"/>
      <c r="R56" s="206"/>
      <c r="S56" s="206"/>
      <c r="T56" s="216"/>
      <c r="U56" s="216"/>
      <c r="V56" s="206"/>
    </row>
    <row r="57" customFormat="false" ht="19.5" hidden="false" customHeight="true" outlineLevel="0" collapsed="false">
      <c r="A57" s="210" t="n">
        <v>2</v>
      </c>
      <c r="B57" s="206"/>
      <c r="C57" s="206"/>
      <c r="D57" s="206"/>
      <c r="E57" s="220"/>
      <c r="F57" s="221"/>
      <c r="G57" s="213"/>
      <c r="J57" s="214"/>
      <c r="K57" s="214"/>
      <c r="L57" s="215"/>
      <c r="M57" s="215"/>
      <c r="P57" s="210" t="n">
        <v>2</v>
      </c>
      <c r="Q57" s="206"/>
      <c r="R57" s="206"/>
      <c r="S57" s="206"/>
      <c r="T57" s="220"/>
      <c r="U57" s="221"/>
      <c r="V57" s="206"/>
    </row>
    <row r="58" customFormat="false" ht="19.5" hidden="false" customHeight="true" outlineLevel="0" collapsed="false">
      <c r="A58" s="210"/>
      <c r="B58" s="206"/>
      <c r="C58" s="206"/>
      <c r="D58" s="206"/>
      <c r="E58" s="220"/>
      <c r="F58" s="220"/>
      <c r="G58" s="213"/>
      <c r="J58" s="217"/>
      <c r="K58" s="218"/>
      <c r="L58" s="219"/>
      <c r="M58" s="213"/>
      <c r="P58" s="210"/>
      <c r="Q58" s="206"/>
      <c r="R58" s="206"/>
      <c r="S58" s="206"/>
      <c r="T58" s="220"/>
      <c r="U58" s="220"/>
      <c r="V58" s="206"/>
    </row>
    <row r="59" customFormat="false" ht="19.5" hidden="false" customHeight="true" outlineLevel="0" collapsed="false">
      <c r="A59" s="210" t="n">
        <v>3</v>
      </c>
      <c r="B59" s="206"/>
      <c r="C59" s="206"/>
      <c r="D59" s="206"/>
      <c r="E59" s="220"/>
      <c r="F59" s="221"/>
      <c r="G59" s="213"/>
      <c r="J59" s="214"/>
      <c r="K59" s="214"/>
      <c r="L59" s="215"/>
      <c r="M59" s="215"/>
      <c r="P59" s="210" t="n">
        <v>3</v>
      </c>
      <c r="Q59" s="206"/>
      <c r="R59" s="206"/>
      <c r="S59" s="206"/>
      <c r="T59" s="220"/>
      <c r="U59" s="221"/>
      <c r="V59" s="206"/>
    </row>
    <row r="60" customFormat="false" ht="19.5" hidden="false" customHeight="true" outlineLevel="0" collapsed="false">
      <c r="A60" s="210"/>
      <c r="B60" s="206"/>
      <c r="C60" s="206"/>
      <c r="D60" s="206"/>
      <c r="E60" s="220"/>
      <c r="F60" s="220"/>
      <c r="G60" s="213"/>
      <c r="J60" s="217"/>
      <c r="K60" s="218"/>
      <c r="L60" s="219"/>
      <c r="M60" s="213"/>
      <c r="P60" s="210"/>
      <c r="Q60" s="206"/>
      <c r="R60" s="206"/>
      <c r="S60" s="206"/>
      <c r="T60" s="220"/>
      <c r="U60" s="220"/>
      <c r="V60" s="206"/>
    </row>
    <row r="61" customFormat="false" ht="19.5" hidden="false" customHeight="true" outlineLevel="0" collapsed="false">
      <c r="A61" s="210" t="n">
        <v>4</v>
      </c>
      <c r="B61" s="206"/>
      <c r="C61" s="206"/>
      <c r="D61" s="206"/>
      <c r="E61" s="220"/>
      <c r="F61" s="221"/>
      <c r="G61" s="213"/>
      <c r="J61" s="214"/>
      <c r="K61" s="214"/>
      <c r="L61" s="215"/>
      <c r="M61" s="215"/>
      <c r="P61" s="210" t="n">
        <v>4</v>
      </c>
      <c r="Q61" s="206"/>
      <c r="R61" s="206"/>
      <c r="S61" s="206"/>
      <c r="T61" s="220"/>
      <c r="U61" s="221"/>
      <c r="V61" s="206"/>
    </row>
    <row r="62" customFormat="false" ht="19.5" hidden="false" customHeight="true" outlineLevel="0" collapsed="false">
      <c r="A62" s="210"/>
      <c r="B62" s="206"/>
      <c r="C62" s="206"/>
      <c r="D62" s="206"/>
      <c r="E62" s="222"/>
      <c r="F62" s="222"/>
      <c r="G62" s="213"/>
      <c r="J62" s="217"/>
      <c r="K62" s="218"/>
      <c r="L62" s="219"/>
      <c r="M62" s="213"/>
      <c r="P62" s="210"/>
      <c r="Q62" s="206"/>
      <c r="R62" s="206"/>
      <c r="S62" s="206"/>
      <c r="T62" s="222"/>
      <c r="U62" s="222"/>
      <c r="V62" s="206"/>
    </row>
    <row r="63" customFormat="false" ht="19.5" hidden="false" customHeight="true" outlineLevel="0" collapsed="false">
      <c r="A63" s="210" t="n">
        <v>5</v>
      </c>
      <c r="B63" s="206"/>
      <c r="C63" s="206"/>
      <c r="D63" s="206"/>
      <c r="E63" s="220"/>
      <c r="F63" s="221"/>
      <c r="G63" s="213"/>
      <c r="J63" s="214"/>
      <c r="K63" s="214"/>
      <c r="L63" s="215"/>
      <c r="M63" s="215"/>
      <c r="P63" s="210" t="n">
        <v>5</v>
      </c>
      <c r="Q63" s="206"/>
      <c r="R63" s="206"/>
      <c r="S63" s="206"/>
      <c r="T63" s="220"/>
      <c r="U63" s="221"/>
      <c r="V63" s="206"/>
    </row>
    <row r="64" customFormat="false" ht="19.5" hidden="false" customHeight="true" outlineLevel="0" collapsed="false">
      <c r="A64" s="210"/>
      <c r="B64" s="206"/>
      <c r="C64" s="206"/>
      <c r="D64" s="206"/>
      <c r="E64" s="223"/>
      <c r="F64" s="222"/>
      <c r="G64" s="213"/>
      <c r="J64" s="217"/>
      <c r="K64" s="218"/>
      <c r="L64" s="219"/>
      <c r="M64" s="213"/>
      <c r="P64" s="210"/>
      <c r="Q64" s="206"/>
      <c r="R64" s="206"/>
      <c r="S64" s="206"/>
      <c r="T64" s="223"/>
      <c r="U64" s="222"/>
      <c r="V64" s="206"/>
    </row>
    <row r="65" customFormat="false" ht="19.5" hidden="false" customHeight="true" outlineLevel="0" collapsed="false">
      <c r="A65" s="224"/>
      <c r="B65" s="186"/>
      <c r="C65" s="185"/>
      <c r="D65" s="225" t="s">
        <v>160</v>
      </c>
      <c r="E65" s="226"/>
      <c r="F65" s="227"/>
      <c r="G65" s="230"/>
      <c r="J65" s="228"/>
      <c r="K65" s="228"/>
      <c r="L65" s="229"/>
      <c r="M65" s="229"/>
      <c r="P65" s="224"/>
      <c r="Q65" s="186"/>
      <c r="R65" s="185"/>
      <c r="S65" s="225" t="s">
        <v>160</v>
      </c>
      <c r="T65" s="226"/>
      <c r="U65" s="227"/>
      <c r="V65" s="230"/>
    </row>
    <row r="66" customFormat="false" ht="19.5" hidden="false" customHeight="true" outlineLevel="0" collapsed="false">
      <c r="A66" s="231" t="s">
        <v>162</v>
      </c>
      <c r="B66" s="186"/>
      <c r="C66" s="186"/>
      <c r="D66" s="186"/>
      <c r="E66" s="186"/>
      <c r="F66" s="186"/>
      <c r="G66" s="185"/>
      <c r="J66" s="202"/>
      <c r="K66" s="202"/>
      <c r="L66" s="202"/>
      <c r="M66" s="202"/>
      <c r="P66" s="231" t="s">
        <v>162</v>
      </c>
      <c r="Q66" s="186"/>
      <c r="R66" s="186"/>
      <c r="S66" s="186"/>
      <c r="T66" s="186"/>
      <c r="U66" s="186"/>
      <c r="V66" s="185"/>
    </row>
    <row r="67" customFormat="false" ht="14.25" hidden="false" customHeight="true" outlineLevel="0" collapsed="false">
      <c r="A67" s="232" t="s">
        <v>163</v>
      </c>
      <c r="B67" s="233"/>
      <c r="C67" s="233"/>
      <c r="D67" s="233"/>
      <c r="E67" s="233"/>
      <c r="F67" s="233"/>
      <c r="G67" s="197"/>
      <c r="H67" s="234" t="s">
        <v>164</v>
      </c>
      <c r="I67" s="234"/>
      <c r="J67" s="234"/>
      <c r="K67" s="234"/>
      <c r="L67" s="234"/>
      <c r="M67" s="234"/>
      <c r="N67" s="234"/>
      <c r="O67" s="234"/>
      <c r="P67" s="232" t="s">
        <v>163</v>
      </c>
      <c r="Q67" s="233"/>
      <c r="R67" s="233"/>
      <c r="S67" s="233"/>
      <c r="T67" s="233"/>
      <c r="U67" s="233"/>
      <c r="V67" s="197"/>
    </row>
    <row r="68" customFormat="false" ht="14.25" hidden="false" customHeight="true" outlineLevel="0" collapsed="false">
      <c r="A68" s="235" t="s">
        <v>165</v>
      </c>
      <c r="G68" s="236"/>
      <c r="H68" s="237" t="s">
        <v>155</v>
      </c>
      <c r="I68" s="237"/>
      <c r="J68" s="237"/>
      <c r="K68" s="237"/>
      <c r="L68" s="237"/>
      <c r="M68" s="237"/>
      <c r="N68" s="237"/>
      <c r="O68" s="237"/>
      <c r="P68" s="235" t="s">
        <v>165</v>
      </c>
      <c r="V68" s="236"/>
    </row>
    <row r="69" customFormat="false" ht="14.25" hidden="false" customHeight="true" outlineLevel="0" collapsed="false">
      <c r="A69" s="232" t="s">
        <v>163</v>
      </c>
      <c r="B69" s="233"/>
      <c r="C69" s="233"/>
      <c r="D69" s="233"/>
      <c r="E69" s="233"/>
      <c r="F69" s="233"/>
      <c r="G69" s="197"/>
      <c r="I69" s="238"/>
      <c r="J69" s="239"/>
      <c r="K69" s="239"/>
      <c r="L69" s="240"/>
      <c r="M69" s="240"/>
      <c r="N69" s="238"/>
      <c r="P69" s="232" t="s">
        <v>163</v>
      </c>
      <c r="Q69" s="233"/>
      <c r="R69" s="233"/>
      <c r="S69" s="233"/>
      <c r="T69" s="233"/>
      <c r="U69" s="233"/>
      <c r="V69" s="197"/>
    </row>
    <row r="70" customFormat="false" ht="19.5" hidden="false" customHeight="true" outlineLevel="0" collapsed="false">
      <c r="A70" s="241"/>
      <c r="I70" s="181"/>
      <c r="J70" s="181"/>
      <c r="K70" s="181"/>
      <c r="L70" s="181"/>
      <c r="M70" s="181"/>
      <c r="N70" s="181"/>
      <c r="P70" s="180"/>
      <c r="V70" s="236"/>
    </row>
    <row r="71" customFormat="false" ht="14.25" hidden="false" customHeight="true" outlineLevel="0" collapsed="false">
      <c r="A71" s="241"/>
      <c r="I71" s="181"/>
      <c r="J71" s="202" t="s">
        <v>166</v>
      </c>
      <c r="K71" s="202"/>
      <c r="L71" s="202"/>
      <c r="M71" s="202"/>
      <c r="N71" s="181"/>
      <c r="P71" s="180"/>
      <c r="V71" s="236"/>
    </row>
    <row r="72" customFormat="false" ht="14.25" hidden="false" customHeight="true" outlineLevel="0" collapsed="false">
      <c r="A72" s="232"/>
      <c r="B72" s="233"/>
      <c r="C72" s="233"/>
      <c r="D72" s="233"/>
      <c r="E72" s="233"/>
      <c r="F72" s="233"/>
      <c r="G72" s="233"/>
      <c r="H72" s="233"/>
      <c r="I72" s="242"/>
      <c r="J72" s="242"/>
      <c r="K72" s="242"/>
      <c r="L72" s="242"/>
      <c r="M72" s="242"/>
      <c r="N72" s="242"/>
      <c r="O72" s="233"/>
      <c r="P72" s="243"/>
      <c r="Q72" s="233"/>
      <c r="R72" s="233"/>
      <c r="S72" s="233"/>
      <c r="T72" s="233"/>
      <c r="U72" s="233"/>
      <c r="V72" s="197"/>
    </row>
    <row r="73" customFormat="false" ht="14.25" hidden="false" customHeight="true" outlineLevel="0" collapsed="false">
      <c r="A73" s="244"/>
      <c r="I73" s="181"/>
      <c r="J73" s="181"/>
      <c r="K73" s="245"/>
      <c r="L73" s="245"/>
      <c r="M73" s="245"/>
      <c r="N73" s="181"/>
      <c r="P73" s="180"/>
      <c r="V73" s="186"/>
    </row>
    <row r="74" customFormat="false" ht="14.25" hidden="false" customHeight="true" outlineLevel="0" collapsed="false">
      <c r="A74" s="183"/>
      <c r="B74" s="183"/>
      <c r="C74" s="249" t="str">
        <f aca="false">VLOOKUP(Z2,AA14:AI21,8,FALSE())</f>
        <v>Baan 7</v>
      </c>
      <c r="D74" s="249"/>
      <c r="E74" s="249"/>
      <c r="F74" s="249"/>
      <c r="G74" s="185"/>
      <c r="H74" s="186"/>
      <c r="I74" s="187" t="str">
        <f aca="false">Z2</f>
        <v>Ronde 1</v>
      </c>
      <c r="J74" s="187"/>
      <c r="K74" s="187"/>
      <c r="L74" s="187"/>
      <c r="M74" s="187"/>
      <c r="N74" s="187"/>
      <c r="O74" s="186"/>
      <c r="P74" s="183"/>
      <c r="Q74" s="183"/>
      <c r="R74" s="249" t="str">
        <f aca="false">VLOOKUP(Z2,AA14:AI21,9,FALSE())</f>
        <v>Baan 8</v>
      </c>
      <c r="S74" s="249"/>
      <c r="T74" s="249"/>
      <c r="U74" s="249"/>
      <c r="V74" s="185"/>
    </row>
    <row r="75" customFormat="false" ht="15.75" hidden="false" customHeight="true" outlineLevel="0" collapsed="false">
      <c r="A75" s="183"/>
      <c r="B75" s="183"/>
      <c r="C75" s="193" t="s">
        <v>153</v>
      </c>
      <c r="D75" s="194" t="str">
        <f aca="false">Deelnemers!$B$4</f>
        <v>2026-04-11</v>
      </c>
      <c r="E75" s="194"/>
      <c r="F75" s="194"/>
      <c r="G75" s="185"/>
      <c r="H75" s="195" t="s">
        <v>154</v>
      </c>
      <c r="I75" s="195"/>
      <c r="J75" s="195"/>
      <c r="K75" s="195"/>
      <c r="L75" s="195"/>
      <c r="M75" s="195"/>
      <c r="N75" s="195"/>
      <c r="O75" s="195"/>
      <c r="P75" s="183"/>
      <c r="Q75" s="183"/>
      <c r="R75" s="193" t="s">
        <v>153</v>
      </c>
      <c r="S75" s="194" t="str">
        <f aca="false">Deelnemers!$B$4</f>
        <v>2026-04-11</v>
      </c>
      <c r="T75" s="194"/>
      <c r="U75" s="194"/>
      <c r="V75" s="185"/>
    </row>
    <row r="76" customFormat="false" ht="15.75" hidden="false" customHeight="true" outlineLevel="0" collapsed="false">
      <c r="A76" s="183"/>
      <c r="B76" s="183"/>
      <c r="C76" s="196" t="str">
        <f aca="false">Deelnemers!$B$3</f>
        <v>Willem Tell 1921, Kerkrade</v>
      </c>
      <c r="D76" s="196"/>
      <c r="E76" s="196"/>
      <c r="F76" s="196"/>
      <c r="G76" s="197"/>
      <c r="H76" s="198" t="s">
        <v>155</v>
      </c>
      <c r="I76" s="198"/>
      <c r="J76" s="198"/>
      <c r="K76" s="198"/>
      <c r="L76" s="198"/>
      <c r="M76" s="198"/>
      <c r="N76" s="198"/>
      <c r="O76" s="198"/>
      <c r="P76" s="183"/>
      <c r="Q76" s="183"/>
      <c r="R76" s="196" t="str">
        <f aca="false">Deelnemers!$B$3</f>
        <v>Willem Tell 1921, Kerkrade</v>
      </c>
      <c r="S76" s="196"/>
      <c r="T76" s="196"/>
      <c r="U76" s="196"/>
      <c r="V76" s="197"/>
    </row>
    <row r="77" customFormat="false" ht="15.75" hidden="false" customHeight="true" outlineLevel="0" collapsed="false">
      <c r="A77" s="199" t="s">
        <v>156</v>
      </c>
      <c r="B77" s="200"/>
      <c r="C77" s="201" t="n">
        <f aca="false">VLOOKUP(Z2,AA2:AI8,8,FALSE())</f>
        <v>0</v>
      </c>
      <c r="D77" s="201"/>
      <c r="E77" s="201"/>
      <c r="F77" s="201"/>
      <c r="G77" s="201"/>
      <c r="J77" s="202" t="s">
        <v>157</v>
      </c>
      <c r="K77" s="202"/>
      <c r="L77" s="202"/>
      <c r="M77" s="202"/>
      <c r="P77" s="199" t="s">
        <v>156</v>
      </c>
      <c r="Q77" s="200"/>
      <c r="R77" s="203" t="n">
        <f aca="false">VLOOKUP(Z2,AA2:AI8,9,FALSE())</f>
        <v>0</v>
      </c>
      <c r="S77" s="203"/>
      <c r="T77" s="203"/>
      <c r="U77" s="203"/>
      <c r="V77" s="203"/>
    </row>
    <row r="78" customFormat="false" ht="14.25" hidden="false" customHeight="true" outlineLevel="0" collapsed="false">
      <c r="A78" s="199" t="s">
        <v>158</v>
      </c>
      <c r="B78" s="204" t="e">
        <f aca="false">IF(C77="","",VLOOKUP(C77,Deelnemers!B8:C46,2,FALSE()))</f>
        <v>#N/A</v>
      </c>
      <c r="C78" s="204"/>
      <c r="D78" s="204"/>
      <c r="E78" s="209" t="s">
        <v>159</v>
      </c>
      <c r="F78" s="209" t="s">
        <v>160</v>
      </c>
      <c r="G78" s="206"/>
      <c r="J78" s="207" t="s">
        <v>161</v>
      </c>
      <c r="K78" s="207"/>
      <c r="L78" s="208" t="s">
        <v>161</v>
      </c>
      <c r="M78" s="208"/>
      <c r="P78" s="199" t="s">
        <v>158</v>
      </c>
      <c r="Q78" s="204" t="e">
        <f aca="false">IF(R77="","",VLOOKUP(R77,Deelnemers!B8:C46,2,FALSE()))</f>
        <v>#N/A</v>
      </c>
      <c r="R78" s="204"/>
      <c r="S78" s="204"/>
      <c r="T78" s="209" t="s">
        <v>159</v>
      </c>
      <c r="U78" s="209" t="s">
        <v>160</v>
      </c>
      <c r="V78" s="206"/>
    </row>
    <row r="79" customFormat="false" ht="19.5" hidden="false" customHeight="true" outlineLevel="0" collapsed="false">
      <c r="A79" s="210" t="n">
        <v>1</v>
      </c>
      <c r="B79" s="206"/>
      <c r="C79" s="206"/>
      <c r="D79" s="206"/>
      <c r="E79" s="211"/>
      <c r="F79" s="212"/>
      <c r="G79" s="213"/>
      <c r="J79" s="214"/>
      <c r="K79" s="214"/>
      <c r="L79" s="215"/>
      <c r="M79" s="215"/>
      <c r="P79" s="210" t="n">
        <v>1</v>
      </c>
      <c r="Q79" s="206"/>
      <c r="R79" s="206"/>
      <c r="S79" s="206"/>
      <c r="T79" s="211"/>
      <c r="U79" s="212"/>
      <c r="V79" s="206"/>
    </row>
    <row r="80" customFormat="false" ht="19.5" hidden="false" customHeight="true" outlineLevel="0" collapsed="false">
      <c r="A80" s="210"/>
      <c r="B80" s="206"/>
      <c r="C80" s="206"/>
      <c r="D80" s="206"/>
      <c r="E80" s="216"/>
      <c r="F80" s="216"/>
      <c r="G80" s="213"/>
      <c r="J80" s="217"/>
      <c r="K80" s="218"/>
      <c r="L80" s="219"/>
      <c r="M80" s="213"/>
      <c r="P80" s="210"/>
      <c r="Q80" s="206"/>
      <c r="R80" s="206"/>
      <c r="S80" s="206"/>
      <c r="T80" s="216"/>
      <c r="U80" s="216"/>
      <c r="V80" s="206"/>
    </row>
    <row r="81" customFormat="false" ht="19.5" hidden="false" customHeight="true" outlineLevel="0" collapsed="false">
      <c r="A81" s="210" t="n">
        <v>2</v>
      </c>
      <c r="B81" s="206"/>
      <c r="C81" s="206"/>
      <c r="D81" s="206"/>
      <c r="E81" s="220"/>
      <c r="F81" s="221"/>
      <c r="G81" s="213"/>
      <c r="J81" s="214"/>
      <c r="K81" s="214"/>
      <c r="L81" s="215"/>
      <c r="M81" s="215"/>
      <c r="P81" s="210" t="n">
        <v>2</v>
      </c>
      <c r="Q81" s="206"/>
      <c r="R81" s="206"/>
      <c r="S81" s="206"/>
      <c r="T81" s="220"/>
      <c r="U81" s="221"/>
      <c r="V81" s="206"/>
    </row>
    <row r="82" customFormat="false" ht="19.5" hidden="false" customHeight="true" outlineLevel="0" collapsed="false">
      <c r="A82" s="210"/>
      <c r="B82" s="206"/>
      <c r="C82" s="206"/>
      <c r="D82" s="206"/>
      <c r="E82" s="220"/>
      <c r="F82" s="220"/>
      <c r="G82" s="213"/>
      <c r="J82" s="217"/>
      <c r="K82" s="218"/>
      <c r="L82" s="219"/>
      <c r="M82" s="213"/>
      <c r="P82" s="210"/>
      <c r="Q82" s="206"/>
      <c r="R82" s="206"/>
      <c r="S82" s="206"/>
      <c r="T82" s="220"/>
      <c r="U82" s="220"/>
      <c r="V82" s="206"/>
    </row>
    <row r="83" customFormat="false" ht="19.5" hidden="false" customHeight="true" outlineLevel="0" collapsed="false">
      <c r="A83" s="210" t="n">
        <v>3</v>
      </c>
      <c r="B83" s="206"/>
      <c r="C83" s="206"/>
      <c r="D83" s="206"/>
      <c r="E83" s="220"/>
      <c r="F83" s="221"/>
      <c r="G83" s="213"/>
      <c r="J83" s="214"/>
      <c r="K83" s="214"/>
      <c r="L83" s="215"/>
      <c r="M83" s="215"/>
      <c r="P83" s="210" t="n">
        <v>3</v>
      </c>
      <c r="Q83" s="206"/>
      <c r="R83" s="206"/>
      <c r="S83" s="206"/>
      <c r="T83" s="220"/>
      <c r="U83" s="221"/>
      <c r="V83" s="206"/>
    </row>
    <row r="84" customFormat="false" ht="19.5" hidden="false" customHeight="true" outlineLevel="0" collapsed="false">
      <c r="A84" s="210"/>
      <c r="B84" s="206"/>
      <c r="C84" s="206"/>
      <c r="D84" s="206"/>
      <c r="E84" s="220"/>
      <c r="F84" s="220"/>
      <c r="G84" s="213"/>
      <c r="J84" s="217"/>
      <c r="K84" s="218"/>
      <c r="L84" s="219"/>
      <c r="M84" s="213"/>
      <c r="P84" s="210"/>
      <c r="Q84" s="206"/>
      <c r="R84" s="206"/>
      <c r="S84" s="206"/>
      <c r="T84" s="220"/>
      <c r="U84" s="220"/>
      <c r="V84" s="206"/>
    </row>
    <row r="85" customFormat="false" ht="19.5" hidden="false" customHeight="true" outlineLevel="0" collapsed="false">
      <c r="A85" s="210" t="n">
        <v>4</v>
      </c>
      <c r="B85" s="206"/>
      <c r="C85" s="206"/>
      <c r="D85" s="206"/>
      <c r="E85" s="220"/>
      <c r="F85" s="221"/>
      <c r="G85" s="213"/>
      <c r="J85" s="214"/>
      <c r="K85" s="214"/>
      <c r="L85" s="215"/>
      <c r="M85" s="215"/>
      <c r="P85" s="210" t="n">
        <v>4</v>
      </c>
      <c r="Q85" s="206"/>
      <c r="R85" s="206"/>
      <c r="S85" s="206"/>
      <c r="T85" s="220"/>
      <c r="U85" s="221"/>
      <c r="V85" s="206"/>
    </row>
    <row r="86" customFormat="false" ht="19.5" hidden="false" customHeight="true" outlineLevel="0" collapsed="false">
      <c r="A86" s="210"/>
      <c r="B86" s="206"/>
      <c r="C86" s="206"/>
      <c r="D86" s="206"/>
      <c r="E86" s="222"/>
      <c r="F86" s="222"/>
      <c r="G86" s="213"/>
      <c r="J86" s="217"/>
      <c r="K86" s="218"/>
      <c r="L86" s="219"/>
      <c r="M86" s="213"/>
      <c r="P86" s="210"/>
      <c r="Q86" s="206"/>
      <c r="R86" s="206"/>
      <c r="S86" s="206"/>
      <c r="T86" s="222"/>
      <c r="U86" s="222"/>
      <c r="V86" s="206"/>
    </row>
    <row r="87" customFormat="false" ht="19.5" hidden="false" customHeight="true" outlineLevel="0" collapsed="false">
      <c r="A87" s="210" t="n">
        <v>5</v>
      </c>
      <c r="B87" s="206"/>
      <c r="C87" s="206"/>
      <c r="D87" s="206"/>
      <c r="E87" s="220"/>
      <c r="F87" s="221"/>
      <c r="G87" s="213"/>
      <c r="J87" s="214"/>
      <c r="K87" s="214"/>
      <c r="L87" s="215"/>
      <c r="M87" s="215"/>
      <c r="P87" s="210" t="n">
        <v>5</v>
      </c>
      <c r="Q87" s="206"/>
      <c r="R87" s="206"/>
      <c r="S87" s="206"/>
      <c r="T87" s="220"/>
      <c r="U87" s="221"/>
      <c r="V87" s="206"/>
    </row>
    <row r="88" customFormat="false" ht="19.5" hidden="false" customHeight="true" outlineLevel="0" collapsed="false">
      <c r="A88" s="210"/>
      <c r="B88" s="206"/>
      <c r="C88" s="206"/>
      <c r="D88" s="206"/>
      <c r="E88" s="223"/>
      <c r="F88" s="222"/>
      <c r="G88" s="213"/>
      <c r="J88" s="217"/>
      <c r="K88" s="218"/>
      <c r="L88" s="219"/>
      <c r="M88" s="213"/>
      <c r="P88" s="210"/>
      <c r="Q88" s="206"/>
      <c r="R88" s="206"/>
      <c r="S88" s="206"/>
      <c r="T88" s="223"/>
      <c r="U88" s="222"/>
      <c r="V88" s="206"/>
    </row>
    <row r="89" customFormat="false" ht="19.5" hidden="false" customHeight="true" outlineLevel="0" collapsed="false">
      <c r="A89" s="224"/>
      <c r="B89" s="186"/>
      <c r="C89" s="185"/>
      <c r="D89" s="225" t="s">
        <v>160</v>
      </c>
      <c r="E89" s="226"/>
      <c r="F89" s="227"/>
      <c r="G89" s="230"/>
      <c r="J89" s="228"/>
      <c r="K89" s="228"/>
      <c r="L89" s="229"/>
      <c r="M89" s="229"/>
      <c r="P89" s="224"/>
      <c r="Q89" s="186"/>
      <c r="R89" s="185"/>
      <c r="S89" s="225" t="s">
        <v>160</v>
      </c>
      <c r="T89" s="226"/>
      <c r="U89" s="227"/>
      <c r="V89" s="230"/>
    </row>
    <row r="90" customFormat="false" ht="19.5" hidden="false" customHeight="true" outlineLevel="0" collapsed="false">
      <c r="A90" s="231" t="s">
        <v>162</v>
      </c>
      <c r="B90" s="186"/>
      <c r="C90" s="186"/>
      <c r="D90" s="186"/>
      <c r="E90" s="186"/>
      <c r="F90" s="186"/>
      <c r="G90" s="185"/>
      <c r="J90" s="202"/>
      <c r="K90" s="202"/>
      <c r="L90" s="202"/>
      <c r="M90" s="202"/>
      <c r="P90" s="231" t="s">
        <v>162</v>
      </c>
      <c r="Q90" s="186"/>
      <c r="R90" s="186"/>
      <c r="S90" s="186"/>
      <c r="T90" s="186"/>
      <c r="U90" s="186"/>
      <c r="V90" s="185"/>
    </row>
    <row r="91" customFormat="false" ht="14.25" hidden="false" customHeight="true" outlineLevel="0" collapsed="false">
      <c r="A91" s="232" t="s">
        <v>163</v>
      </c>
      <c r="B91" s="233"/>
      <c r="C91" s="233"/>
      <c r="D91" s="233"/>
      <c r="E91" s="233"/>
      <c r="F91" s="233"/>
      <c r="G91" s="197"/>
      <c r="H91" s="234" t="s">
        <v>164</v>
      </c>
      <c r="I91" s="234"/>
      <c r="J91" s="234"/>
      <c r="K91" s="234"/>
      <c r="L91" s="234"/>
      <c r="M91" s="234"/>
      <c r="N91" s="234"/>
      <c r="O91" s="234"/>
      <c r="P91" s="232" t="s">
        <v>163</v>
      </c>
      <c r="Q91" s="233"/>
      <c r="R91" s="233"/>
      <c r="S91" s="233"/>
      <c r="T91" s="233"/>
      <c r="U91" s="233"/>
      <c r="V91" s="197"/>
    </row>
    <row r="92" customFormat="false" ht="14.25" hidden="false" customHeight="true" outlineLevel="0" collapsed="false">
      <c r="A92" s="235" t="s">
        <v>165</v>
      </c>
      <c r="G92" s="236"/>
      <c r="H92" s="237" t="s">
        <v>155</v>
      </c>
      <c r="I92" s="237"/>
      <c r="J92" s="237"/>
      <c r="K92" s="237"/>
      <c r="L92" s="237"/>
      <c r="M92" s="237"/>
      <c r="N92" s="237"/>
      <c r="O92" s="237"/>
      <c r="P92" s="235" t="s">
        <v>165</v>
      </c>
      <c r="V92" s="236"/>
    </row>
    <row r="93" customFormat="false" ht="14.25" hidden="false" customHeight="true" outlineLevel="0" collapsed="false">
      <c r="A93" s="232" t="s">
        <v>163</v>
      </c>
      <c r="B93" s="233"/>
      <c r="C93" s="233"/>
      <c r="D93" s="233"/>
      <c r="E93" s="233"/>
      <c r="F93" s="233"/>
      <c r="G93" s="197"/>
      <c r="I93" s="238"/>
      <c r="J93" s="239"/>
      <c r="K93" s="239"/>
      <c r="L93" s="240"/>
      <c r="M93" s="240"/>
      <c r="N93" s="238"/>
      <c r="P93" s="232" t="s">
        <v>163</v>
      </c>
      <c r="Q93" s="233"/>
      <c r="R93" s="233"/>
      <c r="S93" s="233"/>
      <c r="T93" s="233"/>
      <c r="U93" s="233"/>
      <c r="V93" s="197"/>
    </row>
    <row r="94" customFormat="false" ht="19.5" hidden="false" customHeight="true" outlineLevel="0" collapsed="false">
      <c r="A94" s="247"/>
      <c r="I94" s="181"/>
      <c r="J94" s="181"/>
      <c r="K94" s="181"/>
      <c r="L94" s="181"/>
      <c r="M94" s="181"/>
      <c r="N94" s="181"/>
      <c r="P94" s="180"/>
      <c r="V94" s="236"/>
    </row>
    <row r="95" customFormat="false" ht="14.25" hidden="false" customHeight="true" outlineLevel="0" collapsed="false">
      <c r="A95" s="241"/>
      <c r="I95" s="181"/>
      <c r="J95" s="202" t="s">
        <v>166</v>
      </c>
      <c r="K95" s="202"/>
      <c r="L95" s="202"/>
      <c r="M95" s="202"/>
      <c r="N95" s="181"/>
      <c r="P95" s="180"/>
      <c r="V95" s="236"/>
    </row>
    <row r="96" customFormat="false" ht="14.25" hidden="false" customHeight="true" outlineLevel="0" collapsed="false">
      <c r="A96" s="232"/>
      <c r="B96" s="233"/>
      <c r="C96" s="233"/>
      <c r="D96" s="233"/>
      <c r="E96" s="233"/>
      <c r="F96" s="233"/>
      <c r="G96" s="233"/>
      <c r="H96" s="233"/>
      <c r="I96" s="242"/>
      <c r="J96" s="242"/>
      <c r="K96" s="242"/>
      <c r="L96" s="242"/>
      <c r="M96" s="242"/>
      <c r="N96" s="242"/>
      <c r="O96" s="233"/>
      <c r="P96" s="243"/>
      <c r="Q96" s="233"/>
      <c r="R96" s="233"/>
      <c r="S96" s="233"/>
      <c r="T96" s="233"/>
      <c r="U96" s="233"/>
      <c r="V96" s="197"/>
    </row>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f57c" objects="true" scenarios="true" selectLockedCells="true"/>
  <mergeCells count="148">
    <mergeCell ref="A2:B4"/>
    <mergeCell ref="C2:F2"/>
    <mergeCell ref="I2:N2"/>
    <mergeCell ref="P2:Q4"/>
    <mergeCell ref="R2:U2"/>
    <mergeCell ref="D3:F3"/>
    <mergeCell ref="H3:O3"/>
    <mergeCell ref="S3:U3"/>
    <mergeCell ref="C4:F4"/>
    <mergeCell ref="H4:O4"/>
    <mergeCell ref="R4:U4"/>
    <mergeCell ref="C5:G5"/>
    <mergeCell ref="J5:M5"/>
    <mergeCell ref="R5:V5"/>
    <mergeCell ref="B6:D6"/>
    <mergeCell ref="J6:K6"/>
    <mergeCell ref="L6:M6"/>
    <mergeCell ref="Q6:S6"/>
    <mergeCell ref="J7:K7"/>
    <mergeCell ref="L7:M7"/>
    <mergeCell ref="J9:K9"/>
    <mergeCell ref="L9:M9"/>
    <mergeCell ref="J11:K11"/>
    <mergeCell ref="L11:M11"/>
    <mergeCell ref="J13:K13"/>
    <mergeCell ref="L13:M13"/>
    <mergeCell ref="J15:K15"/>
    <mergeCell ref="L15:M15"/>
    <mergeCell ref="J17:K17"/>
    <mergeCell ref="L17:M17"/>
    <mergeCell ref="J18:M18"/>
    <mergeCell ref="H19:O19"/>
    <mergeCell ref="H20:O20"/>
    <mergeCell ref="J21:K21"/>
    <mergeCell ref="L21:M21"/>
    <mergeCell ref="J23:M23"/>
    <mergeCell ref="J24:M24"/>
    <mergeCell ref="A26:B28"/>
    <mergeCell ref="C26:F26"/>
    <mergeCell ref="I26:N26"/>
    <mergeCell ref="P26:Q28"/>
    <mergeCell ref="R26:U26"/>
    <mergeCell ref="D27:F27"/>
    <mergeCell ref="H27:O27"/>
    <mergeCell ref="S27:U27"/>
    <mergeCell ref="C28:F28"/>
    <mergeCell ref="H28:O28"/>
    <mergeCell ref="R28:U28"/>
    <mergeCell ref="C29:G29"/>
    <mergeCell ref="J29:M29"/>
    <mergeCell ref="R29:V29"/>
    <mergeCell ref="B30:D30"/>
    <mergeCell ref="J30:K30"/>
    <mergeCell ref="L30:M30"/>
    <mergeCell ref="Q30:S30"/>
    <mergeCell ref="J31:K31"/>
    <mergeCell ref="L31:M31"/>
    <mergeCell ref="J33:K33"/>
    <mergeCell ref="L33:M33"/>
    <mergeCell ref="J35:K35"/>
    <mergeCell ref="L35:M35"/>
    <mergeCell ref="J37:K37"/>
    <mergeCell ref="L37:M37"/>
    <mergeCell ref="J39:K39"/>
    <mergeCell ref="L39:M39"/>
    <mergeCell ref="J41:K41"/>
    <mergeCell ref="L41:M41"/>
    <mergeCell ref="J42:M42"/>
    <mergeCell ref="H43:O43"/>
    <mergeCell ref="H44:O44"/>
    <mergeCell ref="J45:K45"/>
    <mergeCell ref="L45:M45"/>
    <mergeCell ref="J47:M47"/>
    <mergeCell ref="J48:M48"/>
    <mergeCell ref="A50:B52"/>
    <mergeCell ref="C50:F50"/>
    <mergeCell ref="I50:N50"/>
    <mergeCell ref="P50:Q52"/>
    <mergeCell ref="R50:U50"/>
    <mergeCell ref="D51:F51"/>
    <mergeCell ref="H51:O51"/>
    <mergeCell ref="S51:U51"/>
    <mergeCell ref="C52:F52"/>
    <mergeCell ref="H52:O52"/>
    <mergeCell ref="R52:U52"/>
    <mergeCell ref="C53:G53"/>
    <mergeCell ref="J53:M53"/>
    <mergeCell ref="R53:V53"/>
    <mergeCell ref="B54:D54"/>
    <mergeCell ref="J54:K54"/>
    <mergeCell ref="L54:M54"/>
    <mergeCell ref="Q54:S54"/>
    <mergeCell ref="J55:K55"/>
    <mergeCell ref="L55:M55"/>
    <mergeCell ref="J57:K57"/>
    <mergeCell ref="L57:M57"/>
    <mergeCell ref="J59:K59"/>
    <mergeCell ref="L59:M59"/>
    <mergeCell ref="J61:K61"/>
    <mergeCell ref="L61:M61"/>
    <mergeCell ref="J63:K63"/>
    <mergeCell ref="L63:M63"/>
    <mergeCell ref="J65:K65"/>
    <mergeCell ref="L65:M65"/>
    <mergeCell ref="J66:M66"/>
    <mergeCell ref="H67:O67"/>
    <mergeCell ref="H68:O68"/>
    <mergeCell ref="J69:K69"/>
    <mergeCell ref="L69:M69"/>
    <mergeCell ref="J71:M71"/>
    <mergeCell ref="J72:M72"/>
    <mergeCell ref="A74:B76"/>
    <mergeCell ref="C74:F74"/>
    <mergeCell ref="I74:N74"/>
    <mergeCell ref="P74:Q76"/>
    <mergeCell ref="R74:U74"/>
    <mergeCell ref="D75:F75"/>
    <mergeCell ref="H75:O75"/>
    <mergeCell ref="S75:U75"/>
    <mergeCell ref="C76:F76"/>
    <mergeCell ref="H76:O76"/>
    <mergeCell ref="R76:U76"/>
    <mergeCell ref="C77:G77"/>
    <mergeCell ref="J77:M77"/>
    <mergeCell ref="R77:V77"/>
    <mergeCell ref="B78:D78"/>
    <mergeCell ref="J78:K78"/>
    <mergeCell ref="L78:M78"/>
    <mergeCell ref="Q78:S78"/>
    <mergeCell ref="J79:K79"/>
    <mergeCell ref="L79:M79"/>
    <mergeCell ref="J81:K81"/>
    <mergeCell ref="L81:M81"/>
    <mergeCell ref="J83:K83"/>
    <mergeCell ref="L83:M83"/>
    <mergeCell ref="J85:K85"/>
    <mergeCell ref="L85:M85"/>
    <mergeCell ref="J87:K87"/>
    <mergeCell ref="L87:M87"/>
    <mergeCell ref="J89:K89"/>
    <mergeCell ref="L89:M89"/>
    <mergeCell ref="J90:M90"/>
    <mergeCell ref="H91:O91"/>
    <mergeCell ref="H92:O92"/>
    <mergeCell ref="J93:K93"/>
    <mergeCell ref="L93:M93"/>
    <mergeCell ref="J95:M95"/>
    <mergeCell ref="J96:M96"/>
  </mergeCells>
  <dataValidations count="1">
    <dataValidation allowBlank="true" errorStyle="stop" operator="between" showDropDown="false" showErrorMessage="true" showInputMessage="true" sqref="Y2" type="list">
      <formula1>"1,2,3,4,5,6,7"</formula1>
      <formula2>0</formula2>
    </dataValidation>
  </dataValidations>
  <printOptions headings="false" gridLines="false" gridLinesSet="true" horizontalCentered="true" verticalCentered="true"/>
  <pageMargins left="0.236111111111111" right="0.354166666666667" top="0.157638888888889" bottom="0.157638888888889"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48" man="true" max="16383" min="0"/>
  </rowBreaks>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R19" activeCellId="0" sqref="R19"/>
    </sheetView>
  </sheetViews>
  <sheetFormatPr defaultColWidth="14.4296875" defaultRowHeight="15" customHeight="true" zeroHeight="false" outlineLevelRow="0" outlineLevelCol="0"/>
  <cols>
    <col collapsed="false" customWidth="true" hidden="false" outlineLevel="0" max="1" min="1" style="179" width="4.28"/>
    <col collapsed="false" customWidth="true" hidden="false" outlineLevel="0" max="6" min="2" style="179" width="6.28"/>
    <col collapsed="false" customWidth="true" hidden="false" outlineLevel="0" max="7" min="7" style="179" width="0.14"/>
    <col collapsed="false" customWidth="true" hidden="false" outlineLevel="0" max="9" min="8" style="179" width="2.43"/>
    <col collapsed="false" customWidth="true" hidden="false" outlineLevel="0" max="13" min="10" style="179" width="3.71"/>
    <col collapsed="false" customWidth="true" hidden="false" outlineLevel="0" max="15" min="14" style="179" width="2.43"/>
    <col collapsed="false" customWidth="true" hidden="false" outlineLevel="0" max="16" min="16" style="179" width="4.28"/>
    <col collapsed="false" customWidth="true" hidden="false" outlineLevel="0" max="21" min="17" style="179" width="6.28"/>
    <col collapsed="false" customWidth="true" hidden="false" outlineLevel="0" max="22" min="22" style="179" width="0.14"/>
    <col collapsed="false" customWidth="true" hidden="false" outlineLevel="0" max="23" min="23" style="179" width="8.86"/>
    <col collapsed="false" customWidth="true" hidden="false" outlineLevel="0" max="24" min="24" style="179" width="13.72"/>
    <col collapsed="false" customWidth="true" hidden="false" outlineLevel="0" max="25" min="25" style="179" width="4.57"/>
    <col collapsed="false" customWidth="true" hidden="true" outlineLevel="0" max="27" min="26" style="179" width="7.71"/>
    <col collapsed="false" customWidth="true" hidden="true" outlineLevel="0" max="29" min="28" style="179" width="10.43"/>
    <col collapsed="false" customWidth="true" hidden="true" outlineLevel="0" max="30" min="30" style="179" width="8.71"/>
    <col collapsed="false" customWidth="true" hidden="true" outlineLevel="0" max="31" min="31" style="179" width="7"/>
    <col collapsed="false" customWidth="true" hidden="true" outlineLevel="0" max="32" min="32" style="179" width="7.43"/>
    <col collapsed="false" customWidth="true" hidden="true" outlineLevel="0" max="33" min="33" style="179" width="7"/>
    <col collapsed="false" customWidth="true" hidden="true" outlineLevel="0" max="34" min="34" style="179" width="7.43"/>
    <col collapsed="false" customWidth="true" hidden="true" outlineLevel="0" max="35" min="35" style="179" width="7"/>
    <col collapsed="false" customWidth="false" hidden="false" outlineLevel="0" max="16384" min="36" style="179" width="14.43"/>
  </cols>
  <sheetData>
    <row r="1" customFormat="false" ht="14.25" hidden="false" customHeight="true" outlineLevel="0" collapsed="false">
      <c r="V1" s="233"/>
    </row>
    <row r="2" customFormat="false" ht="15.75" hidden="false" customHeight="true" outlineLevel="0" collapsed="false">
      <c r="A2" s="250"/>
      <c r="B2" s="250"/>
      <c r="C2" s="184" t="str">
        <f aca="false">VLOOKUP(Z2,AA11:AI18,2,FALSE())</f>
        <v>Baan 1</v>
      </c>
      <c r="D2" s="184"/>
      <c r="E2" s="184"/>
      <c r="F2" s="184"/>
      <c r="G2" s="185"/>
      <c r="H2" s="186"/>
      <c r="I2" s="187" t="str">
        <f aca="false">Z2</f>
        <v>Ronde 1</v>
      </c>
      <c r="J2" s="187"/>
      <c r="K2" s="187"/>
      <c r="L2" s="187"/>
      <c r="M2" s="187"/>
      <c r="N2" s="187"/>
      <c r="O2" s="186"/>
      <c r="P2" s="250"/>
      <c r="Q2" s="250"/>
      <c r="R2" s="184" t="str">
        <f aca="false">VLOOKUP(Z2,AA11:AI18,3,FALSE())</f>
        <v>Baan 2</v>
      </c>
      <c r="S2" s="184"/>
      <c r="T2" s="184"/>
      <c r="U2" s="184"/>
      <c r="V2" s="185"/>
      <c r="X2" s="51" t="s">
        <v>152</v>
      </c>
      <c r="Y2" s="188" t="n">
        <v>1</v>
      </c>
      <c r="Z2" s="179" t="str">
        <f aca="false">CONCATENATE("Ronde"," ",Y2)</f>
        <v>Ronde 1</v>
      </c>
      <c r="AA2" s="179" t="s">
        <v>116</v>
      </c>
      <c r="AB2" s="189" t="n">
        <f aca="false">VLOOKUP(AB11,Deelnemers!A:D,2,FALSE())</f>
        <v>0</v>
      </c>
      <c r="AC2" s="189" t="n">
        <f aca="false">VLOOKUP(AC11,Deelnemers!A:D,2,FALSE())</f>
        <v>0</v>
      </c>
      <c r="AD2" s="190" t="n">
        <f aca="false">IF(AD11="","",VLOOKUP(AD11,Deelnemers!A:D,2,FALSE()))</f>
        <v>0</v>
      </c>
      <c r="AE2" s="190" t="n">
        <f aca="false">IF(AE11="","",VLOOKUP(AE11,Deelnemers!A:D,2,FALSE()))</f>
        <v>0</v>
      </c>
      <c r="AF2" s="191" t="n">
        <f aca="false">IF(AF11="","",VLOOKUP(AF11,Deelnemers!A:D,2,FALSE()))</f>
        <v>0</v>
      </c>
      <c r="AG2" s="191" t="n">
        <f aca="false">IF(AG11="","",VLOOKUP(AG11,Deelnemers!A:D,2,FALSE()))</f>
        <v>0</v>
      </c>
      <c r="AH2" s="192" t="n">
        <f aca="false">IF(AH11="","",VLOOKUP(AH11,Deelnemers!A:D,2,FALSE()))</f>
        <v>0</v>
      </c>
      <c r="AI2" s="192" t="n">
        <f aca="false">IF(AI11="","",VLOOKUP(AI11,Deelnemers!A:D,2,FALSE()))</f>
        <v>0</v>
      </c>
    </row>
    <row r="3" customFormat="false" ht="15.75" hidden="false" customHeight="true" outlineLevel="0" collapsed="false">
      <c r="A3" s="250"/>
      <c r="B3" s="250"/>
      <c r="C3" s="193" t="s">
        <v>153</v>
      </c>
      <c r="D3" s="251" t="str">
        <f aca="false">Deelnemers!$B$4</f>
        <v>2026-04-11</v>
      </c>
      <c r="E3" s="251"/>
      <c r="F3" s="251"/>
      <c r="G3" s="185"/>
      <c r="H3" s="195" t="s">
        <v>154</v>
      </c>
      <c r="I3" s="195"/>
      <c r="J3" s="195"/>
      <c r="K3" s="195"/>
      <c r="L3" s="195"/>
      <c r="M3" s="195"/>
      <c r="N3" s="195"/>
      <c r="O3" s="195"/>
      <c r="P3" s="250"/>
      <c r="Q3" s="250"/>
      <c r="R3" s="193" t="s">
        <v>153</v>
      </c>
      <c r="S3" s="251" t="str">
        <f aca="false">Deelnemers!$B$4</f>
        <v>2026-04-11</v>
      </c>
      <c r="T3" s="251"/>
      <c r="U3" s="251"/>
      <c r="V3" s="185"/>
      <c r="AA3" s="179" t="s">
        <v>127</v>
      </c>
      <c r="AB3" s="189" t="n">
        <f aca="false">VLOOKUP(AB12,Deelnemers!A:D,2,FALSE())</f>
        <v>0</v>
      </c>
      <c r="AC3" s="189" t="n">
        <f aca="false">VLOOKUP(AC12,Deelnemers!A:D,2,FALSE())</f>
        <v>0</v>
      </c>
      <c r="AD3" s="190" t="n">
        <f aca="false">IF(AD12="","",VLOOKUP(AD12,Deelnemers!A:D,2,FALSE()))</f>
        <v>0</v>
      </c>
      <c r="AE3" s="190" t="n">
        <f aca="false">IF(AE12="","",VLOOKUP(AE12,Deelnemers!A:D,2,FALSE()))</f>
        <v>0</v>
      </c>
      <c r="AF3" s="191" t="n">
        <f aca="false">IF(AF12="","",VLOOKUP(AF12,Deelnemers!A:D,2,FALSE()))</f>
        <v>0</v>
      </c>
      <c r="AG3" s="191" t="n">
        <f aca="false">IF(AG12="","",VLOOKUP(AG12,Deelnemers!A:D,2,FALSE()))</f>
        <v>0</v>
      </c>
      <c r="AH3" s="192" t="n">
        <f aca="false">IF(AH12="","",VLOOKUP(AH12,Deelnemers!A:D,2,FALSE()))</f>
        <v>0</v>
      </c>
      <c r="AI3" s="192" t="n">
        <f aca="false">IF(AI12="","",VLOOKUP(AI12,Deelnemers!A:D,2,FALSE()))</f>
        <v>0</v>
      </c>
    </row>
    <row r="4" customFormat="false" ht="15.75" hidden="false" customHeight="true" outlineLevel="0" collapsed="false">
      <c r="A4" s="250"/>
      <c r="B4" s="250"/>
      <c r="C4" s="196" t="s">
        <v>167</v>
      </c>
      <c r="D4" s="196"/>
      <c r="E4" s="196"/>
      <c r="F4" s="196"/>
      <c r="G4" s="197"/>
      <c r="H4" s="198" t="s">
        <v>155</v>
      </c>
      <c r="I4" s="198"/>
      <c r="J4" s="198"/>
      <c r="K4" s="198"/>
      <c r="L4" s="198"/>
      <c r="M4" s="198"/>
      <c r="N4" s="198"/>
      <c r="O4" s="198"/>
      <c r="P4" s="250"/>
      <c r="Q4" s="250"/>
      <c r="R4" s="196" t="s">
        <v>167</v>
      </c>
      <c r="S4" s="196"/>
      <c r="T4" s="196"/>
      <c r="U4" s="196"/>
      <c r="V4" s="197"/>
      <c r="AA4" s="179" t="s">
        <v>129</v>
      </c>
      <c r="AB4" s="189" t="n">
        <f aca="false">VLOOKUP(AB13,Deelnemers!A:D,2,FALSE())</f>
        <v>0</v>
      </c>
      <c r="AC4" s="189" t="n">
        <f aca="false">VLOOKUP(AC13,Deelnemers!A:D,2,FALSE())</f>
        <v>0</v>
      </c>
      <c r="AD4" s="190" t="n">
        <f aca="false">IF(AD13="","",VLOOKUP(AD13,Deelnemers!A:D,2,FALSE()))</f>
        <v>0</v>
      </c>
      <c r="AE4" s="190" t="n">
        <f aca="false">IF(AE13="","",VLOOKUP(AE13,Deelnemers!A:D,2,FALSE()))</f>
        <v>0</v>
      </c>
      <c r="AF4" s="191" t="n">
        <f aca="false">IF(AF13="","",VLOOKUP(AF13,Deelnemers!A:D,2,FALSE()))</f>
        <v>0</v>
      </c>
      <c r="AG4" s="191" t="n">
        <f aca="false">IF(AG13="","",VLOOKUP(AG13,Deelnemers!A:D,2,FALSE()))</f>
        <v>0</v>
      </c>
      <c r="AH4" s="192" t="n">
        <f aca="false">IF(AH13="","",VLOOKUP(AH13,Deelnemers!A:D,2,FALSE()))</f>
        <v>0</v>
      </c>
      <c r="AI4" s="192" t="n">
        <f aca="false">IF(AI13="","",VLOOKUP(AI13,Deelnemers!A:D,2,FALSE()))</f>
        <v>0</v>
      </c>
    </row>
    <row r="5" customFormat="false" ht="14.25" hidden="false" customHeight="true" outlineLevel="0" collapsed="false">
      <c r="A5" s="199" t="s">
        <v>156</v>
      </c>
      <c r="B5" s="201" t="n">
        <f aca="false">VLOOKUP(Z2,AA2:AI8,2,FALSE())</f>
        <v>0</v>
      </c>
      <c r="C5" s="201"/>
      <c r="D5" s="201"/>
      <c r="E5" s="201"/>
      <c r="F5" s="201"/>
      <c r="G5" s="201"/>
      <c r="J5" s="202" t="s">
        <v>157</v>
      </c>
      <c r="K5" s="202"/>
      <c r="L5" s="202"/>
      <c r="M5" s="202"/>
      <c r="P5" s="199" t="s">
        <v>156</v>
      </c>
      <c r="Q5" s="203" t="n">
        <f aca="false">VLOOKUP(Z2,AA2:AI8,3,FALSE())</f>
        <v>0</v>
      </c>
      <c r="R5" s="203"/>
      <c r="S5" s="203"/>
      <c r="T5" s="203"/>
      <c r="U5" s="203"/>
      <c r="V5" s="203"/>
      <c r="AA5" s="179" t="s">
        <v>134</v>
      </c>
      <c r="AB5" s="189" t="n">
        <f aca="false">VLOOKUP(AB14,Deelnemers!A:D,2,FALSE())</f>
        <v>0</v>
      </c>
      <c r="AC5" s="189" t="n">
        <f aca="false">VLOOKUP(AC14,Deelnemers!A:D,2,FALSE())</f>
        <v>0</v>
      </c>
      <c r="AD5" s="190" t="n">
        <f aca="false">IF(AD14="","",VLOOKUP(AD14,Deelnemers!A:D,2,FALSE()))</f>
        <v>0</v>
      </c>
      <c r="AE5" s="190" t="n">
        <f aca="false">IF(AE14="","",VLOOKUP(AE14,Deelnemers!A:D,2,FALSE()))</f>
        <v>0</v>
      </c>
      <c r="AF5" s="191" t="n">
        <f aca="false">IF(AF14="","",VLOOKUP(AF14,Deelnemers!A:D,2,FALSE()))</f>
        <v>0</v>
      </c>
      <c r="AG5" s="191" t="n">
        <f aca="false">IF(AG14="","",VLOOKUP(AG14,Deelnemers!A:D,2,FALSE()))</f>
        <v>0</v>
      </c>
      <c r="AH5" s="192" t="n">
        <f aca="false">IF(AH14="","",VLOOKUP(AH14,Deelnemers!A:D,2,FALSE()))</f>
        <v>0</v>
      </c>
      <c r="AI5" s="192" t="n">
        <f aca="false">IF(AI14="","",VLOOKUP(AI14,Deelnemers!A:D,2,FALSE()))</f>
        <v>0</v>
      </c>
    </row>
    <row r="6" customFormat="false" ht="14.25" hidden="false" customHeight="true" outlineLevel="0" collapsed="false">
      <c r="A6" s="199" t="s">
        <v>158</v>
      </c>
      <c r="B6" s="252" t="e">
        <f aca="false">IF(B5="","",VLOOKUP(B5,Deelnemers!B8:C46,2,FALSE()))</f>
        <v>#N/A</v>
      </c>
      <c r="C6" s="252"/>
      <c r="D6" s="252"/>
      <c r="E6" s="205" t="s">
        <v>159</v>
      </c>
      <c r="F6" s="205" t="s">
        <v>160</v>
      </c>
      <c r="G6" s="206"/>
      <c r="J6" s="207" t="s">
        <v>161</v>
      </c>
      <c r="K6" s="207"/>
      <c r="L6" s="208" t="s">
        <v>161</v>
      </c>
      <c r="M6" s="208"/>
      <c r="P6" s="199" t="s">
        <v>158</v>
      </c>
      <c r="Q6" s="252" t="e">
        <f aca="false">IF(Q5="","",VLOOKUP(Q5,Deelnemers!B8:C46,2,FALSE()))</f>
        <v>#N/A</v>
      </c>
      <c r="R6" s="252"/>
      <c r="S6" s="252"/>
      <c r="T6" s="209" t="s">
        <v>159</v>
      </c>
      <c r="U6" s="209" t="s">
        <v>160</v>
      </c>
      <c r="V6" s="206"/>
      <c r="AA6" s="179" t="s">
        <v>135</v>
      </c>
      <c r="AB6" s="189" t="n">
        <f aca="false">IF(AB15="","",VLOOKUP(AB15,Deelnemers!A:D,2,FALSE()))</f>
        <v>0</v>
      </c>
      <c r="AC6" s="189" t="n">
        <f aca="false">IF(AC15="","",VLOOKUP(AC15,Deelnemers!A:D,2,FALSE()))</f>
        <v>0</v>
      </c>
      <c r="AD6" s="190" t="n">
        <f aca="false">IF(AD15="","",VLOOKUP(AD15,Deelnemers!A:D,2,FALSE()))</f>
        <v>0</v>
      </c>
      <c r="AE6" s="190" t="n">
        <f aca="false">IF(AE15="","",VLOOKUP(AE15,Deelnemers!A:D,2,FALSE()))</f>
        <v>0</v>
      </c>
      <c r="AF6" s="191" t="n">
        <f aca="false">IF(AF15="","",VLOOKUP(AF15,Deelnemers!A:D,2,FALSE()))</f>
        <v>0</v>
      </c>
      <c r="AG6" s="191" t="n">
        <f aca="false">IF(AG15="","",VLOOKUP(AG15,Deelnemers!A:D,2,FALSE()))</f>
        <v>0</v>
      </c>
      <c r="AH6" s="192" t="n">
        <f aca="false">IF(AH15="","",VLOOKUP(AH15,Deelnemers!A:D,2,FALSE()))</f>
        <v>0</v>
      </c>
      <c r="AI6" s="192" t="n">
        <f aca="false">IF(AI15="","",VLOOKUP(AI15,Deelnemers!A:D,2,FALSE()))</f>
        <v>0</v>
      </c>
    </row>
    <row r="7" customFormat="false" ht="19.5" hidden="false" customHeight="true" outlineLevel="0" collapsed="false">
      <c r="A7" s="210" t="n">
        <v>1</v>
      </c>
      <c r="B7" s="206"/>
      <c r="C7" s="206"/>
      <c r="D7" s="253"/>
      <c r="E7" s="211"/>
      <c r="F7" s="211"/>
      <c r="G7" s="213"/>
      <c r="J7" s="214"/>
      <c r="K7" s="214"/>
      <c r="L7" s="215"/>
      <c r="M7" s="215"/>
      <c r="P7" s="210" t="n">
        <v>1</v>
      </c>
      <c r="Q7" s="206"/>
      <c r="R7" s="206"/>
      <c r="S7" s="206"/>
      <c r="T7" s="211"/>
      <c r="U7" s="211"/>
      <c r="V7" s="206"/>
      <c r="AA7" s="179" t="s">
        <v>136</v>
      </c>
      <c r="AB7" s="189" t="n">
        <f aca="false">IF(AB16="","",VLOOKUP(AB16,Deelnemers!A:D,2,FALSE()))</f>
        <v>0</v>
      </c>
      <c r="AC7" s="189" t="n">
        <f aca="false">IF(AC16="","",VLOOKUP(AC16,Deelnemers!A:D,2,FALSE()))</f>
        <v>0</v>
      </c>
      <c r="AD7" s="190" t="n">
        <f aca="false">IF(AD16="","",VLOOKUP(AD16,Deelnemers!A:D,2,FALSE()))</f>
        <v>0</v>
      </c>
      <c r="AE7" s="190" t="n">
        <f aca="false">IF(AE16="","",VLOOKUP(AE16,Deelnemers!A:D,2,FALSE()))</f>
        <v>0</v>
      </c>
      <c r="AF7" s="191" t="n">
        <f aca="false">IF(AF16="","",VLOOKUP(AF16,Deelnemers!A:D,2,FALSE()))</f>
        <v>0</v>
      </c>
      <c r="AG7" s="191" t="n">
        <f aca="false">IF(AG16="","",VLOOKUP(AG16,Deelnemers!A:D,2,FALSE()))</f>
        <v>0</v>
      </c>
      <c r="AH7" s="192" t="n">
        <f aca="false">IF(AH16="","",VLOOKUP(AH16,Deelnemers!A:D,2,FALSE()))</f>
        <v>0</v>
      </c>
      <c r="AI7" s="192" t="n">
        <f aca="false">IF(AI16="","",VLOOKUP(AI16,Deelnemers!A:D,2,FALSE()))</f>
        <v>0</v>
      </c>
    </row>
    <row r="8" customFormat="false" ht="19.5" hidden="false" customHeight="true" outlineLevel="0" collapsed="false">
      <c r="A8" s="210" t="n">
        <v>2</v>
      </c>
      <c r="B8" s="206"/>
      <c r="C8" s="206"/>
      <c r="D8" s="253"/>
      <c r="E8" s="220"/>
      <c r="F8" s="220"/>
      <c r="G8" s="213"/>
      <c r="J8" s="214"/>
      <c r="K8" s="214"/>
      <c r="L8" s="215"/>
      <c r="M8" s="215"/>
      <c r="P8" s="210" t="n">
        <v>2</v>
      </c>
      <c r="Q8" s="206"/>
      <c r="R8" s="206"/>
      <c r="S8" s="206"/>
      <c r="T8" s="220"/>
      <c r="U8" s="220"/>
      <c r="V8" s="206"/>
      <c r="AA8" s="179" t="s">
        <v>137</v>
      </c>
      <c r="AB8" s="189" t="n">
        <f aca="false">IF(AB17="","",VLOOKUP(AB17,Deelnemers!A:D,2,FALSE()))</f>
        <v>0</v>
      </c>
      <c r="AC8" s="189" t="n">
        <f aca="false">IF(AC17="","",VLOOKUP(AC17,Deelnemers!A:D,2,FALSE()))</f>
        <v>0</v>
      </c>
      <c r="AD8" s="190" t="n">
        <f aca="false">IF(AD17="","",VLOOKUP(AD17,Deelnemers!A:D,2,FALSE()))</f>
        <v>0</v>
      </c>
      <c r="AE8" s="190" t="n">
        <f aca="false">IF(AE17="","",VLOOKUP(AE17,Deelnemers!A:D,2,FALSE()))</f>
        <v>0</v>
      </c>
      <c r="AF8" s="191" t="n">
        <f aca="false">IF(AF17="","",VLOOKUP(AF17,Deelnemers!A:D,2,FALSE()))</f>
        <v>0</v>
      </c>
      <c r="AG8" s="191" t="n">
        <f aca="false">IF(AG17="","",VLOOKUP(AG17,Deelnemers!A:D,2,FALSE()))</f>
        <v>0</v>
      </c>
      <c r="AH8" s="192" t="n">
        <f aca="false">IF(AH17="","",VLOOKUP(AH17,Deelnemers!A:D,2,FALSE()))</f>
        <v>0</v>
      </c>
      <c r="AI8" s="192" t="n">
        <f aca="false">IF(AI17="","",VLOOKUP(AI17,Deelnemers!A:D,2,FALSE()))</f>
        <v>0</v>
      </c>
    </row>
    <row r="9" customFormat="false" ht="19.5" hidden="false" customHeight="true" outlineLevel="0" collapsed="false">
      <c r="A9" s="210" t="n">
        <v>3</v>
      </c>
      <c r="B9" s="206"/>
      <c r="C9" s="206"/>
      <c r="D9" s="253"/>
      <c r="E9" s="220"/>
      <c r="F9" s="220"/>
      <c r="G9" s="213"/>
      <c r="J9" s="214"/>
      <c r="K9" s="214"/>
      <c r="L9" s="215"/>
      <c r="M9" s="215"/>
      <c r="P9" s="210" t="n">
        <v>3</v>
      </c>
      <c r="Q9" s="206"/>
      <c r="R9" s="206"/>
      <c r="S9" s="206"/>
      <c r="T9" s="220"/>
      <c r="U9" s="220"/>
      <c r="V9" s="206"/>
    </row>
    <row r="10" customFormat="false" ht="19.5" hidden="false" customHeight="true" outlineLevel="0" collapsed="false">
      <c r="A10" s="210" t="n">
        <v>4</v>
      </c>
      <c r="B10" s="206"/>
      <c r="C10" s="206"/>
      <c r="D10" s="253"/>
      <c r="E10" s="220"/>
      <c r="F10" s="220"/>
      <c r="G10" s="213"/>
      <c r="J10" s="214"/>
      <c r="K10" s="214"/>
      <c r="L10" s="215"/>
      <c r="M10" s="215"/>
      <c r="P10" s="210" t="n">
        <v>4</v>
      </c>
      <c r="Q10" s="206"/>
      <c r="R10" s="206"/>
      <c r="S10" s="206"/>
      <c r="T10" s="220"/>
      <c r="U10" s="220"/>
      <c r="V10" s="206"/>
    </row>
    <row r="11" customFormat="false" ht="19.5" hidden="false" customHeight="true" outlineLevel="0" collapsed="false">
      <c r="A11" s="210" t="n">
        <v>5</v>
      </c>
      <c r="B11" s="206"/>
      <c r="C11" s="206"/>
      <c r="D11" s="253"/>
      <c r="E11" s="223"/>
      <c r="F11" s="223"/>
      <c r="G11" s="213"/>
      <c r="J11" s="214"/>
      <c r="K11" s="214"/>
      <c r="L11" s="215"/>
      <c r="M11" s="215"/>
      <c r="P11" s="210" t="n">
        <v>5</v>
      </c>
      <c r="Q11" s="206"/>
      <c r="R11" s="206"/>
      <c r="S11" s="206"/>
      <c r="T11" s="223"/>
      <c r="U11" s="223"/>
      <c r="V11" s="206"/>
      <c r="AA11" s="179" t="s">
        <v>116</v>
      </c>
      <c r="AB11" s="189" t="str">
        <f aca="false">Wedstrijdschema!L3</f>
        <v>Baan 1</v>
      </c>
      <c r="AC11" s="189" t="str">
        <f aca="false">Wedstrijdschema!M3</f>
        <v>Baan 2</v>
      </c>
      <c r="AD11" s="190" t="str">
        <f aca="false">Wedstrijdschema!N3</f>
        <v>Baan 3</v>
      </c>
      <c r="AE11" s="190" t="str">
        <f aca="false">Wedstrijdschema!O3</f>
        <v>Baan 4</v>
      </c>
      <c r="AF11" s="191" t="str">
        <f aca="false">Wedstrijdschema!P3</f>
        <v>Baan 5</v>
      </c>
      <c r="AG11" s="191" t="str">
        <f aca="false">Wedstrijdschema!Q3</f>
        <v>Baan 6</v>
      </c>
      <c r="AH11" s="192" t="str">
        <f aca="false">Wedstrijdschema!R3</f>
        <v>Baan 7</v>
      </c>
      <c r="AI11" s="192" t="str">
        <f aca="false">Wedstrijdschema!S3</f>
        <v>Baan 8</v>
      </c>
    </row>
    <row r="12" customFormat="false" ht="19.5" hidden="false" customHeight="true" outlineLevel="0" collapsed="false">
      <c r="A12" s="224"/>
      <c r="B12" s="185"/>
      <c r="C12" s="185"/>
      <c r="D12" s="225" t="s">
        <v>160</v>
      </c>
      <c r="E12" s="226"/>
      <c r="F12" s="227"/>
      <c r="G12" s="185"/>
      <c r="J12" s="228"/>
      <c r="K12" s="228"/>
      <c r="L12" s="229"/>
      <c r="M12" s="229"/>
      <c r="P12" s="224"/>
      <c r="Q12" s="185"/>
      <c r="R12" s="185"/>
      <c r="S12" s="225" t="s">
        <v>160</v>
      </c>
      <c r="T12" s="226"/>
      <c r="U12" s="227"/>
      <c r="V12" s="230"/>
      <c r="AA12" s="179" t="s">
        <v>127</v>
      </c>
      <c r="AB12" s="189" t="str">
        <f aca="false">Wedstrijdschema!L4</f>
        <v>Baan 1</v>
      </c>
      <c r="AC12" s="189" t="str">
        <f aca="false">Wedstrijdschema!M4</f>
        <v>Baan 3</v>
      </c>
      <c r="AD12" s="190" t="str">
        <f aca="false">Wedstrijdschema!N4</f>
        <v>Baan 2</v>
      </c>
      <c r="AE12" s="190" t="str">
        <f aca="false">Wedstrijdschema!O4</f>
        <v>Baan 5</v>
      </c>
      <c r="AF12" s="191" t="str">
        <f aca="false">Wedstrijdschema!P4</f>
        <v>Baan 4</v>
      </c>
      <c r="AG12" s="191" t="str">
        <f aca="false">Wedstrijdschema!Q4</f>
        <v>Baan 7</v>
      </c>
      <c r="AH12" s="192" t="str">
        <f aca="false">Wedstrijdschema!R4</f>
        <v>Baan 6</v>
      </c>
      <c r="AI12" s="192" t="str">
        <f aca="false">Wedstrijdschema!S4</f>
        <v>Baan 8</v>
      </c>
    </row>
    <row r="13" customFormat="false" ht="14.25" hidden="false" customHeight="true" outlineLevel="0" collapsed="false">
      <c r="A13" s="231" t="s">
        <v>162</v>
      </c>
      <c r="B13" s="186"/>
      <c r="C13" s="186"/>
      <c r="D13" s="186"/>
      <c r="E13" s="186"/>
      <c r="G13" s="185"/>
      <c r="J13" s="202"/>
      <c r="K13" s="202"/>
      <c r="L13" s="202"/>
      <c r="M13" s="202"/>
      <c r="P13" s="231" t="s">
        <v>162</v>
      </c>
      <c r="Q13" s="186"/>
      <c r="R13" s="186"/>
      <c r="S13" s="186"/>
      <c r="T13" s="186"/>
      <c r="U13" s="186"/>
      <c r="V13" s="185"/>
      <c r="AA13" s="179" t="s">
        <v>129</v>
      </c>
      <c r="AB13" s="189" t="str">
        <f aca="false">Wedstrijdschema!L5</f>
        <v>Baan 1</v>
      </c>
      <c r="AC13" s="189" t="str">
        <f aca="false">Wedstrijdschema!M5</f>
        <v>Baan 4</v>
      </c>
      <c r="AD13" s="190" t="str">
        <f aca="false">Wedstrijdschema!N5</f>
        <v>Baan 2</v>
      </c>
      <c r="AE13" s="190" t="str">
        <f aca="false">Wedstrijdschema!O5</f>
        <v>Baan 6</v>
      </c>
      <c r="AF13" s="191" t="str">
        <f aca="false">Wedstrijdschema!P5</f>
        <v>Baan 3</v>
      </c>
      <c r="AG13" s="191" t="str">
        <f aca="false">Wedstrijdschema!Q5</f>
        <v>Baan 8</v>
      </c>
      <c r="AH13" s="192" t="str">
        <f aca="false">Wedstrijdschema!R5</f>
        <v>Baan 5</v>
      </c>
      <c r="AI13" s="192" t="str">
        <f aca="false">Wedstrijdschema!S5</f>
        <v>Baan 7</v>
      </c>
    </row>
    <row r="14" customFormat="false" ht="14.25" hidden="false" customHeight="true" outlineLevel="0" collapsed="false">
      <c r="A14" s="232" t="s">
        <v>163</v>
      </c>
      <c r="B14" s="233"/>
      <c r="C14" s="233"/>
      <c r="D14" s="233"/>
      <c r="E14" s="233"/>
      <c r="F14" s="233"/>
      <c r="G14" s="197"/>
      <c r="H14" s="234" t="s">
        <v>164</v>
      </c>
      <c r="I14" s="234"/>
      <c r="J14" s="234"/>
      <c r="K14" s="234"/>
      <c r="L14" s="234"/>
      <c r="M14" s="234"/>
      <c r="N14" s="234"/>
      <c r="O14" s="234"/>
      <c r="P14" s="232" t="s">
        <v>163</v>
      </c>
      <c r="Q14" s="233"/>
      <c r="R14" s="233"/>
      <c r="S14" s="233"/>
      <c r="T14" s="233"/>
      <c r="U14" s="233"/>
      <c r="V14" s="197"/>
      <c r="AA14" s="179" t="s">
        <v>134</v>
      </c>
      <c r="AB14" s="189" t="str">
        <f aca="false">Wedstrijdschema!L6</f>
        <v>Baan 1</v>
      </c>
      <c r="AC14" s="189" t="str">
        <f aca="false">Wedstrijdschema!M6</f>
        <v>Baan 5</v>
      </c>
      <c r="AD14" s="190" t="str">
        <f aca="false">Wedstrijdschema!N6</f>
        <v>Baan 2</v>
      </c>
      <c r="AE14" s="190" t="str">
        <f aca="false">Wedstrijdschema!O6</f>
        <v>Baan 8</v>
      </c>
      <c r="AF14" s="191" t="str">
        <f aca="false">Wedstrijdschema!P6</f>
        <v>Baan 3</v>
      </c>
      <c r="AG14" s="191" t="str">
        <f aca="false">Wedstrijdschema!Q6</f>
        <v>Baan 7</v>
      </c>
      <c r="AH14" s="192" t="str">
        <f aca="false">Wedstrijdschema!R6</f>
        <v>Baan 4</v>
      </c>
      <c r="AI14" s="192" t="str">
        <f aca="false">Wedstrijdschema!S6</f>
        <v>Baan 6</v>
      </c>
    </row>
    <row r="15" customFormat="false" ht="14.25" hidden="false" customHeight="true" outlineLevel="0" collapsed="false">
      <c r="A15" s="235" t="s">
        <v>165</v>
      </c>
      <c r="G15" s="236"/>
      <c r="H15" s="237" t="s">
        <v>155</v>
      </c>
      <c r="I15" s="237"/>
      <c r="J15" s="237"/>
      <c r="K15" s="237"/>
      <c r="L15" s="237"/>
      <c r="M15" s="237"/>
      <c r="N15" s="237"/>
      <c r="O15" s="237"/>
      <c r="P15" s="235" t="s">
        <v>165</v>
      </c>
      <c r="V15" s="236"/>
      <c r="AA15" s="179" t="s">
        <v>135</v>
      </c>
      <c r="AB15" s="189" t="str">
        <f aca="false">Wedstrijdschema!L7</f>
        <v>Baan 1</v>
      </c>
      <c r="AC15" s="189" t="str">
        <f aca="false">Wedstrijdschema!M7</f>
        <v>Baan 6</v>
      </c>
      <c r="AD15" s="190" t="str">
        <f aca="false">Wedstrijdschema!N7</f>
        <v>Baan 2</v>
      </c>
      <c r="AE15" s="190" t="str">
        <f aca="false">Wedstrijdschema!O7</f>
        <v>Baan 7</v>
      </c>
      <c r="AF15" s="191" t="str">
        <f aca="false">Wedstrijdschema!P7</f>
        <v>Baan 3</v>
      </c>
      <c r="AG15" s="191" t="str">
        <f aca="false">Wedstrijdschema!Q7</f>
        <v>Baan 5</v>
      </c>
      <c r="AH15" s="192" t="str">
        <f aca="false">Wedstrijdschema!R7</f>
        <v>Baan 4</v>
      </c>
      <c r="AI15" s="192" t="str">
        <f aca="false">Wedstrijdschema!S7</f>
        <v>Baan 8</v>
      </c>
    </row>
    <row r="16" customFormat="false" ht="19.5" hidden="false" customHeight="true" outlineLevel="0" collapsed="false">
      <c r="A16" s="232" t="s">
        <v>163</v>
      </c>
      <c r="B16" s="233"/>
      <c r="C16" s="233"/>
      <c r="D16" s="233"/>
      <c r="E16" s="233"/>
      <c r="F16" s="233"/>
      <c r="G16" s="197"/>
      <c r="I16" s="238"/>
      <c r="J16" s="239"/>
      <c r="K16" s="239"/>
      <c r="L16" s="240"/>
      <c r="M16" s="240"/>
      <c r="N16" s="238"/>
      <c r="P16" s="232" t="s">
        <v>163</v>
      </c>
      <c r="Q16" s="233"/>
      <c r="R16" s="233"/>
      <c r="S16" s="233"/>
      <c r="T16" s="233"/>
      <c r="U16" s="233"/>
      <c r="V16" s="197"/>
      <c r="AA16" s="179" t="s">
        <v>136</v>
      </c>
      <c r="AB16" s="189" t="str">
        <f aca="false">Wedstrijdschema!L8</f>
        <v>Baan 1</v>
      </c>
      <c r="AC16" s="189" t="str">
        <f aca="false">Wedstrijdschema!M8</f>
        <v>Baan 7</v>
      </c>
      <c r="AD16" s="190" t="str">
        <f aca="false">Wedstrijdschema!N8</f>
        <v>Baan 2</v>
      </c>
      <c r="AE16" s="190" t="str">
        <f aca="false">Wedstrijdschema!O8</f>
        <v>Baan 4</v>
      </c>
      <c r="AF16" s="191" t="str">
        <f aca="false">Wedstrijdschema!P8</f>
        <v>Baan 3</v>
      </c>
      <c r="AG16" s="191" t="str">
        <f aca="false">Wedstrijdschema!Q8</f>
        <v>Baan 6</v>
      </c>
      <c r="AH16" s="192" t="str">
        <f aca="false">Wedstrijdschema!R8</f>
        <v>Baan 5</v>
      </c>
      <c r="AI16" s="192" t="str">
        <f aca="false">Wedstrijdschema!S8</f>
        <v>Baan 8</v>
      </c>
    </row>
    <row r="17" customFormat="false" ht="14.25" hidden="false" customHeight="true" outlineLevel="0" collapsed="false">
      <c r="A17" s="241"/>
      <c r="I17" s="181"/>
      <c r="J17" s="181"/>
      <c r="K17" s="181"/>
      <c r="L17" s="181"/>
      <c r="M17" s="181"/>
      <c r="N17" s="181"/>
      <c r="P17" s="180"/>
      <c r="V17" s="236"/>
      <c r="AA17" s="179" t="s">
        <v>137</v>
      </c>
      <c r="AB17" s="189" t="str">
        <f aca="false">Wedstrijdschema!L9</f>
        <v>Baan 1</v>
      </c>
      <c r="AC17" s="189" t="str">
        <f aca="false">Wedstrijdschema!M9</f>
        <v>Baan 8</v>
      </c>
      <c r="AD17" s="190" t="str">
        <f aca="false">Wedstrijdschema!N9</f>
        <v>Baan 2</v>
      </c>
      <c r="AE17" s="190" t="str">
        <f aca="false">Wedstrijdschema!O9</f>
        <v>Baan 3</v>
      </c>
      <c r="AF17" s="191" t="str">
        <f aca="false">Wedstrijdschema!P9</f>
        <v>Baan 4</v>
      </c>
      <c r="AG17" s="191" t="str">
        <f aca="false">Wedstrijdschema!Q9</f>
        <v>Baan 5</v>
      </c>
      <c r="AH17" s="192" t="str">
        <f aca="false">Wedstrijdschema!R9</f>
        <v>Baan 6</v>
      </c>
      <c r="AI17" s="192" t="str">
        <f aca="false">Wedstrijdschema!S9</f>
        <v>Baan 7</v>
      </c>
    </row>
    <row r="18" customFormat="false" ht="14.25" hidden="false" customHeight="true" outlineLevel="0" collapsed="false">
      <c r="A18" s="241"/>
      <c r="I18" s="181"/>
      <c r="J18" s="202" t="s">
        <v>166</v>
      </c>
      <c r="K18" s="202"/>
      <c r="L18" s="202"/>
      <c r="M18" s="202"/>
      <c r="N18" s="181"/>
      <c r="P18" s="180"/>
      <c r="V18" s="236"/>
    </row>
    <row r="19" customFormat="false" ht="14.25" hidden="false" customHeight="true" outlineLevel="0" collapsed="false">
      <c r="A19" s="232"/>
      <c r="B19" s="233"/>
      <c r="C19" s="233"/>
      <c r="D19" s="233"/>
      <c r="E19" s="233"/>
      <c r="F19" s="233"/>
      <c r="G19" s="233"/>
      <c r="H19" s="233"/>
      <c r="I19" s="242"/>
      <c r="J19" s="242"/>
      <c r="K19" s="242"/>
      <c r="L19" s="242"/>
      <c r="M19" s="242"/>
      <c r="N19" s="242"/>
      <c r="O19" s="233"/>
      <c r="P19" s="243"/>
      <c r="Q19" s="233"/>
      <c r="R19" s="233"/>
      <c r="S19" s="233"/>
      <c r="T19" s="233"/>
      <c r="U19" s="233"/>
      <c r="V19" s="197"/>
    </row>
    <row r="20" customFormat="false" ht="14.25" hidden="false" customHeight="true" outlineLevel="0" collapsed="false">
      <c r="A20" s="244"/>
      <c r="I20" s="181"/>
      <c r="J20" s="181"/>
      <c r="K20" s="245"/>
      <c r="L20" s="245"/>
      <c r="M20" s="245"/>
      <c r="N20" s="181"/>
      <c r="P20" s="180"/>
      <c r="V20" s="186"/>
    </row>
    <row r="21" customFormat="false" ht="14.25" hidden="false" customHeight="true" outlineLevel="0" collapsed="false">
      <c r="A21" s="180"/>
      <c r="I21" s="181"/>
      <c r="J21" s="181"/>
      <c r="K21" s="245"/>
      <c r="L21" s="245"/>
      <c r="M21" s="245"/>
      <c r="N21" s="181"/>
      <c r="P21" s="180"/>
    </row>
    <row r="22" customFormat="false" ht="14.25" hidden="false" customHeight="true" outlineLevel="0" collapsed="false">
      <c r="A22" s="180"/>
      <c r="I22" s="181"/>
      <c r="J22" s="181"/>
      <c r="K22" s="245"/>
      <c r="L22" s="245"/>
      <c r="M22" s="245"/>
      <c r="N22" s="181"/>
      <c r="P22" s="180"/>
    </row>
    <row r="23" customFormat="false" ht="14.25" hidden="false" customHeight="true" outlineLevel="0" collapsed="false">
      <c r="A23" s="180"/>
      <c r="I23" s="181"/>
      <c r="J23" s="181"/>
      <c r="K23" s="245"/>
      <c r="L23" s="245"/>
      <c r="M23" s="245"/>
      <c r="N23" s="181"/>
      <c r="P23" s="180"/>
    </row>
    <row r="24" customFormat="false" ht="14.25" hidden="false" customHeight="true" outlineLevel="0" collapsed="false">
      <c r="A24" s="180"/>
      <c r="I24" s="181"/>
      <c r="J24" s="181"/>
      <c r="K24" s="245"/>
      <c r="L24" s="245"/>
      <c r="M24" s="245"/>
      <c r="N24" s="181"/>
      <c r="P24" s="180"/>
    </row>
    <row r="25" customFormat="false" ht="14.25" hidden="false" customHeight="true" outlineLevel="0" collapsed="false">
      <c r="A25" s="233"/>
      <c r="V25" s="233"/>
    </row>
    <row r="26" customFormat="false" ht="15.75" hidden="false" customHeight="true" outlineLevel="0" collapsed="false">
      <c r="A26" s="250"/>
      <c r="B26" s="250"/>
      <c r="C26" s="246" t="str">
        <f aca="false">VLOOKUP(Z2,AA11:AI18,4,FALSE())</f>
        <v>Baan 3</v>
      </c>
      <c r="D26" s="246"/>
      <c r="E26" s="246"/>
      <c r="F26" s="246"/>
      <c r="G26" s="185"/>
      <c r="H26" s="186"/>
      <c r="I26" s="187" t="str">
        <f aca="false">Z2</f>
        <v>Ronde 1</v>
      </c>
      <c r="J26" s="187"/>
      <c r="K26" s="187"/>
      <c r="L26" s="187"/>
      <c r="M26" s="187"/>
      <c r="N26" s="187"/>
      <c r="O26" s="186"/>
      <c r="P26" s="250"/>
      <c r="Q26" s="250"/>
      <c r="R26" s="246" t="str">
        <f aca="false">VLOOKUP(Z2,AA11:AI18,5,FALSE())</f>
        <v>Baan 4</v>
      </c>
      <c r="S26" s="246"/>
      <c r="T26" s="246"/>
      <c r="U26" s="246"/>
      <c r="V26" s="185"/>
    </row>
    <row r="27" customFormat="false" ht="15.75" hidden="false" customHeight="true" outlineLevel="0" collapsed="false">
      <c r="A27" s="250"/>
      <c r="B27" s="250"/>
      <c r="C27" s="193" t="s">
        <v>153</v>
      </c>
      <c r="D27" s="251" t="str">
        <f aca="false">Deelnemers!$B$4</f>
        <v>2026-04-11</v>
      </c>
      <c r="E27" s="251"/>
      <c r="F27" s="251"/>
      <c r="G27" s="185"/>
      <c r="H27" s="195" t="s">
        <v>154</v>
      </c>
      <c r="I27" s="195"/>
      <c r="J27" s="195"/>
      <c r="K27" s="195"/>
      <c r="L27" s="195"/>
      <c r="M27" s="195"/>
      <c r="N27" s="195"/>
      <c r="O27" s="195"/>
      <c r="P27" s="250"/>
      <c r="Q27" s="250"/>
      <c r="R27" s="193" t="s">
        <v>153</v>
      </c>
      <c r="S27" s="251" t="str">
        <f aca="false">Deelnemers!$B$4</f>
        <v>2026-04-11</v>
      </c>
      <c r="T27" s="251"/>
      <c r="U27" s="251"/>
      <c r="V27" s="185"/>
    </row>
    <row r="28" customFormat="false" ht="15.75" hidden="false" customHeight="true" outlineLevel="0" collapsed="false">
      <c r="A28" s="250"/>
      <c r="B28" s="250"/>
      <c r="C28" s="196" t="str">
        <f aca="false">Deelnemers!$B$3</f>
        <v>Willem Tell 1921, Kerkrade</v>
      </c>
      <c r="D28" s="196"/>
      <c r="E28" s="196"/>
      <c r="F28" s="196"/>
      <c r="G28" s="197"/>
      <c r="H28" s="198" t="s">
        <v>155</v>
      </c>
      <c r="I28" s="198"/>
      <c r="J28" s="198"/>
      <c r="K28" s="198"/>
      <c r="L28" s="198"/>
      <c r="M28" s="198"/>
      <c r="N28" s="198"/>
      <c r="O28" s="198"/>
      <c r="P28" s="250"/>
      <c r="Q28" s="250"/>
      <c r="R28" s="196" t="str">
        <f aca="false">Deelnemers!$B$3</f>
        <v>Willem Tell 1921, Kerkrade</v>
      </c>
      <c r="S28" s="196"/>
      <c r="T28" s="196"/>
      <c r="U28" s="196"/>
      <c r="V28" s="197"/>
    </row>
    <row r="29" customFormat="false" ht="14.25" hidden="false" customHeight="true" outlineLevel="0" collapsed="false">
      <c r="A29" s="199" t="s">
        <v>156</v>
      </c>
      <c r="B29" s="201" t="n">
        <f aca="false">VLOOKUP(Z2,AA2:AI8,4,FALSE())</f>
        <v>0</v>
      </c>
      <c r="C29" s="201"/>
      <c r="D29" s="201"/>
      <c r="E29" s="201"/>
      <c r="F29" s="201"/>
      <c r="G29" s="201"/>
      <c r="J29" s="202" t="s">
        <v>157</v>
      </c>
      <c r="K29" s="202"/>
      <c r="L29" s="202"/>
      <c r="M29" s="202"/>
      <c r="P29" s="199" t="s">
        <v>156</v>
      </c>
      <c r="Q29" s="203" t="n">
        <f aca="false">VLOOKUP(Z2,AA2:AI8,5,FALSE())</f>
        <v>0</v>
      </c>
      <c r="R29" s="203"/>
      <c r="S29" s="203"/>
      <c r="T29" s="203"/>
      <c r="U29" s="203"/>
      <c r="V29" s="203"/>
    </row>
    <row r="30" customFormat="false" ht="14.25" hidden="false" customHeight="true" outlineLevel="0" collapsed="false">
      <c r="A30" s="199" t="s">
        <v>158</v>
      </c>
      <c r="B30" s="252" t="e">
        <f aca="false">IF(B29="","",VLOOKUP(B29,Deelnemers!B8:C46,2,FALSE()))</f>
        <v>#N/A</v>
      </c>
      <c r="C30" s="252"/>
      <c r="D30" s="252"/>
      <c r="E30" s="209" t="s">
        <v>159</v>
      </c>
      <c r="F30" s="209" t="s">
        <v>160</v>
      </c>
      <c r="G30" s="206"/>
      <c r="J30" s="207" t="s">
        <v>161</v>
      </c>
      <c r="K30" s="207"/>
      <c r="L30" s="208" t="s">
        <v>161</v>
      </c>
      <c r="M30" s="208"/>
      <c r="P30" s="199" t="s">
        <v>158</v>
      </c>
      <c r="Q30" s="252" t="e">
        <f aca="false">IF(Q29="","",VLOOKUP(Q29,Deelnemers!B8:C46,2,FALSE()))</f>
        <v>#N/A</v>
      </c>
      <c r="R30" s="252"/>
      <c r="S30" s="252"/>
      <c r="T30" s="209" t="s">
        <v>159</v>
      </c>
      <c r="U30" s="209" t="s">
        <v>160</v>
      </c>
      <c r="V30" s="206"/>
    </row>
    <row r="31" customFormat="false" ht="19.5" hidden="false" customHeight="true" outlineLevel="0" collapsed="false">
      <c r="A31" s="210" t="n">
        <v>1</v>
      </c>
      <c r="B31" s="206"/>
      <c r="C31" s="206"/>
      <c r="D31" s="206"/>
      <c r="E31" s="211"/>
      <c r="F31" s="211"/>
      <c r="G31" s="206"/>
      <c r="J31" s="214"/>
      <c r="K31" s="214"/>
      <c r="L31" s="215"/>
      <c r="M31" s="215"/>
      <c r="P31" s="210" t="n">
        <v>1</v>
      </c>
      <c r="Q31" s="206"/>
      <c r="R31" s="206"/>
      <c r="S31" s="206"/>
      <c r="T31" s="211"/>
      <c r="U31" s="211"/>
      <c r="V31" s="206"/>
    </row>
    <row r="32" customFormat="false" ht="19.5" hidden="false" customHeight="true" outlineLevel="0" collapsed="false">
      <c r="A32" s="210" t="n">
        <v>2</v>
      </c>
      <c r="B32" s="206"/>
      <c r="C32" s="206"/>
      <c r="D32" s="206"/>
      <c r="E32" s="220"/>
      <c r="F32" s="220"/>
      <c r="G32" s="206"/>
      <c r="J32" s="214"/>
      <c r="K32" s="214"/>
      <c r="L32" s="215"/>
      <c r="M32" s="215"/>
      <c r="P32" s="210" t="n">
        <v>2</v>
      </c>
      <c r="Q32" s="206"/>
      <c r="R32" s="206"/>
      <c r="S32" s="206"/>
      <c r="T32" s="220"/>
      <c r="U32" s="220"/>
      <c r="V32" s="206"/>
    </row>
    <row r="33" customFormat="false" ht="19.5" hidden="false" customHeight="true" outlineLevel="0" collapsed="false">
      <c r="A33" s="210" t="n">
        <v>3</v>
      </c>
      <c r="B33" s="206"/>
      <c r="C33" s="206"/>
      <c r="D33" s="206"/>
      <c r="E33" s="220"/>
      <c r="F33" s="220"/>
      <c r="G33" s="206"/>
      <c r="J33" s="214"/>
      <c r="K33" s="214"/>
      <c r="L33" s="215"/>
      <c r="M33" s="215"/>
      <c r="P33" s="210" t="n">
        <v>3</v>
      </c>
      <c r="Q33" s="206"/>
      <c r="R33" s="206"/>
      <c r="S33" s="206"/>
      <c r="T33" s="220"/>
      <c r="U33" s="220"/>
      <c r="V33" s="206"/>
    </row>
    <row r="34" customFormat="false" ht="19.5" hidden="false" customHeight="true" outlineLevel="0" collapsed="false">
      <c r="A34" s="210" t="n">
        <v>4</v>
      </c>
      <c r="B34" s="206"/>
      <c r="C34" s="206"/>
      <c r="D34" s="206"/>
      <c r="E34" s="220"/>
      <c r="F34" s="220"/>
      <c r="G34" s="206"/>
      <c r="J34" s="214"/>
      <c r="K34" s="214"/>
      <c r="L34" s="215"/>
      <c r="M34" s="215"/>
      <c r="P34" s="210" t="n">
        <v>4</v>
      </c>
      <c r="Q34" s="206"/>
      <c r="R34" s="206"/>
      <c r="S34" s="206"/>
      <c r="T34" s="220"/>
      <c r="U34" s="220"/>
      <c r="V34" s="206"/>
    </row>
    <row r="35" customFormat="false" ht="19.5" hidden="false" customHeight="true" outlineLevel="0" collapsed="false">
      <c r="A35" s="210" t="n">
        <v>5</v>
      </c>
      <c r="B35" s="206"/>
      <c r="C35" s="206"/>
      <c r="D35" s="206"/>
      <c r="E35" s="223"/>
      <c r="F35" s="223"/>
      <c r="G35" s="206"/>
      <c r="J35" s="214"/>
      <c r="K35" s="214"/>
      <c r="L35" s="215"/>
      <c r="M35" s="215"/>
      <c r="P35" s="210" t="n">
        <v>5</v>
      </c>
      <c r="Q35" s="206"/>
      <c r="R35" s="206"/>
      <c r="S35" s="206"/>
      <c r="T35" s="223"/>
      <c r="U35" s="223"/>
      <c r="V35" s="206"/>
    </row>
    <row r="36" customFormat="false" ht="19.5" hidden="false" customHeight="true" outlineLevel="0" collapsed="false">
      <c r="A36" s="224"/>
      <c r="B36" s="185"/>
      <c r="C36" s="185"/>
      <c r="D36" s="225" t="s">
        <v>160</v>
      </c>
      <c r="E36" s="226"/>
      <c r="F36" s="227"/>
      <c r="G36" s="230"/>
      <c r="J36" s="228"/>
      <c r="K36" s="228"/>
      <c r="L36" s="229"/>
      <c r="M36" s="229"/>
      <c r="P36" s="224"/>
      <c r="Q36" s="185"/>
      <c r="R36" s="185"/>
      <c r="S36" s="225" t="s">
        <v>160</v>
      </c>
      <c r="T36" s="226"/>
      <c r="U36" s="227"/>
      <c r="V36" s="230"/>
    </row>
    <row r="37" customFormat="false" ht="14.25" hidden="false" customHeight="true" outlineLevel="0" collapsed="false">
      <c r="A37" s="231" t="s">
        <v>162</v>
      </c>
      <c r="B37" s="186"/>
      <c r="C37" s="186"/>
      <c r="D37" s="186"/>
      <c r="E37" s="186"/>
      <c r="F37" s="186"/>
      <c r="G37" s="185"/>
      <c r="J37" s="202"/>
      <c r="K37" s="202"/>
      <c r="L37" s="202"/>
      <c r="M37" s="202"/>
      <c r="P37" s="231" t="s">
        <v>162</v>
      </c>
      <c r="Q37" s="186"/>
      <c r="R37" s="186"/>
      <c r="S37" s="186"/>
      <c r="T37" s="186"/>
      <c r="U37" s="186"/>
      <c r="V37" s="185"/>
    </row>
    <row r="38" customFormat="false" ht="14.25" hidden="false" customHeight="true" outlineLevel="0" collapsed="false">
      <c r="A38" s="232" t="s">
        <v>163</v>
      </c>
      <c r="B38" s="233"/>
      <c r="C38" s="233"/>
      <c r="D38" s="233"/>
      <c r="E38" s="233"/>
      <c r="F38" s="233"/>
      <c r="G38" s="197"/>
      <c r="H38" s="234" t="s">
        <v>164</v>
      </c>
      <c r="I38" s="234"/>
      <c r="J38" s="234"/>
      <c r="K38" s="234"/>
      <c r="L38" s="234"/>
      <c r="M38" s="234"/>
      <c r="N38" s="234"/>
      <c r="O38" s="234"/>
      <c r="P38" s="232" t="s">
        <v>163</v>
      </c>
      <c r="Q38" s="233"/>
      <c r="R38" s="233"/>
      <c r="S38" s="233"/>
      <c r="T38" s="233"/>
      <c r="U38" s="233"/>
      <c r="V38" s="197"/>
    </row>
    <row r="39" customFormat="false" ht="14.25" hidden="false" customHeight="true" outlineLevel="0" collapsed="false">
      <c r="A39" s="235" t="s">
        <v>165</v>
      </c>
      <c r="G39" s="236"/>
      <c r="H39" s="237" t="s">
        <v>155</v>
      </c>
      <c r="I39" s="237"/>
      <c r="J39" s="237"/>
      <c r="K39" s="237"/>
      <c r="L39" s="237"/>
      <c r="M39" s="237"/>
      <c r="N39" s="237"/>
      <c r="O39" s="237"/>
      <c r="P39" s="235" t="s">
        <v>165</v>
      </c>
      <c r="V39" s="236"/>
    </row>
    <row r="40" customFormat="false" ht="19.5" hidden="false" customHeight="true" outlineLevel="0" collapsed="false">
      <c r="A40" s="232" t="s">
        <v>163</v>
      </c>
      <c r="B40" s="233"/>
      <c r="C40" s="233"/>
      <c r="D40" s="233"/>
      <c r="E40" s="233"/>
      <c r="F40" s="233"/>
      <c r="G40" s="197"/>
      <c r="I40" s="238"/>
      <c r="J40" s="239"/>
      <c r="K40" s="239"/>
      <c r="L40" s="240"/>
      <c r="M40" s="240"/>
      <c r="N40" s="238"/>
      <c r="P40" s="232" t="s">
        <v>163</v>
      </c>
      <c r="Q40" s="233"/>
      <c r="R40" s="233"/>
      <c r="S40" s="233"/>
      <c r="T40" s="233"/>
      <c r="U40" s="233"/>
      <c r="V40" s="197"/>
    </row>
    <row r="41" customFormat="false" ht="14.25" hidden="false" customHeight="true" outlineLevel="0" collapsed="false">
      <c r="A41" s="247"/>
      <c r="I41" s="181"/>
      <c r="J41" s="181"/>
      <c r="K41" s="181"/>
      <c r="L41" s="181"/>
      <c r="M41" s="181"/>
      <c r="N41" s="181"/>
      <c r="P41" s="180"/>
      <c r="V41" s="236"/>
    </row>
    <row r="42" customFormat="false" ht="14.25" hidden="false" customHeight="true" outlineLevel="0" collapsed="false">
      <c r="A42" s="241"/>
      <c r="I42" s="181"/>
      <c r="J42" s="202" t="s">
        <v>166</v>
      </c>
      <c r="K42" s="202"/>
      <c r="L42" s="202"/>
      <c r="M42" s="202"/>
      <c r="N42" s="181"/>
      <c r="P42" s="180"/>
      <c r="V42" s="236"/>
    </row>
    <row r="43" customFormat="false" ht="14.25" hidden="false" customHeight="true" outlineLevel="0" collapsed="false">
      <c r="A43" s="232"/>
      <c r="B43" s="233"/>
      <c r="C43" s="233"/>
      <c r="D43" s="233"/>
      <c r="E43" s="233"/>
      <c r="F43" s="233"/>
      <c r="G43" s="233"/>
      <c r="H43" s="233"/>
      <c r="I43" s="242"/>
      <c r="J43" s="242"/>
      <c r="K43" s="242"/>
      <c r="L43" s="242"/>
      <c r="M43" s="242"/>
      <c r="N43" s="242"/>
      <c r="O43" s="233"/>
      <c r="P43" s="243"/>
      <c r="Q43" s="233"/>
      <c r="R43" s="233"/>
      <c r="S43" s="233"/>
      <c r="T43" s="233"/>
      <c r="U43" s="233"/>
      <c r="V43" s="197"/>
    </row>
    <row r="44" customFormat="false" ht="14.25" hidden="false" customHeight="true" outlineLevel="0" collapsed="false">
      <c r="A44" s="180"/>
      <c r="I44" s="181"/>
      <c r="J44" s="181"/>
      <c r="K44" s="181"/>
      <c r="L44" s="181"/>
      <c r="M44" s="181"/>
      <c r="N44" s="181"/>
      <c r="P44" s="180"/>
    </row>
    <row r="45" customFormat="false" ht="15.75" hidden="false" customHeight="true" outlineLevel="0" collapsed="false">
      <c r="A45" s="250"/>
      <c r="B45" s="250"/>
      <c r="C45" s="248" t="str">
        <f aca="false">VLOOKUP(Z2,AA11:AI18,6,FALSE())</f>
        <v>Baan 5</v>
      </c>
      <c r="D45" s="248"/>
      <c r="E45" s="248"/>
      <c r="F45" s="248"/>
      <c r="G45" s="185"/>
      <c r="H45" s="186"/>
      <c r="I45" s="187" t="str">
        <f aca="false">Z2</f>
        <v>Ronde 1</v>
      </c>
      <c r="J45" s="187"/>
      <c r="K45" s="187"/>
      <c r="L45" s="187"/>
      <c r="M45" s="187"/>
      <c r="N45" s="187"/>
      <c r="O45" s="186"/>
      <c r="P45" s="250"/>
      <c r="Q45" s="250"/>
      <c r="R45" s="248" t="str">
        <f aca="false">VLOOKUP(Z2,AA11:AI18,7,FALSE())</f>
        <v>Baan 6</v>
      </c>
      <c r="S45" s="248"/>
      <c r="T45" s="248"/>
      <c r="U45" s="248"/>
      <c r="V45" s="185"/>
    </row>
    <row r="46" customFormat="false" ht="15.75" hidden="false" customHeight="true" outlineLevel="0" collapsed="false">
      <c r="A46" s="250"/>
      <c r="B46" s="250"/>
      <c r="C46" s="193" t="s">
        <v>153</v>
      </c>
      <c r="D46" s="251" t="str">
        <f aca="false">Deelnemers!$B$4</f>
        <v>2026-04-11</v>
      </c>
      <c r="E46" s="251"/>
      <c r="F46" s="251"/>
      <c r="G46" s="185"/>
      <c r="H46" s="195" t="s">
        <v>154</v>
      </c>
      <c r="I46" s="195"/>
      <c r="J46" s="195"/>
      <c r="K46" s="195"/>
      <c r="L46" s="195"/>
      <c r="M46" s="195"/>
      <c r="N46" s="195"/>
      <c r="O46" s="195"/>
      <c r="P46" s="250"/>
      <c r="Q46" s="250"/>
      <c r="R46" s="193" t="s">
        <v>153</v>
      </c>
      <c r="S46" s="251" t="str">
        <f aca="false">Deelnemers!$B$4</f>
        <v>2026-04-11</v>
      </c>
      <c r="T46" s="251"/>
      <c r="U46" s="251"/>
      <c r="V46" s="185"/>
    </row>
    <row r="47" customFormat="false" ht="15.75" hidden="false" customHeight="true" outlineLevel="0" collapsed="false">
      <c r="A47" s="250"/>
      <c r="B47" s="250"/>
      <c r="C47" s="196" t="str">
        <f aca="false">Deelnemers!$B$3</f>
        <v>Willem Tell 1921, Kerkrade</v>
      </c>
      <c r="D47" s="196"/>
      <c r="E47" s="196"/>
      <c r="F47" s="196"/>
      <c r="G47" s="197"/>
      <c r="H47" s="198" t="s">
        <v>155</v>
      </c>
      <c r="I47" s="198"/>
      <c r="J47" s="198"/>
      <c r="K47" s="198"/>
      <c r="L47" s="198"/>
      <c r="M47" s="198"/>
      <c r="N47" s="198"/>
      <c r="O47" s="198"/>
      <c r="P47" s="250"/>
      <c r="Q47" s="250"/>
      <c r="R47" s="196" t="str">
        <f aca="false">Deelnemers!$B$3</f>
        <v>Willem Tell 1921, Kerkrade</v>
      </c>
      <c r="S47" s="196"/>
      <c r="T47" s="196"/>
      <c r="U47" s="196"/>
      <c r="V47" s="197"/>
    </row>
    <row r="48" customFormat="false" ht="14.25" hidden="false" customHeight="true" outlineLevel="0" collapsed="false">
      <c r="A48" s="199" t="s">
        <v>156</v>
      </c>
      <c r="B48" s="201" t="n">
        <f aca="false">VLOOKUP(Z2,AA2:AI8,6,FALSE())</f>
        <v>0</v>
      </c>
      <c r="C48" s="201"/>
      <c r="D48" s="201"/>
      <c r="E48" s="201"/>
      <c r="F48" s="201"/>
      <c r="G48" s="201"/>
      <c r="J48" s="202" t="s">
        <v>157</v>
      </c>
      <c r="K48" s="202"/>
      <c r="L48" s="202"/>
      <c r="M48" s="202"/>
      <c r="P48" s="199" t="s">
        <v>156</v>
      </c>
      <c r="Q48" s="203" t="n">
        <f aca="false">VLOOKUP(Z2,AA2:AI8,7,FALSE())</f>
        <v>0</v>
      </c>
      <c r="R48" s="203"/>
      <c r="S48" s="203"/>
      <c r="T48" s="203"/>
      <c r="U48" s="203"/>
      <c r="V48" s="203"/>
    </row>
    <row r="49" customFormat="false" ht="14.25" hidden="false" customHeight="true" outlineLevel="0" collapsed="false">
      <c r="A49" s="199" t="s">
        <v>158</v>
      </c>
      <c r="B49" s="252" t="e">
        <f aca="false">IF(B48="","",VLOOKUP(B48,Deelnemers!B8:C46,2,FALSE()))</f>
        <v>#N/A</v>
      </c>
      <c r="C49" s="252"/>
      <c r="D49" s="252"/>
      <c r="E49" s="209" t="s">
        <v>159</v>
      </c>
      <c r="F49" s="209" t="s">
        <v>160</v>
      </c>
      <c r="G49" s="206"/>
      <c r="J49" s="207" t="s">
        <v>161</v>
      </c>
      <c r="K49" s="207"/>
      <c r="L49" s="208" t="s">
        <v>161</v>
      </c>
      <c r="M49" s="208"/>
      <c r="P49" s="199" t="s">
        <v>158</v>
      </c>
      <c r="Q49" s="252" t="e">
        <f aca="false">IF(Q48="","",VLOOKUP(Q48,Deelnemers!B8:C46,2,FALSE()))</f>
        <v>#N/A</v>
      </c>
      <c r="R49" s="252"/>
      <c r="S49" s="252"/>
      <c r="T49" s="209" t="s">
        <v>159</v>
      </c>
      <c r="U49" s="209" t="s">
        <v>160</v>
      </c>
      <c r="V49" s="206"/>
    </row>
    <row r="50" customFormat="false" ht="19.5" hidden="false" customHeight="true" outlineLevel="0" collapsed="false">
      <c r="A50" s="210" t="n">
        <v>1</v>
      </c>
      <c r="B50" s="206"/>
      <c r="C50" s="206"/>
      <c r="D50" s="206"/>
      <c r="E50" s="211"/>
      <c r="F50" s="211"/>
      <c r="G50" s="206"/>
      <c r="J50" s="214"/>
      <c r="K50" s="214"/>
      <c r="L50" s="215"/>
      <c r="M50" s="215"/>
      <c r="P50" s="210" t="n">
        <v>1</v>
      </c>
      <c r="Q50" s="206"/>
      <c r="R50" s="206"/>
      <c r="S50" s="206"/>
      <c r="T50" s="211"/>
      <c r="U50" s="211"/>
      <c r="V50" s="206"/>
    </row>
    <row r="51" customFormat="false" ht="19.5" hidden="false" customHeight="true" outlineLevel="0" collapsed="false">
      <c r="A51" s="210" t="n">
        <v>2</v>
      </c>
      <c r="B51" s="206"/>
      <c r="C51" s="206"/>
      <c r="D51" s="206"/>
      <c r="E51" s="220"/>
      <c r="F51" s="220"/>
      <c r="G51" s="206"/>
      <c r="J51" s="214"/>
      <c r="K51" s="214"/>
      <c r="L51" s="215"/>
      <c r="M51" s="215"/>
      <c r="P51" s="210" t="n">
        <v>2</v>
      </c>
      <c r="Q51" s="206"/>
      <c r="R51" s="206"/>
      <c r="S51" s="206"/>
      <c r="T51" s="220"/>
      <c r="U51" s="220"/>
      <c r="V51" s="206"/>
    </row>
    <row r="52" customFormat="false" ht="19.5" hidden="false" customHeight="true" outlineLevel="0" collapsed="false">
      <c r="A52" s="210" t="n">
        <v>3</v>
      </c>
      <c r="B52" s="206"/>
      <c r="C52" s="206"/>
      <c r="D52" s="206"/>
      <c r="E52" s="220"/>
      <c r="F52" s="220"/>
      <c r="G52" s="206"/>
      <c r="J52" s="214"/>
      <c r="K52" s="214"/>
      <c r="L52" s="215"/>
      <c r="M52" s="215"/>
      <c r="P52" s="210" t="n">
        <v>3</v>
      </c>
      <c r="Q52" s="206"/>
      <c r="R52" s="206"/>
      <c r="S52" s="206"/>
      <c r="T52" s="220"/>
      <c r="U52" s="220"/>
      <c r="V52" s="206"/>
    </row>
    <row r="53" customFormat="false" ht="19.5" hidden="false" customHeight="true" outlineLevel="0" collapsed="false">
      <c r="A53" s="210" t="n">
        <v>4</v>
      </c>
      <c r="B53" s="206"/>
      <c r="C53" s="206"/>
      <c r="D53" s="206"/>
      <c r="E53" s="220"/>
      <c r="F53" s="220"/>
      <c r="G53" s="206"/>
      <c r="J53" s="214"/>
      <c r="K53" s="214"/>
      <c r="L53" s="215"/>
      <c r="M53" s="215"/>
      <c r="P53" s="210" t="n">
        <v>4</v>
      </c>
      <c r="Q53" s="206"/>
      <c r="R53" s="206"/>
      <c r="S53" s="206"/>
      <c r="T53" s="220"/>
      <c r="U53" s="220"/>
      <c r="V53" s="206"/>
    </row>
    <row r="54" customFormat="false" ht="19.5" hidden="false" customHeight="true" outlineLevel="0" collapsed="false">
      <c r="A54" s="210" t="n">
        <v>5</v>
      </c>
      <c r="B54" s="206"/>
      <c r="C54" s="206"/>
      <c r="D54" s="206"/>
      <c r="E54" s="223"/>
      <c r="F54" s="223"/>
      <c r="G54" s="206"/>
      <c r="J54" s="214"/>
      <c r="K54" s="214"/>
      <c r="L54" s="215"/>
      <c r="M54" s="215"/>
      <c r="P54" s="210" t="n">
        <v>5</v>
      </c>
      <c r="Q54" s="206"/>
      <c r="R54" s="206"/>
      <c r="S54" s="206"/>
      <c r="T54" s="223"/>
      <c r="U54" s="223"/>
      <c r="V54" s="206"/>
    </row>
    <row r="55" customFormat="false" ht="19.5" hidden="false" customHeight="true" outlineLevel="0" collapsed="false">
      <c r="A55" s="224"/>
      <c r="B55" s="185"/>
      <c r="C55" s="185"/>
      <c r="D55" s="225" t="s">
        <v>160</v>
      </c>
      <c r="E55" s="226"/>
      <c r="F55" s="227"/>
      <c r="G55" s="230"/>
      <c r="J55" s="228"/>
      <c r="K55" s="228"/>
      <c r="L55" s="229"/>
      <c r="M55" s="229"/>
      <c r="P55" s="224"/>
      <c r="Q55" s="185"/>
      <c r="R55" s="185"/>
      <c r="S55" s="225" t="s">
        <v>160</v>
      </c>
      <c r="T55" s="226"/>
      <c r="U55" s="227"/>
      <c r="V55" s="230"/>
    </row>
    <row r="56" customFormat="false" ht="14.25" hidden="false" customHeight="true" outlineLevel="0" collapsed="false">
      <c r="A56" s="231" t="s">
        <v>162</v>
      </c>
      <c r="B56" s="186"/>
      <c r="C56" s="186"/>
      <c r="D56" s="186"/>
      <c r="E56" s="186"/>
      <c r="F56" s="186"/>
      <c r="G56" s="185"/>
      <c r="J56" s="202"/>
      <c r="K56" s="202"/>
      <c r="L56" s="202"/>
      <c r="M56" s="202"/>
      <c r="P56" s="231" t="s">
        <v>162</v>
      </c>
      <c r="Q56" s="186"/>
      <c r="R56" s="186"/>
      <c r="S56" s="186"/>
      <c r="T56" s="186"/>
      <c r="U56" s="186"/>
      <c r="V56" s="185"/>
    </row>
    <row r="57" customFormat="false" ht="14.25" hidden="false" customHeight="true" outlineLevel="0" collapsed="false">
      <c r="A57" s="232" t="s">
        <v>163</v>
      </c>
      <c r="B57" s="233"/>
      <c r="C57" s="233"/>
      <c r="D57" s="233"/>
      <c r="E57" s="233"/>
      <c r="F57" s="233"/>
      <c r="G57" s="197"/>
      <c r="H57" s="234" t="s">
        <v>164</v>
      </c>
      <c r="I57" s="234"/>
      <c r="J57" s="234"/>
      <c r="K57" s="234"/>
      <c r="L57" s="234"/>
      <c r="M57" s="234"/>
      <c r="N57" s="234"/>
      <c r="O57" s="234"/>
      <c r="P57" s="232" t="s">
        <v>163</v>
      </c>
      <c r="Q57" s="233"/>
      <c r="R57" s="233"/>
      <c r="S57" s="233"/>
      <c r="T57" s="233"/>
      <c r="U57" s="233"/>
      <c r="V57" s="197"/>
    </row>
    <row r="58" customFormat="false" ht="14.25" hidden="false" customHeight="true" outlineLevel="0" collapsed="false">
      <c r="A58" s="235" t="s">
        <v>165</v>
      </c>
      <c r="G58" s="236"/>
      <c r="H58" s="237" t="s">
        <v>155</v>
      </c>
      <c r="I58" s="237"/>
      <c r="J58" s="237"/>
      <c r="K58" s="237"/>
      <c r="L58" s="237"/>
      <c r="M58" s="237"/>
      <c r="N58" s="237"/>
      <c r="O58" s="237"/>
      <c r="P58" s="235" t="s">
        <v>165</v>
      </c>
      <c r="V58" s="236"/>
    </row>
    <row r="59" customFormat="false" ht="19.5" hidden="false" customHeight="true" outlineLevel="0" collapsed="false">
      <c r="A59" s="232" t="s">
        <v>163</v>
      </c>
      <c r="B59" s="233"/>
      <c r="C59" s="233"/>
      <c r="D59" s="233"/>
      <c r="E59" s="233"/>
      <c r="F59" s="233"/>
      <c r="G59" s="197"/>
      <c r="I59" s="238"/>
      <c r="J59" s="239"/>
      <c r="K59" s="239"/>
      <c r="L59" s="240"/>
      <c r="M59" s="240"/>
      <c r="N59" s="238"/>
      <c r="P59" s="232" t="s">
        <v>163</v>
      </c>
      <c r="Q59" s="233"/>
      <c r="R59" s="233"/>
      <c r="S59" s="233"/>
      <c r="T59" s="233"/>
      <c r="U59" s="233"/>
      <c r="V59" s="197"/>
    </row>
    <row r="60" customFormat="false" ht="14.25" hidden="false" customHeight="true" outlineLevel="0" collapsed="false">
      <c r="A60" s="241"/>
      <c r="I60" s="181"/>
      <c r="J60" s="181"/>
      <c r="K60" s="181"/>
      <c r="L60" s="181"/>
      <c r="M60" s="181"/>
      <c r="N60" s="181"/>
      <c r="P60" s="180"/>
      <c r="V60" s="236"/>
    </row>
    <row r="61" customFormat="false" ht="14.25" hidden="false" customHeight="true" outlineLevel="0" collapsed="false">
      <c r="A61" s="241"/>
      <c r="I61" s="181"/>
      <c r="J61" s="202" t="s">
        <v>166</v>
      </c>
      <c r="K61" s="202"/>
      <c r="L61" s="202"/>
      <c r="M61" s="202"/>
      <c r="N61" s="181"/>
      <c r="P61" s="180"/>
      <c r="V61" s="236"/>
    </row>
    <row r="62" customFormat="false" ht="14.25" hidden="false" customHeight="true" outlineLevel="0" collapsed="false">
      <c r="A62" s="232"/>
      <c r="B62" s="233"/>
      <c r="C62" s="233"/>
      <c r="D62" s="233"/>
      <c r="E62" s="233"/>
      <c r="F62" s="233"/>
      <c r="G62" s="233"/>
      <c r="H62" s="233"/>
      <c r="I62" s="242"/>
      <c r="J62" s="242"/>
      <c r="K62" s="242"/>
      <c r="L62" s="242"/>
      <c r="M62" s="242"/>
      <c r="N62" s="242"/>
      <c r="O62" s="233"/>
      <c r="P62" s="243"/>
      <c r="Q62" s="233"/>
      <c r="R62" s="233"/>
      <c r="S62" s="233"/>
      <c r="T62" s="233"/>
      <c r="U62" s="233"/>
      <c r="V62" s="197"/>
    </row>
    <row r="63" customFormat="false" ht="14.25" hidden="false" customHeight="true" outlineLevel="0" collapsed="false">
      <c r="A63" s="244"/>
      <c r="I63" s="181"/>
      <c r="J63" s="181"/>
      <c r="K63" s="245"/>
      <c r="L63" s="245"/>
      <c r="M63" s="245"/>
      <c r="N63" s="181"/>
      <c r="P63" s="180"/>
      <c r="V63" s="186"/>
    </row>
    <row r="64" customFormat="false" ht="14.25" hidden="false" customHeight="true" outlineLevel="0" collapsed="false">
      <c r="A64" s="180"/>
      <c r="I64" s="181"/>
      <c r="J64" s="181"/>
      <c r="K64" s="245"/>
      <c r="L64" s="245"/>
      <c r="M64" s="245"/>
      <c r="N64" s="181"/>
      <c r="P64" s="180"/>
    </row>
    <row r="65" customFormat="false" ht="14.25" hidden="false" customHeight="true" outlineLevel="0" collapsed="false">
      <c r="A65" s="180"/>
      <c r="I65" s="181"/>
      <c r="J65" s="181"/>
      <c r="K65" s="245"/>
      <c r="L65" s="245"/>
      <c r="M65" s="245"/>
      <c r="N65" s="181"/>
      <c r="P65" s="180"/>
    </row>
    <row r="66" customFormat="false" ht="14.25" hidden="false" customHeight="true" outlineLevel="0" collapsed="false">
      <c r="A66" s="180"/>
      <c r="I66" s="181"/>
      <c r="J66" s="181"/>
      <c r="K66" s="245"/>
      <c r="L66" s="245"/>
      <c r="M66" s="245"/>
      <c r="N66" s="181"/>
      <c r="P66" s="180"/>
    </row>
    <row r="67" customFormat="false" ht="14.25" hidden="false" customHeight="true" outlineLevel="0" collapsed="false">
      <c r="A67" s="180"/>
      <c r="I67" s="181"/>
      <c r="J67" s="181"/>
      <c r="K67" s="245"/>
      <c r="L67" s="245"/>
      <c r="M67" s="245"/>
      <c r="N67" s="181"/>
      <c r="P67" s="180"/>
    </row>
    <row r="68" customFormat="false" ht="14.25" hidden="false" customHeight="true" outlineLevel="0" collapsed="false">
      <c r="A68" s="233"/>
      <c r="V68" s="233"/>
    </row>
    <row r="69" customFormat="false" ht="15.75" hidden="false" customHeight="true" outlineLevel="0" collapsed="false">
      <c r="A69" s="250"/>
      <c r="B69" s="250"/>
      <c r="C69" s="249" t="str">
        <f aca="false">VLOOKUP(Z2,AA11:AI18,8,FALSE())</f>
        <v>Baan 7</v>
      </c>
      <c r="D69" s="249"/>
      <c r="E69" s="249"/>
      <c r="F69" s="249"/>
      <c r="G69" s="185"/>
      <c r="H69" s="186"/>
      <c r="I69" s="187" t="str">
        <f aca="false">Z2</f>
        <v>Ronde 1</v>
      </c>
      <c r="J69" s="187"/>
      <c r="K69" s="187"/>
      <c r="L69" s="187"/>
      <c r="M69" s="187"/>
      <c r="N69" s="187"/>
      <c r="O69" s="186"/>
      <c r="P69" s="250"/>
      <c r="Q69" s="250"/>
      <c r="R69" s="249" t="str">
        <f aca="false">VLOOKUP(Z2,AA11:AI18,9,FALSE())</f>
        <v>Baan 8</v>
      </c>
      <c r="S69" s="249"/>
      <c r="T69" s="249"/>
      <c r="U69" s="249"/>
      <c r="V69" s="185"/>
    </row>
    <row r="70" customFormat="false" ht="15.75" hidden="false" customHeight="true" outlineLevel="0" collapsed="false">
      <c r="A70" s="250"/>
      <c r="B70" s="250"/>
      <c r="C70" s="193" t="s">
        <v>153</v>
      </c>
      <c r="D70" s="251" t="str">
        <f aca="false">Deelnemers!$B$4</f>
        <v>2026-04-11</v>
      </c>
      <c r="E70" s="251"/>
      <c r="F70" s="251"/>
      <c r="G70" s="185"/>
      <c r="H70" s="195" t="s">
        <v>154</v>
      </c>
      <c r="I70" s="195"/>
      <c r="J70" s="195"/>
      <c r="K70" s="195"/>
      <c r="L70" s="195"/>
      <c r="M70" s="195"/>
      <c r="N70" s="195"/>
      <c r="O70" s="195"/>
      <c r="P70" s="250"/>
      <c r="Q70" s="250"/>
      <c r="R70" s="193" t="s">
        <v>153</v>
      </c>
      <c r="S70" s="251" t="str">
        <f aca="false">Deelnemers!$B$4</f>
        <v>2026-04-11</v>
      </c>
      <c r="T70" s="251"/>
      <c r="U70" s="251"/>
      <c r="V70" s="185"/>
    </row>
    <row r="71" customFormat="false" ht="15.75" hidden="false" customHeight="true" outlineLevel="0" collapsed="false">
      <c r="A71" s="250"/>
      <c r="B71" s="250"/>
      <c r="C71" s="196" t="str">
        <f aca="false">Deelnemers!$B$3</f>
        <v>Willem Tell 1921, Kerkrade</v>
      </c>
      <c r="D71" s="196"/>
      <c r="E71" s="196"/>
      <c r="F71" s="196"/>
      <c r="G71" s="197"/>
      <c r="H71" s="198" t="s">
        <v>155</v>
      </c>
      <c r="I71" s="198"/>
      <c r="J71" s="198"/>
      <c r="K71" s="198"/>
      <c r="L71" s="198"/>
      <c r="M71" s="198"/>
      <c r="N71" s="198"/>
      <c r="O71" s="198"/>
      <c r="P71" s="250"/>
      <c r="Q71" s="250"/>
      <c r="R71" s="196" t="str">
        <f aca="false">Deelnemers!$B$3</f>
        <v>Willem Tell 1921, Kerkrade</v>
      </c>
      <c r="S71" s="196"/>
      <c r="T71" s="196"/>
      <c r="U71" s="196"/>
      <c r="V71" s="197"/>
    </row>
    <row r="72" customFormat="false" ht="14.25" hidden="false" customHeight="true" outlineLevel="0" collapsed="false">
      <c r="A72" s="199" t="s">
        <v>156</v>
      </c>
      <c r="B72" s="201" t="n">
        <f aca="false">VLOOKUP(Z2,AA2:AI8,8,FALSE())</f>
        <v>0</v>
      </c>
      <c r="C72" s="201"/>
      <c r="D72" s="201"/>
      <c r="E72" s="201"/>
      <c r="F72" s="201"/>
      <c r="G72" s="201"/>
      <c r="J72" s="202" t="s">
        <v>157</v>
      </c>
      <c r="K72" s="202"/>
      <c r="L72" s="202"/>
      <c r="M72" s="202"/>
      <c r="P72" s="199" t="s">
        <v>156</v>
      </c>
      <c r="Q72" s="203" t="n">
        <f aca="false">VLOOKUP(Z2,AA2:AI8,9,FALSE())</f>
        <v>0</v>
      </c>
      <c r="R72" s="203"/>
      <c r="S72" s="203"/>
      <c r="T72" s="203"/>
      <c r="U72" s="203"/>
      <c r="V72" s="203"/>
    </row>
    <row r="73" customFormat="false" ht="14.25" hidden="false" customHeight="true" outlineLevel="0" collapsed="false">
      <c r="A73" s="199" t="s">
        <v>158</v>
      </c>
      <c r="B73" s="252" t="e">
        <f aca="false">IF(B72="","",VLOOKUP(B72,Deelnemers!B8:C46,2,FALSE()))</f>
        <v>#N/A</v>
      </c>
      <c r="C73" s="252"/>
      <c r="D73" s="252"/>
      <c r="E73" s="209" t="s">
        <v>159</v>
      </c>
      <c r="F73" s="209" t="s">
        <v>160</v>
      </c>
      <c r="G73" s="206"/>
      <c r="J73" s="207" t="s">
        <v>161</v>
      </c>
      <c r="K73" s="207"/>
      <c r="L73" s="208" t="s">
        <v>161</v>
      </c>
      <c r="M73" s="208"/>
      <c r="P73" s="199" t="s">
        <v>158</v>
      </c>
      <c r="Q73" s="252" t="e">
        <f aca="false">IF(Q72="","",VLOOKUP(Q72,Deelnemers!B8:C46,2,FALSE()))</f>
        <v>#N/A</v>
      </c>
      <c r="R73" s="252"/>
      <c r="S73" s="252"/>
      <c r="T73" s="209" t="s">
        <v>159</v>
      </c>
      <c r="U73" s="209" t="s">
        <v>160</v>
      </c>
      <c r="V73" s="206"/>
    </row>
    <row r="74" customFormat="false" ht="19.5" hidden="false" customHeight="true" outlineLevel="0" collapsed="false">
      <c r="A74" s="210" t="n">
        <v>1</v>
      </c>
      <c r="B74" s="206"/>
      <c r="C74" s="206"/>
      <c r="D74" s="206"/>
      <c r="E74" s="211"/>
      <c r="F74" s="211"/>
      <c r="G74" s="206"/>
      <c r="J74" s="214"/>
      <c r="K74" s="214"/>
      <c r="L74" s="215"/>
      <c r="M74" s="215"/>
      <c r="P74" s="210" t="n">
        <v>1</v>
      </c>
      <c r="Q74" s="206"/>
      <c r="R74" s="206"/>
      <c r="S74" s="206"/>
      <c r="T74" s="211"/>
      <c r="U74" s="211"/>
      <c r="V74" s="206"/>
    </row>
    <row r="75" customFormat="false" ht="19.5" hidden="false" customHeight="true" outlineLevel="0" collapsed="false">
      <c r="A75" s="210" t="n">
        <v>2</v>
      </c>
      <c r="B75" s="206"/>
      <c r="C75" s="206"/>
      <c r="D75" s="206"/>
      <c r="E75" s="220"/>
      <c r="F75" s="220"/>
      <c r="G75" s="206"/>
      <c r="J75" s="214"/>
      <c r="K75" s="214"/>
      <c r="L75" s="215"/>
      <c r="M75" s="215"/>
      <c r="P75" s="210" t="n">
        <v>2</v>
      </c>
      <c r="Q75" s="206"/>
      <c r="R75" s="206"/>
      <c r="S75" s="206"/>
      <c r="T75" s="220"/>
      <c r="U75" s="220"/>
      <c r="V75" s="206"/>
    </row>
    <row r="76" customFormat="false" ht="19.5" hidden="false" customHeight="true" outlineLevel="0" collapsed="false">
      <c r="A76" s="210" t="n">
        <v>3</v>
      </c>
      <c r="B76" s="206"/>
      <c r="C76" s="206"/>
      <c r="D76" s="206"/>
      <c r="E76" s="220"/>
      <c r="F76" s="220"/>
      <c r="G76" s="206"/>
      <c r="J76" s="214"/>
      <c r="K76" s="214"/>
      <c r="L76" s="215"/>
      <c r="M76" s="215"/>
      <c r="P76" s="210" t="n">
        <v>3</v>
      </c>
      <c r="Q76" s="206"/>
      <c r="R76" s="206"/>
      <c r="S76" s="206"/>
      <c r="T76" s="220"/>
      <c r="U76" s="220"/>
      <c r="V76" s="206"/>
    </row>
    <row r="77" customFormat="false" ht="19.5" hidden="false" customHeight="true" outlineLevel="0" collapsed="false">
      <c r="A77" s="210" t="n">
        <v>4</v>
      </c>
      <c r="B77" s="206"/>
      <c r="C77" s="206"/>
      <c r="D77" s="206"/>
      <c r="E77" s="220"/>
      <c r="F77" s="220"/>
      <c r="G77" s="206"/>
      <c r="J77" s="214"/>
      <c r="K77" s="214"/>
      <c r="L77" s="215"/>
      <c r="M77" s="215"/>
      <c r="P77" s="210" t="n">
        <v>4</v>
      </c>
      <c r="Q77" s="206"/>
      <c r="R77" s="206"/>
      <c r="S77" s="206"/>
      <c r="T77" s="220"/>
      <c r="U77" s="220"/>
      <c r="V77" s="206"/>
    </row>
    <row r="78" customFormat="false" ht="19.5" hidden="false" customHeight="true" outlineLevel="0" collapsed="false">
      <c r="A78" s="210" t="n">
        <v>5</v>
      </c>
      <c r="B78" s="206"/>
      <c r="C78" s="206"/>
      <c r="D78" s="206"/>
      <c r="E78" s="223"/>
      <c r="F78" s="223"/>
      <c r="G78" s="206"/>
      <c r="J78" s="214"/>
      <c r="K78" s="214"/>
      <c r="L78" s="215"/>
      <c r="M78" s="215"/>
      <c r="P78" s="210" t="n">
        <v>5</v>
      </c>
      <c r="Q78" s="206"/>
      <c r="R78" s="206"/>
      <c r="S78" s="206"/>
      <c r="T78" s="223"/>
      <c r="U78" s="223"/>
      <c r="V78" s="206"/>
    </row>
    <row r="79" customFormat="false" ht="19.5" hidden="false" customHeight="true" outlineLevel="0" collapsed="false">
      <c r="A79" s="224"/>
      <c r="B79" s="185"/>
      <c r="C79" s="185"/>
      <c r="D79" s="225" t="s">
        <v>160</v>
      </c>
      <c r="E79" s="226"/>
      <c r="F79" s="227"/>
      <c r="G79" s="230"/>
      <c r="J79" s="228"/>
      <c r="K79" s="228"/>
      <c r="L79" s="229"/>
      <c r="M79" s="229"/>
      <c r="P79" s="224"/>
      <c r="Q79" s="185"/>
      <c r="R79" s="185"/>
      <c r="S79" s="225" t="s">
        <v>160</v>
      </c>
      <c r="T79" s="226"/>
      <c r="U79" s="227"/>
      <c r="V79" s="230"/>
    </row>
    <row r="80" customFormat="false" ht="14.25" hidden="false" customHeight="true" outlineLevel="0" collapsed="false">
      <c r="A80" s="231" t="s">
        <v>162</v>
      </c>
      <c r="B80" s="186"/>
      <c r="C80" s="186"/>
      <c r="D80" s="186"/>
      <c r="E80" s="186"/>
      <c r="F80" s="186"/>
      <c r="G80" s="185"/>
      <c r="J80" s="202"/>
      <c r="K80" s="202"/>
      <c r="L80" s="202"/>
      <c r="M80" s="202"/>
      <c r="P80" s="231" t="s">
        <v>162</v>
      </c>
      <c r="Q80" s="186"/>
      <c r="R80" s="186"/>
      <c r="S80" s="186"/>
      <c r="T80" s="186"/>
      <c r="U80" s="186"/>
      <c r="V80" s="185"/>
    </row>
    <row r="81" customFormat="false" ht="14.25" hidden="false" customHeight="true" outlineLevel="0" collapsed="false">
      <c r="A81" s="232" t="s">
        <v>163</v>
      </c>
      <c r="B81" s="233"/>
      <c r="C81" s="233"/>
      <c r="D81" s="233"/>
      <c r="E81" s="233"/>
      <c r="F81" s="233"/>
      <c r="G81" s="197"/>
      <c r="H81" s="234" t="s">
        <v>164</v>
      </c>
      <c r="I81" s="234"/>
      <c r="J81" s="234"/>
      <c r="K81" s="234"/>
      <c r="L81" s="234"/>
      <c r="M81" s="234"/>
      <c r="N81" s="234"/>
      <c r="O81" s="234"/>
      <c r="P81" s="232" t="s">
        <v>163</v>
      </c>
      <c r="Q81" s="233"/>
      <c r="R81" s="233"/>
      <c r="S81" s="233"/>
      <c r="T81" s="233"/>
      <c r="U81" s="233"/>
      <c r="V81" s="197"/>
    </row>
    <row r="82" customFormat="false" ht="14.25" hidden="false" customHeight="true" outlineLevel="0" collapsed="false">
      <c r="A82" s="235" t="s">
        <v>165</v>
      </c>
      <c r="G82" s="236"/>
      <c r="H82" s="237" t="s">
        <v>155</v>
      </c>
      <c r="I82" s="237"/>
      <c r="J82" s="237"/>
      <c r="K82" s="237"/>
      <c r="L82" s="237"/>
      <c r="M82" s="237"/>
      <c r="N82" s="237"/>
      <c r="O82" s="237"/>
      <c r="P82" s="235" t="s">
        <v>165</v>
      </c>
      <c r="V82" s="236"/>
    </row>
    <row r="83" customFormat="false" ht="19.5" hidden="false" customHeight="true" outlineLevel="0" collapsed="false">
      <c r="A83" s="232" t="s">
        <v>163</v>
      </c>
      <c r="B83" s="233"/>
      <c r="C83" s="233"/>
      <c r="D83" s="233"/>
      <c r="E83" s="233"/>
      <c r="F83" s="233"/>
      <c r="G83" s="197"/>
      <c r="I83" s="238"/>
      <c r="J83" s="239"/>
      <c r="K83" s="239"/>
      <c r="L83" s="240"/>
      <c r="M83" s="240"/>
      <c r="N83" s="238"/>
      <c r="P83" s="232" t="s">
        <v>163</v>
      </c>
      <c r="Q83" s="233"/>
      <c r="R83" s="233"/>
      <c r="S83" s="233"/>
      <c r="T83" s="233"/>
      <c r="U83" s="233"/>
      <c r="V83" s="197"/>
    </row>
    <row r="84" customFormat="false" ht="14.25" hidden="false" customHeight="true" outlineLevel="0" collapsed="false">
      <c r="A84" s="247"/>
      <c r="I84" s="181"/>
      <c r="J84" s="181"/>
      <c r="K84" s="181"/>
      <c r="L84" s="181"/>
      <c r="M84" s="181"/>
      <c r="N84" s="181"/>
      <c r="P84" s="180"/>
      <c r="V84" s="236"/>
    </row>
    <row r="85" customFormat="false" ht="14.25" hidden="false" customHeight="true" outlineLevel="0" collapsed="false">
      <c r="A85" s="241"/>
      <c r="I85" s="181"/>
      <c r="J85" s="202" t="s">
        <v>166</v>
      </c>
      <c r="K85" s="202"/>
      <c r="L85" s="202"/>
      <c r="M85" s="202"/>
      <c r="N85" s="181"/>
      <c r="P85" s="180"/>
      <c r="V85" s="236"/>
    </row>
    <row r="86" customFormat="false" ht="14.25" hidden="false" customHeight="true" outlineLevel="0" collapsed="false">
      <c r="A86" s="232"/>
      <c r="B86" s="233"/>
      <c r="C86" s="233"/>
      <c r="D86" s="233"/>
      <c r="E86" s="233"/>
      <c r="F86" s="233"/>
      <c r="G86" s="233"/>
      <c r="H86" s="233"/>
      <c r="I86" s="242"/>
      <c r="J86" s="242"/>
      <c r="K86" s="242"/>
      <c r="L86" s="242"/>
      <c r="M86" s="242"/>
      <c r="N86" s="242"/>
      <c r="O86" s="233"/>
      <c r="P86" s="243"/>
      <c r="Q86" s="233"/>
      <c r="R86" s="233"/>
      <c r="S86" s="233"/>
      <c r="T86" s="233"/>
      <c r="U86" s="233"/>
      <c r="V86" s="197"/>
    </row>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f57c" objects="true" scenarios="true" selectLockedCells="true"/>
  <mergeCells count="148">
    <mergeCell ref="A2:B4"/>
    <mergeCell ref="C2:F2"/>
    <mergeCell ref="I2:N2"/>
    <mergeCell ref="P2:Q4"/>
    <mergeCell ref="R2:U2"/>
    <mergeCell ref="D3:F3"/>
    <mergeCell ref="H3:O3"/>
    <mergeCell ref="S3:U3"/>
    <mergeCell ref="C4:F4"/>
    <mergeCell ref="H4:O4"/>
    <mergeCell ref="R4:U4"/>
    <mergeCell ref="B5:G5"/>
    <mergeCell ref="J5:M5"/>
    <mergeCell ref="Q5:V5"/>
    <mergeCell ref="B6:D6"/>
    <mergeCell ref="J6:K6"/>
    <mergeCell ref="L6:M6"/>
    <mergeCell ref="Q6:S6"/>
    <mergeCell ref="J7:K7"/>
    <mergeCell ref="L7:M7"/>
    <mergeCell ref="J8:K8"/>
    <mergeCell ref="L8:M8"/>
    <mergeCell ref="J9:K9"/>
    <mergeCell ref="L9:M9"/>
    <mergeCell ref="J10:K10"/>
    <mergeCell ref="L10:M10"/>
    <mergeCell ref="J11:K11"/>
    <mergeCell ref="L11:M11"/>
    <mergeCell ref="J12:K12"/>
    <mergeCell ref="L12:M12"/>
    <mergeCell ref="J13:M13"/>
    <mergeCell ref="H14:O14"/>
    <mergeCell ref="H15:O15"/>
    <mergeCell ref="J16:K16"/>
    <mergeCell ref="L16:M16"/>
    <mergeCell ref="J18:M18"/>
    <mergeCell ref="J19:M19"/>
    <mergeCell ref="A26:B28"/>
    <mergeCell ref="C26:F26"/>
    <mergeCell ref="I26:N26"/>
    <mergeCell ref="P26:Q28"/>
    <mergeCell ref="R26:U26"/>
    <mergeCell ref="D27:F27"/>
    <mergeCell ref="H27:O27"/>
    <mergeCell ref="S27:U27"/>
    <mergeCell ref="C28:F28"/>
    <mergeCell ref="H28:O28"/>
    <mergeCell ref="R28:U28"/>
    <mergeCell ref="B29:G29"/>
    <mergeCell ref="J29:M29"/>
    <mergeCell ref="Q29:V29"/>
    <mergeCell ref="B30:D30"/>
    <mergeCell ref="J30:K30"/>
    <mergeCell ref="L30:M30"/>
    <mergeCell ref="Q30:S30"/>
    <mergeCell ref="J31:K31"/>
    <mergeCell ref="L31:M31"/>
    <mergeCell ref="J32:K32"/>
    <mergeCell ref="L32:M32"/>
    <mergeCell ref="J33:K33"/>
    <mergeCell ref="L33:M33"/>
    <mergeCell ref="J34:K34"/>
    <mergeCell ref="L34:M34"/>
    <mergeCell ref="J35:K35"/>
    <mergeCell ref="L35:M35"/>
    <mergeCell ref="J36:K36"/>
    <mergeCell ref="L36:M36"/>
    <mergeCell ref="J37:M37"/>
    <mergeCell ref="H38:O38"/>
    <mergeCell ref="H39:O39"/>
    <mergeCell ref="J40:K40"/>
    <mergeCell ref="L40:M40"/>
    <mergeCell ref="J42:M42"/>
    <mergeCell ref="J43:M43"/>
    <mergeCell ref="A45:B47"/>
    <mergeCell ref="C45:F45"/>
    <mergeCell ref="I45:N45"/>
    <mergeCell ref="P45:Q47"/>
    <mergeCell ref="R45:U45"/>
    <mergeCell ref="D46:F46"/>
    <mergeCell ref="H46:O46"/>
    <mergeCell ref="S46:U46"/>
    <mergeCell ref="C47:F47"/>
    <mergeCell ref="H47:O47"/>
    <mergeCell ref="R47:U47"/>
    <mergeCell ref="B48:G48"/>
    <mergeCell ref="J48:M48"/>
    <mergeCell ref="Q48:V48"/>
    <mergeCell ref="B49:D49"/>
    <mergeCell ref="J49:K49"/>
    <mergeCell ref="L49:M49"/>
    <mergeCell ref="Q49:S49"/>
    <mergeCell ref="J50:K50"/>
    <mergeCell ref="L50:M50"/>
    <mergeCell ref="J51:K51"/>
    <mergeCell ref="L51:M51"/>
    <mergeCell ref="J52:K52"/>
    <mergeCell ref="L52:M52"/>
    <mergeCell ref="J53:K53"/>
    <mergeCell ref="L53:M53"/>
    <mergeCell ref="J54:K54"/>
    <mergeCell ref="L54:M54"/>
    <mergeCell ref="J55:K55"/>
    <mergeCell ref="L55:M55"/>
    <mergeCell ref="J56:M56"/>
    <mergeCell ref="H57:O57"/>
    <mergeCell ref="H58:O58"/>
    <mergeCell ref="J59:K59"/>
    <mergeCell ref="L59:M59"/>
    <mergeCell ref="J61:M61"/>
    <mergeCell ref="J62:M62"/>
    <mergeCell ref="A69:B71"/>
    <mergeCell ref="C69:F69"/>
    <mergeCell ref="I69:N69"/>
    <mergeCell ref="P69:Q71"/>
    <mergeCell ref="R69:U69"/>
    <mergeCell ref="D70:F70"/>
    <mergeCell ref="H70:O70"/>
    <mergeCell ref="S70:U70"/>
    <mergeCell ref="C71:F71"/>
    <mergeCell ref="H71:O71"/>
    <mergeCell ref="R71:U71"/>
    <mergeCell ref="B72:G72"/>
    <mergeCell ref="J72:M72"/>
    <mergeCell ref="Q72:V72"/>
    <mergeCell ref="B73:D73"/>
    <mergeCell ref="J73:K73"/>
    <mergeCell ref="L73:M73"/>
    <mergeCell ref="Q73:S73"/>
    <mergeCell ref="J74:K74"/>
    <mergeCell ref="L74:M74"/>
    <mergeCell ref="J75:K75"/>
    <mergeCell ref="L75:M75"/>
    <mergeCell ref="J76:K76"/>
    <mergeCell ref="L76:M76"/>
    <mergeCell ref="J77:K77"/>
    <mergeCell ref="L77:M77"/>
    <mergeCell ref="J78:K78"/>
    <mergeCell ref="L78:M78"/>
    <mergeCell ref="J79:K79"/>
    <mergeCell ref="L79:M79"/>
    <mergeCell ref="J80:M80"/>
    <mergeCell ref="H81:O81"/>
    <mergeCell ref="H82:O82"/>
    <mergeCell ref="J83:K83"/>
    <mergeCell ref="L83:M83"/>
    <mergeCell ref="J85:M85"/>
    <mergeCell ref="J86:M86"/>
  </mergeCells>
  <dataValidations count="1">
    <dataValidation allowBlank="true" errorStyle="stop" operator="between" showDropDown="false" showErrorMessage="true" showInputMessage="true" sqref="Y2" type="list">
      <formula1>"1,2,3,4,5,6,7"</formula1>
      <formula2>0</formula2>
    </dataValidation>
  </dataValidations>
  <printOptions headings="false" gridLines="false" gridLinesSet="true" horizontalCentered="true" verticalCentered="true"/>
  <pageMargins left="0.236111111111111" right="0.354166666666667" top="0.747916666666667" bottom="0.74791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43" man="true" max="16383" min="0"/>
  </rowBreaks>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14.4296875" defaultRowHeight="15" customHeight="true" zeroHeight="false" outlineLevelRow="0" outlineLevelCol="0"/>
  <cols>
    <col collapsed="false" customWidth="true" hidden="false" outlineLevel="0" max="1" min="1" style="0" width="19"/>
    <col collapsed="false" customWidth="true" hidden="false" outlineLevel="0" max="2" min="2" style="0" width="63.71"/>
    <col collapsed="false" customWidth="true" hidden="false" outlineLevel="0" max="3" min="3" style="0" width="11.29"/>
    <col collapsed="false" customWidth="true" hidden="false" outlineLevel="0" max="4" min="4" style="0" width="4.86"/>
    <col collapsed="false" customWidth="true" hidden="false" outlineLevel="0" max="5" min="5" style="0" width="23.71"/>
    <col collapsed="false" customWidth="true" hidden="false" outlineLevel="0" max="6" min="6" style="0" width="10.57"/>
    <col collapsed="false" customWidth="true" hidden="false" outlineLevel="0" max="9" min="7" style="0" width="9.14"/>
    <col collapsed="false" customWidth="true" hidden="true" outlineLevel="0" max="10" min="10" style="0" width="9.14"/>
    <col collapsed="false" customWidth="true" hidden="true" outlineLevel="0" max="11" min="11" style="0" width="8.71"/>
    <col collapsed="false" customWidth="true" hidden="false" outlineLevel="0" max="27" min="12" style="0" width="8.71"/>
  </cols>
  <sheetData>
    <row r="1" customFormat="false" ht="33" hidden="false" customHeight="true" outlineLevel="0" collapsed="false">
      <c r="A1" s="254" t="str">
        <f aca="false">Deelnemers!$B$1</f>
        <v>RK Teams Rayon 4, 25m 1pijl competitie 2025/2026</v>
      </c>
      <c r="B1" s="254"/>
      <c r="C1" s="254"/>
    </row>
    <row r="2" customFormat="false" ht="21.75" hidden="false" customHeight="true" outlineLevel="0" collapsed="false">
      <c r="A2" s="255" t="str">
        <f aca="false">Deelnemers!$B$2</f>
        <v>Recurve klasse D</v>
      </c>
      <c r="B2" s="255"/>
      <c r="C2" s="255"/>
    </row>
    <row r="3" customFormat="false" ht="19.5" hidden="false" customHeight="true" outlineLevel="0" collapsed="false">
      <c r="A3" s="256" t="str">
        <f aca="false">_xlfn.TEXTJOIN(", ",TRUE(),Deelnemers!B3,Deelnemers!B4)</f>
        <v>Willem Tell 1921, Kerkrade, 2026-04-11</v>
      </c>
      <c r="B3" s="256"/>
      <c r="C3" s="256"/>
    </row>
    <row r="5" customFormat="false" ht="15" hidden="false" customHeight="true" outlineLevel="0" collapsed="false">
      <c r="E5" s="0" t="s">
        <v>168</v>
      </c>
    </row>
    <row r="6" customFormat="false" ht="21.75" hidden="false" customHeight="true" outlineLevel="0" collapsed="false">
      <c r="A6" s="257" t="n">
        <f aca="false">VLOOKUP(C6,Deelnemers!A8:C46,3,FALSE())</f>
        <v>0</v>
      </c>
      <c r="B6" s="257" t="n">
        <f aca="false">VLOOKUP(C6,Deelnemers!A8:C46,2,FALSE())</f>
        <v>0</v>
      </c>
      <c r="C6" s="258" t="s">
        <v>16</v>
      </c>
      <c r="E6" s="0" t="s">
        <v>169</v>
      </c>
      <c r="J6" s="0" t="str">
        <f aca="false">Deelnemers!A8</f>
        <v>Baan 1</v>
      </c>
      <c r="K6" s="0" t="str">
        <f aca="false">Deelnemers!A13</f>
        <v>Baan 2</v>
      </c>
    </row>
    <row r="7" customFormat="false" ht="15" hidden="false" customHeight="true" outlineLevel="0" collapsed="false">
      <c r="J7" s="0" t="str">
        <f aca="false">Deelnemers!A18</f>
        <v>Baan 3</v>
      </c>
      <c r="K7" s="0" t="str">
        <f aca="false">Deelnemers!A23</f>
        <v>Baan 4</v>
      </c>
    </row>
    <row r="8" customFormat="false" ht="17.25" hidden="false" customHeight="true" outlineLevel="0" collapsed="false">
      <c r="A8" s="259" t="s">
        <v>170</v>
      </c>
      <c r="B8" s="260" t="s">
        <v>112</v>
      </c>
      <c r="C8" s="261"/>
      <c r="J8" s="0" t="str">
        <f aca="false">Deelnemers!A28</f>
        <v>Baan 5</v>
      </c>
      <c r="K8" s="0" t="str">
        <f aca="false">Deelnemers!A33</f>
        <v>Baan 6</v>
      </c>
    </row>
    <row r="9" customFormat="false" ht="46.5" hidden="false" customHeight="true" outlineLevel="0" collapsed="false">
      <c r="A9" s="262"/>
      <c r="B9" s="262"/>
      <c r="C9" s="263" t="s">
        <v>171</v>
      </c>
      <c r="J9" s="0" t="str">
        <f aca="false">Deelnemers!A38</f>
        <v>Baan 7</v>
      </c>
      <c r="K9" s="0" t="str">
        <f aca="false">Deelnemers!A43</f>
        <v>Baan 8</v>
      </c>
    </row>
    <row r="10" customFormat="false" ht="46.5" hidden="false" customHeight="true" outlineLevel="0" collapsed="false">
      <c r="A10" s="262"/>
      <c r="B10" s="262"/>
      <c r="C10" s="263" t="s">
        <v>172</v>
      </c>
    </row>
    <row r="11" customFormat="false" ht="46.5" hidden="false" customHeight="true" outlineLevel="0" collapsed="false">
      <c r="A11" s="262"/>
      <c r="B11" s="262"/>
      <c r="C11" s="263" t="s">
        <v>173</v>
      </c>
      <c r="H11" s="264"/>
    </row>
    <row r="18" customFormat="false" ht="33" hidden="false" customHeight="true" outlineLevel="0" collapsed="false">
      <c r="A18" s="254" t="str">
        <f aca="false">Deelnemers!$B$1</f>
        <v>RK Teams Rayon 4, 25m 1pijl competitie 2025/2026</v>
      </c>
      <c r="B18" s="254"/>
      <c r="C18" s="254"/>
    </row>
    <row r="19" customFormat="false" ht="21.75" hidden="false" customHeight="true" outlineLevel="0" collapsed="false">
      <c r="A19" s="255" t="str">
        <f aca="false">Deelnemers!$B$2</f>
        <v>Recurve klasse D</v>
      </c>
      <c r="B19" s="255"/>
      <c r="C19" s="255"/>
    </row>
    <row r="20" customFormat="false" ht="19.5" hidden="false" customHeight="true" outlineLevel="0" collapsed="false">
      <c r="A20" s="256" t="str">
        <f aca="false">_xlfn.TEXTJOIN(", ",TRUE(),Deelnemers!B3,Deelnemers!B4)</f>
        <v>Willem Tell 1921, Kerkrade, 2026-04-11</v>
      </c>
      <c r="B20" s="256"/>
      <c r="C20" s="256"/>
    </row>
    <row r="23" customFormat="false" ht="21.75" hidden="false" customHeight="true" outlineLevel="0" collapsed="false">
      <c r="A23" s="257" t="n">
        <f aca="false">VLOOKUP(C6,Deelnemers!A8:C46,3,FALSE())</f>
        <v>0</v>
      </c>
      <c r="B23" s="257" t="n">
        <f aca="false">VLOOKUP(C23,Deelnemers!A8:C46,2,FALSE())</f>
        <v>0</v>
      </c>
      <c r="C23" s="265" t="str">
        <f aca="false">VLOOKUP(C6,J6:K9,2,FALSE())</f>
        <v>Baan 2</v>
      </c>
    </row>
    <row r="25" customFormat="false" ht="17.25" hidden="false" customHeight="true" outlineLevel="0" collapsed="false">
      <c r="A25" s="259" t="s">
        <v>170</v>
      </c>
      <c r="B25" s="260" t="s">
        <v>112</v>
      </c>
      <c r="C25" s="261"/>
    </row>
    <row r="26" customFormat="false" ht="46.5" hidden="false" customHeight="true" outlineLevel="0" collapsed="false">
      <c r="A26" s="262"/>
      <c r="B26" s="262"/>
      <c r="C26" s="263" t="s">
        <v>171</v>
      </c>
    </row>
    <row r="27" customFormat="false" ht="46.5" hidden="false" customHeight="true" outlineLevel="0" collapsed="false">
      <c r="A27" s="262"/>
      <c r="B27" s="262"/>
      <c r="C27" s="263" t="s">
        <v>172</v>
      </c>
    </row>
    <row r="28" customFormat="false" ht="46.5" hidden="false" customHeight="true" outlineLevel="0" collapsed="false">
      <c r="A28" s="262"/>
      <c r="B28" s="262"/>
      <c r="C28" s="263" t="s">
        <v>173</v>
      </c>
      <c r="H28" s="264"/>
    </row>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sheetProtection algorithmName="SHA-512" hashValue="1WMS9hOvr11ANSAfiPpubcurthG6RB86O9ixiP+ZswhZHU9E2rB97I+XichuCl56e601ifWmGUd8rrYarHrfiQ==" saltValue="T5mOVKiMjKVDb0pfZg6F+Q==" spinCount="100000" sheet="true" objects="true" scenarios="true" selectLockedCells="true"/>
  <mergeCells count="6">
    <mergeCell ref="A1:C1"/>
    <mergeCell ref="A2:C2"/>
    <mergeCell ref="A3:C3"/>
    <mergeCell ref="A18:C18"/>
    <mergeCell ref="A19:C19"/>
    <mergeCell ref="A20:C20"/>
  </mergeCells>
  <dataValidations count="2">
    <dataValidation allowBlank="true" errorStyle="stop" operator="between" showDropDown="false" showErrorMessage="true" showInputMessage="false" sqref="C23" type="none">
      <formula1>0</formula1>
      <formula2>0</formula2>
    </dataValidation>
    <dataValidation allowBlank="true" errorStyle="stop" operator="between" showDropDown="false" showErrorMessage="true" showInputMessage="false" sqref="C6" type="list">
      <formula1>$J$6:$J$9</formula1>
      <formula2>0</formula2>
    </dataValidation>
  </dataValidations>
  <printOptions headings="false" gridLines="false" gridLinesSet="true" horizontalCentered="false" verticalCentered="false"/>
  <pageMargins left="0.315277777777778" right="0.315277777777778"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21</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2025-01-23T08:45:24Z</dcterms:created>
  <dc:creator>Dirk Schaap</dc:creator>
  <dc:description/>
  <dc:language>en-GB</dc:language>
  <cp:lastModifiedBy/>
  <cp:lastPrinted>2026-02-03T15:36:14Z</cp:lastPrinted>
  <dcterms:modified xsi:type="dcterms:W3CDTF">2026-04-24T21:49:23Z</dcterms:modified>
  <cp:revision>84</cp:revision>
  <dc:subject/>
  <dc:title/>
</cp:coreProperties>
</file>

<file path=docProps/custom.xml><?xml version="1.0" encoding="utf-8"?>
<Properties xmlns="http://schemas.openxmlformats.org/officeDocument/2006/custom-properties" xmlns:vt="http://schemas.openxmlformats.org/officeDocument/2006/docPropsVTypes"/>
</file>