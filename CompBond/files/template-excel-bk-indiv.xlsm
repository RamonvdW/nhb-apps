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24226"/>
  <mc:AlternateContent xmlns:mc="http://schemas.openxmlformats.org/markup-compatibility/2006">
    <mc:Choice Requires="x15">
      <x15ac:absPath xmlns:x15ac="http://schemas.microsoft.com/office/spreadsheetml/2010/11/ac" url="H:\Projects Ramon\Websites\NHB-applicaties\RK excels\"/>
    </mc:Choice>
  </mc:AlternateContent>
  <xr:revisionPtr revIDLastSave="0" documentId="13_ncr:1_{2B5681A0-7080-4439-BC57-5215C19B0771}" xr6:coauthVersionLast="47" xr6:coauthVersionMax="47" xr10:uidLastSave="{00000000-0000-0000-0000-000000000000}"/>
  <bookViews>
    <workbookView xWindow="1485" yWindow="945" windowWidth="24585" windowHeight="14055" xr2:uid="{00000000-000D-0000-FFFF-FFFF00000000}"/>
  </bookViews>
  <sheets>
    <sheet name="Uitleg" sheetId="3" r:id="rId1"/>
    <sheet name="Voorronde" sheetId="4" r:id="rId2"/>
    <sheet name="Finale" sheetId="5" r:id="rId3"/>
  </sheets>
  <definedNames>
    <definedName name="_xlnm.Print_Area" localSheetId="2">Finale!$A$1:$AK$40</definedName>
  </definedNames>
  <calcPr calcId="191029"/>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L55" i="4" l="1"/>
  <c r="L54" i="4"/>
  <c r="L53" i="4"/>
  <c r="L52" i="4"/>
  <c r="L51" i="4"/>
  <c r="L50" i="4"/>
  <c r="L49" i="4"/>
  <c r="L48" i="4"/>
  <c r="L47" i="4"/>
  <c r="L46" i="4"/>
  <c r="L45" i="4"/>
  <c r="L44" i="4"/>
  <c r="L43" i="4"/>
  <c r="L42" i="4"/>
  <c r="L41" i="4"/>
  <c r="L40" i="4"/>
  <c r="L39" i="4"/>
  <c r="L38" i="4"/>
  <c r="L37" i="4"/>
  <c r="L36" i="4"/>
  <c r="L35" i="4"/>
  <c r="L34" i="4"/>
  <c r="L33" i="4"/>
  <c r="L32" i="4"/>
  <c r="L31" i="4"/>
  <c r="L30" i="4"/>
  <c r="L29" i="4"/>
  <c r="L28" i="4"/>
  <c r="L27" i="4"/>
  <c r="L26" i="4"/>
  <c r="L25" i="4"/>
  <c r="L24" i="4"/>
  <c r="L23" i="4"/>
  <c r="L21" i="4"/>
  <c r="L20" i="4"/>
  <c r="L19" i="4"/>
  <c r="L18" i="4"/>
  <c r="L17" i="4"/>
  <c r="L16" i="4"/>
  <c r="L15" i="4"/>
  <c r="L14" i="4"/>
  <c r="L13" i="4"/>
  <c r="L12" i="4"/>
  <c r="L9" i="4"/>
  <c r="L10" i="4"/>
  <c r="L11" i="4"/>
  <c r="L7" i="4"/>
  <c r="L8" i="4"/>
  <c r="S55" i="4"/>
  <c r="S54" i="4"/>
  <c r="S53" i="4"/>
  <c r="S52" i="4"/>
  <c r="S51" i="4"/>
  <c r="S50" i="4"/>
  <c r="S49" i="4"/>
  <c r="S48" i="4"/>
  <c r="S47" i="4"/>
  <c r="S46" i="4"/>
  <c r="S45" i="4"/>
  <c r="S44" i="4"/>
  <c r="S43" i="4"/>
  <c r="S42" i="4"/>
  <c r="S41" i="4"/>
  <c r="S40" i="4"/>
  <c r="S39" i="4"/>
  <c r="S38" i="4"/>
  <c r="S37" i="4"/>
  <c r="S36" i="4"/>
  <c r="S35" i="4"/>
  <c r="S34" i="4"/>
  <c r="S33" i="4"/>
  <c r="S32" i="4"/>
  <c r="S31" i="4"/>
  <c r="S30" i="4"/>
  <c r="S29" i="4"/>
  <c r="S28" i="4"/>
  <c r="S27" i="4"/>
  <c r="S26" i="4"/>
  <c r="S25" i="4"/>
  <c r="S24" i="4"/>
  <c r="S23" i="4"/>
  <c r="S22" i="4"/>
  <c r="S21" i="4"/>
  <c r="S20" i="4"/>
  <c r="S19" i="4"/>
  <c r="S18" i="4"/>
  <c r="S17" i="4"/>
  <c r="S16" i="4"/>
  <c r="S15" i="4"/>
  <c r="S14" i="4"/>
  <c r="S13" i="4"/>
  <c r="S12" i="4"/>
  <c r="S9" i="4"/>
  <c r="S10" i="4"/>
  <c r="S11" i="4"/>
  <c r="S7" i="4"/>
  <c r="L22" i="4"/>
  <c r="C4" i="4"/>
  <c r="B1" i="5" s="1"/>
  <c r="S8" i="4"/>
  <c r="AD22" i="5"/>
  <c r="AE22" i="5" s="1"/>
  <c r="AC31" i="5"/>
  <c r="AD31" i="5"/>
  <c r="L6" i="5"/>
  <c r="U8" i="5"/>
  <c r="AD12" i="5"/>
  <c r="K6" i="5"/>
  <c r="T8" i="5"/>
  <c r="AC12" i="5"/>
  <c r="AC22" i="5"/>
  <c r="AJ31" i="5"/>
  <c r="AJ12" i="5"/>
  <c r="AA8" i="5"/>
  <c r="I38" i="5"/>
  <c r="R37" i="5"/>
  <c r="L37" i="5"/>
  <c r="K37" i="5"/>
  <c r="E37" i="5"/>
  <c r="I36" i="5"/>
  <c r="AA35" i="5"/>
  <c r="U35" i="5"/>
  <c r="T35" i="5"/>
  <c r="N35" i="5"/>
  <c r="I34" i="5"/>
  <c r="R33" i="5"/>
  <c r="L33" i="5"/>
  <c r="K33" i="5"/>
  <c r="E33" i="5"/>
  <c r="I32" i="5"/>
  <c r="W31" i="5"/>
  <c r="I30" i="5"/>
  <c r="R29" i="5"/>
  <c r="L29" i="5"/>
  <c r="K29" i="5"/>
  <c r="E29" i="5"/>
  <c r="I28" i="5"/>
  <c r="AA27" i="5"/>
  <c r="L25" i="5"/>
  <c r="U27" i="5"/>
  <c r="K25" i="5"/>
  <c r="T27" i="5"/>
  <c r="N27" i="5"/>
  <c r="I26" i="5"/>
  <c r="R25" i="5"/>
  <c r="E25" i="5"/>
  <c r="I24" i="5"/>
  <c r="I5" i="5"/>
  <c r="E6" i="5"/>
  <c r="R6" i="5"/>
  <c r="I7" i="5"/>
  <c r="N8" i="5"/>
  <c r="I9" i="5"/>
  <c r="E10" i="5"/>
  <c r="K10" i="5"/>
  <c r="L10" i="5"/>
  <c r="R10" i="5"/>
  <c r="I11" i="5"/>
  <c r="W12" i="5"/>
  <c r="I13" i="5"/>
  <c r="E14" i="5"/>
  <c r="K14" i="5"/>
  <c r="L14" i="5"/>
  <c r="R14" i="5"/>
  <c r="I15" i="5"/>
  <c r="N16" i="5"/>
  <c r="K18" i="5"/>
  <c r="T16" i="5"/>
  <c r="L18" i="5"/>
  <c r="U16" i="5"/>
  <c r="AA16" i="5"/>
  <c r="I17" i="5"/>
  <c r="E18" i="5"/>
  <c r="R18" i="5"/>
  <c r="I19" i="5"/>
</calcChain>
</file>

<file path=xl/sharedStrings.xml><?xml version="1.0" encoding="utf-8"?>
<sst xmlns="http://schemas.openxmlformats.org/spreadsheetml/2006/main" count="107" uniqueCount="78">
  <si>
    <t>Instellingen</t>
  </si>
  <si>
    <t xml:space="preserve">Uitnodigingslijst sorteren op </t>
  </si>
  <si>
    <t>Vereniging (Ja/Nee)</t>
  </si>
  <si>
    <t>Nee</t>
  </si>
  <si>
    <t>Ja</t>
  </si>
  <si>
    <t>Bondsnr</t>
  </si>
  <si>
    <t>Tot</t>
  </si>
  <si>
    <t>Shoot Off</t>
  </si>
  <si>
    <t>1/4 finale</t>
  </si>
  <si>
    <t>Finale</t>
  </si>
  <si>
    <t>Score</t>
  </si>
  <si>
    <t>Shoot off</t>
  </si>
  <si>
    <t>Naam</t>
  </si>
  <si>
    <t>Vereniging</t>
  </si>
  <si>
    <t>LET OP: Setsysteem:</t>
  </si>
  <si>
    <r>
      <t xml:space="preserve">Om te bepalen wie er de 3de plaats behaalt moet er een aparte "bronzen" finale worden geschoten. Het programma houd hier helaas geen rekening mee. </t>
    </r>
    <r>
      <rPr>
        <sz val="10"/>
        <rFont val="Arial"/>
        <family val="2"/>
      </rPr>
      <t>Deze "bronzen" finale moet dus handmatig worden uitgevoerd.</t>
    </r>
  </si>
  <si>
    <t>1/8 finale</t>
  </si>
  <si>
    <t>1/2 Finale</t>
  </si>
  <si>
    <t>Hoeveel schutters naar finale? (1 - 16)</t>
  </si>
  <si>
    <t>Druk op de knop &lt;Naar finale&gt; en de eerste schutters worden geplaatst in het scherm finale (afhankelijk van het getal bij instellingen 4, 8 of 16 schutters). Voer de scores in achter de betreffende schutters en eventueel ook de shoot off score (wordt aangegeven). De volgende ronde wordt automatisch ingevuld. Als het de finale is geschoten en een afdruk wordt gemaakt (knop &lt;Afdukken&gt;) dan wordt de Rayonkampioen met "Kampioen" gemarkeerd in het voorronde scherm. Het bestand kan nu naar de NHB worden verstuurd.</t>
  </si>
  <si>
    <t>Finale ronde (Niet van toepassing bij 25m1p)</t>
  </si>
  <si>
    <t>Algemeen</t>
  </si>
  <si>
    <t>Invoeren</t>
  </si>
  <si>
    <t>Afdrukken</t>
  </si>
  <si>
    <t>Als de scores zijn ingevoerd kan er een afdruk gemaakt worden door op de knop &lt;Afdrukken&gt; te drukken. Als er 2* 30pijlen zijn ingevoerd dan wordt er bepaald bij welke schutters een shoot off geschoten dient te worden. Hiervan krijg je een melding en de betreffende schutters worden Rood gemaakt. Vul nu de shoot off scores in en druk af.</t>
  </si>
  <si>
    <t>Er zijn twee vakken waar instellingen gewijzigd kunnen worden. De eerste is voor de sorteervolgorde tijdens het afdrukken van de uitnodigingslijst en de tweede voor het transporteren naar de finale (4, 8 of 16 schutters).
De laatste optie in het tweede vak dient om aan te geven of er meteen naar de printer of eerst een preview gegeven moet worden.</t>
  </si>
  <si>
    <t>E-mail bondsbureau: info@handboogsport.nl</t>
  </si>
  <si>
    <t>Baan</t>
  </si>
  <si>
    <t>Datum</t>
  </si>
  <si>
    <t>Adres:</t>
  </si>
  <si>
    <t>Locatie
Adres</t>
  </si>
  <si>
    <t>Als alle scores zijn ingevoerd druk je op de knop afdrukken (ook na de eerste 30pijlen) de schutters worden gesorteerd en afgedrukt. Tip : Baannummers kunnen worden gebruikt door in kolom A de nummers en in B de letters in te voeren en op deze kolom te sorteren met de knop &lt;Sorteren op baan&gt;. Deze kolom wordt niet afgedrukt.</t>
  </si>
  <si>
    <t>1e</t>
  </si>
  <si>
    <t>2e</t>
  </si>
  <si>
    <t>Afgemeld en reserven:</t>
  </si>
  <si>
    <t>Het excel werkboek is ingevuld opgehaald uit MijnHandboogsport met elke wedstrijdklasse in een apart bestand. Aan het einde van het BK moet het ingevulde bestand naar het bondsbureau gestuurd worden (zie onderaan).</t>
  </si>
  <si>
    <t>Bondskampioenschappen worden geschoten volgens het World Archery setsysteem (zie ook de informatie hierover elders). In dit programma is hier niet speciaal rekening mee gehouden, maar het programma werkt ook voor het setsysteem. Op de plaats waar voorheen een puntenaantal (max 120 punten) moest worden ingevuld moeten er nu setpunten worden ingevuldt (bijvoorbeeld 6 voor de winnaar)</t>
  </si>
  <si>
    <t>Gemiddelde</t>
  </si>
  <si>
    <t>Gemiddelde (Ja/Nee)</t>
  </si>
  <si>
    <t>Bondskampioen</t>
  </si>
  <si>
    <t xml:space="preserve"> Bronzen Finale</t>
  </si>
  <si>
    <t/>
  </si>
  <si>
    <t>Recurve klasse 1</t>
  </si>
  <si>
    <t>Klasse:</t>
  </si>
  <si>
    <t>Ver nr</t>
  </si>
  <si>
    <t>Organiserende vereniging</t>
  </si>
  <si>
    <t>1A</t>
  </si>
  <si>
    <t>2A</t>
  </si>
  <si>
    <t>3A</t>
  </si>
  <si>
    <t>4A</t>
  </si>
  <si>
    <t>5A</t>
  </si>
  <si>
    <t>6A</t>
  </si>
  <si>
    <t>7A</t>
  </si>
  <si>
    <t>8A</t>
  </si>
  <si>
    <t>9A</t>
  </si>
  <si>
    <t>10A</t>
  </si>
  <si>
    <t>11A</t>
  </si>
  <si>
    <t>12A</t>
  </si>
  <si>
    <t>etc.</t>
  </si>
  <si>
    <t>1B</t>
  </si>
  <si>
    <t>2B</t>
  </si>
  <si>
    <t>3B</t>
  </si>
  <si>
    <t>Pieter 13</t>
  </si>
  <si>
    <t>Pieter 1</t>
  </si>
  <si>
    <t>Pieter 16</t>
  </si>
  <si>
    <t>Pieter 15</t>
  </si>
  <si>
    <t>Pieter 14</t>
  </si>
  <si>
    <t>Pieter 12</t>
  </si>
  <si>
    <t>Pieter 11</t>
  </si>
  <si>
    <t>Pieter 10</t>
  </si>
  <si>
    <t>Pieter 9</t>
  </si>
  <si>
    <t>Pieter 8</t>
  </si>
  <si>
    <t>Pieter 7</t>
  </si>
  <si>
    <t>Pieter 6</t>
  </si>
  <si>
    <t>Pieter 5</t>
  </si>
  <si>
    <t>Pieter 4</t>
  </si>
  <si>
    <t>Pieter 3</t>
  </si>
  <si>
    <t>Pieter 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</si>
</sst>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
    <numFmt numFmtId="165" formatCode="[$-413]d\ mmmm\ yyyy;@"/>
  </numFmts>
  <fonts count="12" x14ac:knownFonts="1">
    <font>
      <sz val="10"/>
      <name val="Arial"/>
    </font>
    <font>
      <sz val="10"/>
      <name val="Arial"/>
      <family val="2"/>
    </font>
    <font>
      <sz val="10"/>
      <color indexed="8"/>
      <name val="Arial"/>
      <family val="2"/>
    </font>
    <font>
      <b/>
      <u/>
      <sz val="10"/>
      <name val="Arial"/>
      <family val="2"/>
    </font>
    <font>
      <sz val="10"/>
      <name val="Arial"/>
      <family val="2"/>
    </font>
    <font>
      <sz val="14"/>
      <name val="Arial"/>
      <family val="2"/>
    </font>
    <font>
      <sz val="10"/>
      <color indexed="22"/>
      <name val="Arial"/>
      <family val="2"/>
    </font>
    <font>
      <sz val="10"/>
      <color indexed="9"/>
      <name val="Arial"/>
      <family val="2"/>
    </font>
    <font>
      <sz val="8"/>
      <name val="Arial"/>
      <family val="2"/>
    </font>
    <font>
      <b/>
      <sz val="10"/>
      <name val="Arial"/>
      <family val="2"/>
    </font>
    <font>
      <sz val="10"/>
      <color rgb="FF000000"/>
      <name val="Arial"/>
      <family val="2"/>
    </font>
    <font>
      <sz val="11"/>
      <name val="Arial"/>
      <family val="2"/>
    </font>
  </fonts>
  <fills count="5">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tint="-0.14999847407452621"/>
        <bgColor indexed="64"/>
      </patternFill>
    </fill>
  </fills>
  <borders count="25">
    <border>
      <left/>
      <right/>
      <top/>
      <bottom/>
      <diagonal/>
    </border>
    <border>
      <left/>
      <right/>
      <top style="medium">
        <color indexed="64"/>
      </top>
      <bottom/>
      <diagonal/>
    </border>
    <border>
      <left style="medium">
        <color indexed="64"/>
      </left>
      <right style="medium">
        <color indexed="64"/>
      </right>
      <top style="medium">
        <color indexed="64"/>
      </top>
      <bottom/>
      <diagonal/>
    </border>
    <border>
      <left/>
      <right style="medium">
        <color indexed="64"/>
      </right>
      <top/>
      <bottom/>
      <diagonal/>
    </border>
    <border>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style="medium">
        <color indexed="64"/>
      </right>
      <top style="medium">
        <color indexed="64"/>
      </top>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style="medium">
        <color indexed="8"/>
      </right>
      <top/>
      <bottom style="medium">
        <color indexed="8"/>
      </bottom>
      <diagonal/>
    </border>
    <border>
      <left style="medium">
        <color indexed="8"/>
      </left>
      <right/>
      <top style="medium">
        <color indexed="64"/>
      </top>
      <bottom/>
      <diagonal/>
    </border>
    <border>
      <left/>
      <right/>
      <top/>
      <bottom style="medium">
        <color indexed="8"/>
      </bottom>
      <diagonal/>
    </border>
    <border>
      <left/>
      <right style="medium">
        <color indexed="64"/>
      </right>
      <top/>
      <bottom style="medium">
        <color indexed="8"/>
      </bottom>
      <diagonal/>
    </border>
    <border>
      <left style="medium">
        <color indexed="8"/>
      </left>
      <right/>
      <top/>
      <bottom/>
      <diagonal/>
    </border>
    <border>
      <left style="medium">
        <color indexed="8"/>
      </left>
      <right/>
      <top/>
      <bottom style="medium">
        <color indexed="64"/>
      </bottom>
      <diagonal/>
    </border>
    <border>
      <left/>
      <right style="medium">
        <color indexed="8"/>
      </right>
      <top/>
      <bottom style="medium">
        <color indexed="64"/>
      </bottom>
      <diagonal/>
    </border>
  </borders>
  <cellStyleXfs count="2">
    <xf numFmtId="0" fontId="0" fillId="0" borderId="0"/>
    <xf numFmtId="0" fontId="2" fillId="0" borderId="0"/>
  </cellStyleXfs>
  <cellXfs count="87">
    <xf numFmtId="0" fontId="0" fillId="0" borderId="0" xfId="0"/>
    <xf numFmtId="0" fontId="0" fillId="0" borderId="0" xfId="0" applyProtection="1">
      <protection locked="0"/>
    </xf>
    <xf numFmtId="0" fontId="3" fillId="0" borderId="0" xfId="0" applyFont="1" applyAlignment="1" applyProtection="1">
      <alignment wrapText="1"/>
    </xf>
    <xf numFmtId="0" fontId="0" fillId="0" borderId="0" xfId="0" applyAlignment="1" applyProtection="1">
      <alignment wrapText="1"/>
    </xf>
    <xf numFmtId="0" fontId="4" fillId="0" borderId="0" xfId="0" applyFont="1" applyProtection="1">
      <protection locked="0"/>
    </xf>
    <xf numFmtId="0" fontId="0" fillId="0" borderId="0" xfId="0" applyProtection="1">
      <protection hidden="1"/>
    </xf>
    <xf numFmtId="0" fontId="0" fillId="0" borderId="0" xfId="0" applyAlignment="1" applyProtection="1">
      <alignment horizontal="center"/>
      <protection locked="0"/>
    </xf>
    <xf numFmtId="0" fontId="4" fillId="0" borderId="0" xfId="0" applyFont="1" applyProtection="1">
      <protection hidden="1"/>
    </xf>
    <xf numFmtId="0" fontId="4" fillId="0" borderId="0" xfId="0" applyFont="1" applyAlignment="1" applyProtection="1">
      <alignment horizontal="center"/>
      <protection locked="0"/>
    </xf>
    <xf numFmtId="0" fontId="0" fillId="0" borderId="0" xfId="0" applyFont="1" applyProtection="1">
      <protection hidden="1"/>
    </xf>
    <xf numFmtId="0" fontId="0" fillId="0" borderId="0" xfId="0" applyAlignment="1" applyProtection="1">
      <alignment horizontal="center" vertical="center"/>
      <protection locked="0"/>
    </xf>
    <xf numFmtId="0" fontId="0" fillId="0" borderId="1" xfId="0" applyBorder="1" applyAlignment="1" applyProtection="1">
      <alignment horizontal="center"/>
      <protection locked="0"/>
    </xf>
    <xf numFmtId="0" fontId="0" fillId="0" borderId="2" xfId="0" applyBorder="1" applyAlignment="1" applyProtection="1">
      <alignment horizontal="center"/>
      <protection locked="0"/>
    </xf>
    <xf numFmtId="0" fontId="0" fillId="0" borderId="3" xfId="0" applyFont="1" applyBorder="1" applyAlignment="1" applyProtection="1">
      <alignment horizontal="center"/>
      <protection locked="0"/>
    </xf>
    <xf numFmtId="0" fontId="0" fillId="0" borderId="5" xfId="0" applyBorder="1" applyAlignment="1" applyProtection="1">
      <alignment horizontal="center"/>
      <protection locked="0"/>
    </xf>
    <xf numFmtId="0" fontId="0" fillId="0" borderId="6" xfId="0" applyFont="1" applyBorder="1" applyAlignment="1" applyProtection="1">
      <alignment horizontal="center"/>
      <protection locked="0"/>
    </xf>
    <xf numFmtId="0" fontId="6" fillId="2" borderId="0" xfId="0" applyFont="1" applyFill="1" applyAlignment="1" applyProtection="1">
      <alignment horizontal="left"/>
      <protection hidden="1"/>
    </xf>
    <xf numFmtId="0" fontId="0" fillId="2" borderId="0" xfId="0" applyFill="1" applyAlignment="1" applyProtection="1">
      <alignment horizontal="left"/>
      <protection locked="0"/>
    </xf>
    <xf numFmtId="0" fontId="0" fillId="2" borderId="0" xfId="0" applyFill="1" applyProtection="1">
      <protection locked="0"/>
    </xf>
    <xf numFmtId="0" fontId="0" fillId="0" borderId="7" xfId="0" applyBorder="1" applyProtection="1">
      <protection locked="0"/>
    </xf>
    <xf numFmtId="0" fontId="4" fillId="0" borderId="8" xfId="0" applyFont="1" applyBorder="1" applyProtection="1">
      <protection locked="0"/>
    </xf>
    <xf numFmtId="0" fontId="4" fillId="0" borderId="9" xfId="0" applyFont="1" applyBorder="1" applyProtection="1">
      <protection locked="0"/>
    </xf>
    <xf numFmtId="0" fontId="0" fillId="0" borderId="9" xfId="0" applyBorder="1" applyProtection="1">
      <protection locked="0"/>
    </xf>
    <xf numFmtId="0" fontId="7" fillId="3" borderId="10" xfId="0" applyFont="1" applyFill="1" applyBorder="1" applyProtection="1">
      <protection hidden="1"/>
    </xf>
    <xf numFmtId="0" fontId="0" fillId="0" borderId="8" xfId="0" applyBorder="1" applyProtection="1">
      <protection hidden="1"/>
    </xf>
    <xf numFmtId="0" fontId="0" fillId="0" borderId="9" xfId="0" applyBorder="1" applyProtection="1">
      <protection hidden="1"/>
    </xf>
    <xf numFmtId="0" fontId="7" fillId="3" borderId="11" xfId="0" applyFont="1" applyFill="1" applyBorder="1" applyProtection="1">
      <protection hidden="1"/>
    </xf>
    <xf numFmtId="0" fontId="0" fillId="0" borderId="8" xfId="0" applyBorder="1" applyProtection="1">
      <protection locked="0"/>
    </xf>
    <xf numFmtId="0" fontId="5" fillId="2" borderId="0" xfId="0" applyFont="1" applyFill="1" applyAlignment="1" applyProtection="1">
      <protection locked="0"/>
    </xf>
    <xf numFmtId="0" fontId="5" fillId="0" borderId="0" xfId="0" applyFont="1" applyFill="1" applyAlignment="1" applyProtection="1">
      <protection locked="0"/>
    </xf>
    <xf numFmtId="0" fontId="0" fillId="0" borderId="11" xfId="0" applyBorder="1" applyProtection="1">
      <protection locked="0"/>
    </xf>
    <xf numFmtId="164" fontId="0" fillId="0" borderId="0" xfId="0" applyNumberFormat="1" applyAlignment="1" applyProtection="1">
      <alignment horizontal="center"/>
      <protection locked="0"/>
    </xf>
    <xf numFmtId="164" fontId="0" fillId="0" borderId="0" xfId="0" applyNumberFormat="1"/>
    <xf numFmtId="0" fontId="0" fillId="0" borderId="0" xfId="0" applyAlignment="1" applyProtection="1">
      <protection locked="0"/>
    </xf>
    <xf numFmtId="0" fontId="9" fillId="0" borderId="0" xfId="0" applyFont="1" applyAlignment="1" applyProtection="1">
      <alignment wrapText="1"/>
    </xf>
    <xf numFmtId="0" fontId="9" fillId="0" borderId="0" xfId="0" applyFont="1" applyProtection="1">
      <protection locked="0"/>
    </xf>
    <xf numFmtId="0" fontId="1" fillId="0" borderId="12" xfId="0" applyFont="1" applyBorder="1" applyAlignment="1" applyProtection="1">
      <alignment horizontal="center"/>
      <protection locked="0"/>
    </xf>
    <xf numFmtId="0" fontId="1" fillId="0" borderId="0" xfId="0" applyFont="1" applyAlignment="1" applyProtection="1">
      <alignment wrapText="1"/>
    </xf>
    <xf numFmtId="0" fontId="1" fillId="0" borderId="0" xfId="0" applyFont="1" applyProtection="1"/>
    <xf numFmtId="0" fontId="0" fillId="0" borderId="0" xfId="0" applyAlignment="1" applyProtection="1">
      <alignment horizontal="left"/>
      <protection locked="0"/>
    </xf>
    <xf numFmtId="0" fontId="11" fillId="0" borderId="0" xfId="0" applyFont="1" applyAlignment="1" applyProtection="1">
      <alignment horizontal="right" vertical="center"/>
      <protection locked="0"/>
    </xf>
    <xf numFmtId="0" fontId="1" fillId="0" borderId="0" xfId="0" applyFont="1" applyAlignment="1">
      <alignment horizontal="left"/>
    </xf>
    <xf numFmtId="0" fontId="1" fillId="0" borderId="0" xfId="0" applyFont="1"/>
    <xf numFmtId="0" fontId="1" fillId="0" borderId="0" xfId="0" applyFont="1" applyProtection="1">
      <protection locked="0"/>
    </xf>
    <xf numFmtId="164" fontId="1" fillId="0" borderId="0" xfId="0" applyNumberFormat="1" applyFont="1"/>
    <xf numFmtId="0" fontId="0" fillId="4" borderId="0" xfId="0" applyFill="1" applyAlignment="1" applyProtection="1">
      <alignment horizontal="center"/>
      <protection hidden="1"/>
    </xf>
    <xf numFmtId="0" fontId="0" fillId="4" borderId="0" xfId="0" applyFill="1" applyProtection="1">
      <protection locked="0"/>
    </xf>
    <xf numFmtId="0" fontId="4" fillId="4" borderId="0" xfId="0" applyFont="1" applyFill="1" applyProtection="1">
      <protection hidden="1"/>
    </xf>
    <xf numFmtId="0" fontId="1" fillId="2" borderId="0" xfId="0" applyFont="1" applyFill="1" applyAlignment="1" applyProtection="1">
      <alignment horizontal="center"/>
      <protection locked="0"/>
    </xf>
    <xf numFmtId="164" fontId="1" fillId="2" borderId="0" xfId="0" applyNumberFormat="1" applyFont="1" applyFill="1" applyAlignment="1" applyProtection="1">
      <alignment horizontal="center"/>
      <protection locked="0"/>
    </xf>
    <xf numFmtId="0" fontId="1" fillId="2" borderId="0" xfId="0" applyFont="1" applyFill="1" applyProtection="1">
      <protection locked="0"/>
    </xf>
    <xf numFmtId="0" fontId="1" fillId="2" borderId="0" xfId="0" applyFont="1" applyFill="1" applyAlignment="1" applyProtection="1">
      <alignment horizontal="left"/>
      <protection locked="0"/>
    </xf>
    <xf numFmtId="0" fontId="0" fillId="0" borderId="0" xfId="0" applyAlignment="1">
      <alignment horizontal="left"/>
    </xf>
    <xf numFmtId="0" fontId="1" fillId="0" borderId="4" xfId="0" applyFont="1" applyBorder="1" applyAlignment="1" applyProtection="1">
      <alignment horizontal="center"/>
      <protection locked="0"/>
    </xf>
    <xf numFmtId="0" fontId="1" fillId="2" borderId="0" xfId="0" applyFont="1" applyFill="1" applyAlignment="1" applyProtection="1">
      <alignment horizontal="right"/>
      <protection locked="0"/>
    </xf>
    <xf numFmtId="165" fontId="11" fillId="0" borderId="0" xfId="0" applyNumberFormat="1" applyFont="1" applyAlignment="1" applyProtection="1">
      <alignment vertical="center" wrapText="1"/>
      <protection locked="0"/>
    </xf>
    <xf numFmtId="0" fontId="1" fillId="0" borderId="0" xfId="0" applyFont="1" applyAlignment="1" applyProtection="1">
      <alignment horizontal="right"/>
      <protection locked="0"/>
    </xf>
    <xf numFmtId="0" fontId="0" fillId="2" borderId="0" xfId="0" applyFill="1" applyAlignment="1" applyProtection="1">
      <alignment horizontal="center"/>
      <protection locked="0"/>
    </xf>
    <xf numFmtId="0" fontId="4" fillId="0" borderId="13" xfId="0" applyFont="1" applyBorder="1" applyAlignment="1" applyProtection="1">
      <alignment horizontal="center" vertical="center"/>
    </xf>
    <xf numFmtId="0" fontId="4" fillId="0" borderId="14" xfId="0" applyFont="1" applyBorder="1" applyAlignment="1" applyProtection="1">
      <alignment horizontal="center" vertical="center"/>
    </xf>
    <xf numFmtId="0" fontId="4" fillId="0" borderId="15" xfId="0" applyFont="1" applyBorder="1" applyAlignment="1" applyProtection="1">
      <alignment horizontal="center" vertical="center"/>
    </xf>
    <xf numFmtId="0" fontId="4" fillId="0" borderId="16" xfId="0" applyFont="1" applyBorder="1" applyAlignment="1" applyProtection="1">
      <alignment horizontal="center" vertical="center"/>
    </xf>
    <xf numFmtId="0" fontId="4" fillId="0" borderId="17" xfId="0" applyFont="1" applyBorder="1" applyAlignment="1" applyProtection="1">
      <alignment horizontal="center" vertical="center"/>
    </xf>
    <xf numFmtId="0" fontId="4" fillId="0" borderId="18" xfId="0" applyFont="1" applyBorder="1" applyAlignment="1" applyProtection="1">
      <alignment horizontal="center" vertical="center"/>
    </xf>
    <xf numFmtId="0" fontId="1" fillId="0" borderId="19" xfId="0" applyFont="1" applyBorder="1" applyAlignment="1" applyProtection="1">
      <alignment horizontal="left"/>
    </xf>
    <xf numFmtId="0" fontId="1" fillId="0" borderId="1" xfId="0" applyFont="1" applyBorder="1" applyAlignment="1" applyProtection="1">
      <alignment horizontal="left"/>
    </xf>
    <xf numFmtId="0" fontId="1" fillId="0" borderId="14" xfId="0" applyFont="1" applyBorder="1" applyAlignment="1" applyProtection="1">
      <alignment horizontal="left"/>
    </xf>
    <xf numFmtId="0" fontId="0" fillId="0" borderId="13" xfId="0"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2" xfId="0" applyBorder="1" applyAlignment="1" applyProtection="1">
      <alignment horizontal="center" vertical="center"/>
      <protection locked="0"/>
    </xf>
    <xf numFmtId="0" fontId="0" fillId="0" borderId="17" xfId="0" applyBorder="1" applyAlignment="1" applyProtection="1">
      <alignment horizontal="center" vertical="center"/>
      <protection locked="0"/>
    </xf>
    <xf numFmtId="0" fontId="0" fillId="0" borderId="20" xfId="0" applyBorder="1" applyAlignment="1" applyProtection="1">
      <alignment horizontal="center" vertical="center"/>
      <protection locked="0"/>
    </xf>
    <xf numFmtId="0" fontId="0" fillId="0" borderId="21" xfId="0" applyBorder="1" applyAlignment="1" applyProtection="1">
      <alignment horizontal="center" vertical="center"/>
      <protection locked="0"/>
    </xf>
    <xf numFmtId="0" fontId="0" fillId="0" borderId="22" xfId="0" applyBorder="1" applyAlignment="1" applyProtection="1">
      <alignment horizontal="left"/>
    </xf>
    <xf numFmtId="0" fontId="0" fillId="0" borderId="0" xfId="0" applyAlignment="1" applyProtection="1">
      <alignment horizontal="left"/>
    </xf>
    <xf numFmtId="0" fontId="0" fillId="0" borderId="16" xfId="0" applyBorder="1" applyAlignment="1" applyProtection="1">
      <alignment horizontal="left"/>
    </xf>
    <xf numFmtId="0" fontId="0" fillId="0" borderId="23" xfId="0" applyBorder="1" applyAlignment="1" applyProtection="1">
      <alignment horizontal="left"/>
    </xf>
    <xf numFmtId="0" fontId="0" fillId="0" borderId="4" xfId="0" applyBorder="1" applyAlignment="1" applyProtection="1">
      <alignment horizontal="left"/>
    </xf>
    <xf numFmtId="0" fontId="0" fillId="0" borderId="24" xfId="0" applyBorder="1" applyAlignment="1" applyProtection="1">
      <alignment horizontal="left"/>
    </xf>
    <xf numFmtId="0" fontId="11" fillId="0" borderId="0" xfId="0" applyFont="1" applyAlignment="1" applyProtection="1">
      <alignment horizontal="left" vertical="center"/>
      <protection locked="0"/>
    </xf>
    <xf numFmtId="0" fontId="5" fillId="2" borderId="0" xfId="0" applyFont="1" applyFill="1" applyAlignment="1" applyProtection="1">
      <alignment horizontal="center"/>
      <protection locked="0"/>
    </xf>
    <xf numFmtId="164" fontId="11" fillId="0" borderId="0" xfId="0" applyNumberFormat="1" applyFont="1" applyAlignment="1" applyProtection="1">
      <alignment horizontal="left" vertical="center" wrapText="1"/>
      <protection locked="0"/>
    </xf>
    <xf numFmtId="0" fontId="9" fillId="0" borderId="0" xfId="0" applyFont="1" applyAlignment="1" applyProtection="1">
      <alignment horizontal="center"/>
      <protection locked="0"/>
    </xf>
    <xf numFmtId="0" fontId="0" fillId="0" borderId="7" xfId="0" applyBorder="1" applyAlignment="1" applyProtection="1">
      <alignment horizontal="center"/>
      <protection locked="0"/>
    </xf>
    <xf numFmtId="0" fontId="0" fillId="0" borderId="0" xfId="0" applyAlignment="1" applyProtection="1">
      <alignment horizontal="center"/>
      <protection locked="0"/>
    </xf>
    <xf numFmtId="0" fontId="0" fillId="0" borderId="9" xfId="0" applyBorder="1" applyAlignment="1" applyProtection="1">
      <alignment horizontal="center"/>
      <protection hidden="1"/>
    </xf>
    <xf numFmtId="0" fontId="0" fillId="0" borderId="0" xfId="0" applyAlignment="1" applyProtection="1">
      <alignment horizontal="center"/>
      <protection hidden="1"/>
    </xf>
  </cellXfs>
  <cellStyles count="2">
    <cellStyle name="Normal" xfId="0" builtinId="0"/>
    <cellStyle name="Standaard_Vers"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66675</xdr:rowOff>
        </xdr:from>
        <xdr:to>
          <xdr:col>3</xdr:col>
          <xdr:colOff>304800</xdr:colOff>
          <xdr:row>0</xdr:row>
          <xdr:rowOff>361950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1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NL" sz="1000" b="0" i="0" u="none" strike="noStrike" baseline="0">
                  <a:solidFill>
                    <a:srgbClr val="000000"/>
                  </a:solidFill>
                  <a:latin typeface="Arial"/>
                  <a:cs typeface="Arial"/>
                </a:rPr>
                <a:t>Sorteer op baan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66675</xdr:colOff>
          <xdr:row>0</xdr:row>
          <xdr:rowOff>66675</xdr:rowOff>
        </xdr:from>
        <xdr:to>
          <xdr:col>4</xdr:col>
          <xdr:colOff>1438275</xdr:colOff>
          <xdr:row>0</xdr:row>
          <xdr:rowOff>361950</xdr:rowOff>
        </xdr:to>
        <xdr:sp macro="" textlink="">
          <xdr:nvSpPr>
            <xdr:cNvPr id="1051" name="Button 27" hidden="1">
              <a:extLst>
                <a:ext uri="{63B3BB69-23CF-44E3-9099-C40C66FF867C}">
                  <a14:compatExt spid="_x0000_s1051"/>
                </a:ext>
                <a:ext uri="{FF2B5EF4-FFF2-40B4-BE49-F238E27FC236}">
                  <a16:creationId xmlns:a16="http://schemas.microsoft.com/office/drawing/2014/main" id="{00000000-0008-0000-0100-00001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NL" sz="1000" b="0" i="0" u="none" strike="noStrike" baseline="0">
                  <a:solidFill>
                    <a:srgbClr val="000000"/>
                  </a:solidFill>
                  <a:latin typeface="Arial"/>
                  <a:cs typeface="Arial"/>
                </a:rPr>
                <a:t>Uitnodigingen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47625</xdr:colOff>
          <xdr:row>0</xdr:row>
          <xdr:rowOff>66675</xdr:rowOff>
        </xdr:from>
        <xdr:to>
          <xdr:col>5</xdr:col>
          <xdr:colOff>1171575</xdr:colOff>
          <xdr:row>0</xdr:row>
          <xdr:rowOff>371475</xdr:rowOff>
        </xdr:to>
        <xdr:sp macro="" textlink="">
          <xdr:nvSpPr>
            <xdr:cNvPr id="1052" name="Button 28" hidden="1">
              <a:extLst>
                <a:ext uri="{63B3BB69-23CF-44E3-9099-C40C66FF867C}">
                  <a14:compatExt spid="_x0000_s1052"/>
                </a:ext>
                <a:ext uri="{FF2B5EF4-FFF2-40B4-BE49-F238E27FC236}">
                  <a16:creationId xmlns:a16="http://schemas.microsoft.com/office/drawing/2014/main" id="{00000000-0008-0000-0100-00001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NL" sz="1000" b="0" i="0" u="none" strike="noStrike" baseline="0">
                  <a:solidFill>
                    <a:srgbClr val="000000"/>
                  </a:solidFill>
                  <a:latin typeface="Arial"/>
                  <a:cs typeface="Arial"/>
                </a:rPr>
                <a:t>Afdrukken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390525</xdr:colOff>
          <xdr:row>0</xdr:row>
          <xdr:rowOff>38100</xdr:rowOff>
        </xdr:from>
        <xdr:to>
          <xdr:col>6</xdr:col>
          <xdr:colOff>1362075</xdr:colOff>
          <xdr:row>0</xdr:row>
          <xdr:rowOff>361950</xdr:rowOff>
        </xdr:to>
        <xdr:sp macro="" textlink="">
          <xdr:nvSpPr>
            <xdr:cNvPr id="1053" name="Button 29" hidden="1">
              <a:extLst>
                <a:ext uri="{63B3BB69-23CF-44E3-9099-C40C66FF867C}">
                  <a14:compatExt spid="_x0000_s1053"/>
                </a:ext>
                <a:ext uri="{FF2B5EF4-FFF2-40B4-BE49-F238E27FC236}">
                  <a16:creationId xmlns:a16="http://schemas.microsoft.com/office/drawing/2014/main" id="{00000000-0008-0000-0100-00001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NL" sz="1000" b="0" i="0" u="none" strike="noStrike" baseline="0">
                  <a:solidFill>
                    <a:srgbClr val="000000"/>
                  </a:solidFill>
                  <a:latin typeface="Arial"/>
                  <a:cs typeface="Arial"/>
                </a:rPr>
                <a:t>Naar finale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1504950</xdr:colOff>
          <xdr:row>40</xdr:row>
          <xdr:rowOff>9525</xdr:rowOff>
        </xdr:from>
        <xdr:to>
          <xdr:col>14</xdr:col>
          <xdr:colOff>114300</xdr:colOff>
          <xdr:row>41</xdr:row>
          <xdr:rowOff>114300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NL" sz="1000" b="0" i="0" u="none" strike="noStrike" baseline="0">
                  <a:solidFill>
                    <a:srgbClr val="000000"/>
                  </a:solidFill>
                  <a:latin typeface="Arial"/>
                  <a:cs typeface="Arial"/>
                </a:rPr>
                <a:t>Afdrukken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5"/>
  <dimension ref="A1:A18"/>
  <sheetViews>
    <sheetView tabSelected="1" workbookViewId="0"/>
  </sheetViews>
  <sheetFormatPr defaultColWidth="0" defaultRowHeight="12.75" zeroHeight="1" x14ac:dyDescent="0.2"/>
  <cols>
    <col min="1" max="1" width="97.140625" style="1" customWidth="1"/>
    <col min="2" max="16384" width="9.140625" style="1" hidden="1"/>
  </cols>
  <sheetData>
    <row r="1" spans="1:1" x14ac:dyDescent="0.2">
      <c r="A1" s="2" t="s">
        <v>21</v>
      </c>
    </row>
    <row r="2" spans="1:1" ht="25.5" x14ac:dyDescent="0.2">
      <c r="A2" s="37" t="s">
        <v>35</v>
      </c>
    </row>
    <row r="3" spans="1:1" x14ac:dyDescent="0.2">
      <c r="A3" s="3"/>
    </row>
    <row r="4" spans="1:1" x14ac:dyDescent="0.2">
      <c r="A4" s="2" t="s">
        <v>22</v>
      </c>
    </row>
    <row r="5" spans="1:1" ht="51" x14ac:dyDescent="0.2">
      <c r="A5" s="37" t="s">
        <v>25</v>
      </c>
    </row>
    <row r="6" spans="1:1" ht="51" x14ac:dyDescent="0.2">
      <c r="A6" s="37" t="s">
        <v>31</v>
      </c>
    </row>
    <row r="7" spans="1:1" x14ac:dyDescent="0.2">
      <c r="A7" s="3"/>
    </row>
    <row r="8" spans="1:1" x14ac:dyDescent="0.2">
      <c r="A8" s="2" t="s">
        <v>23</v>
      </c>
    </row>
    <row r="9" spans="1:1" ht="40.5" customHeight="1" x14ac:dyDescent="0.2">
      <c r="A9" s="3" t="s">
        <v>24</v>
      </c>
    </row>
    <row r="10" spans="1:1" x14ac:dyDescent="0.2">
      <c r="A10" s="3"/>
    </row>
    <row r="11" spans="1:1" x14ac:dyDescent="0.2">
      <c r="A11" s="2" t="s">
        <v>20</v>
      </c>
    </row>
    <row r="12" spans="1:1" ht="63.75" x14ac:dyDescent="0.2">
      <c r="A12" s="3" t="s">
        <v>19</v>
      </c>
    </row>
    <row r="13" spans="1:1" x14ac:dyDescent="0.2">
      <c r="A13" s="3"/>
    </row>
    <row r="14" spans="1:1" x14ac:dyDescent="0.2">
      <c r="A14" s="34" t="s">
        <v>14</v>
      </c>
    </row>
    <row r="15" spans="1:1" ht="53.25" customHeight="1" x14ac:dyDescent="0.2">
      <c r="A15" s="37" t="s">
        <v>36</v>
      </c>
    </row>
    <row r="16" spans="1:1" s="35" customFormat="1" ht="38.25" x14ac:dyDescent="0.2">
      <c r="A16" s="34" t="s">
        <v>15</v>
      </c>
    </row>
    <row r="17" spans="1:1" s="35" customFormat="1" x14ac:dyDescent="0.2">
      <c r="A17" s="34"/>
    </row>
    <row r="18" spans="1:1" x14ac:dyDescent="0.2">
      <c r="A18" s="38" t="s">
        <v>26</v>
      </c>
    </row>
  </sheetData>
  <phoneticPr fontId="8" type="noConversion"/>
  <pageMargins left="0.79" right="0.79" top="0.98" bottom="0.98" header="0.5" footer="0.5"/>
  <pageSetup paperSize="9" orientation="portrait"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1">
    <pageSetUpPr fitToPage="1"/>
  </sheetPr>
  <dimension ref="A1:V57"/>
  <sheetViews>
    <sheetView zoomScaleNormal="100" workbookViewId="0">
      <selection activeCell="A4" sqref="A4"/>
    </sheetView>
  </sheetViews>
  <sheetFormatPr defaultColWidth="0" defaultRowHeight="12.75" x14ac:dyDescent="0.2"/>
  <cols>
    <col min="1" max="1" width="8.5703125" style="1" customWidth="1"/>
    <col min="2" max="2" width="4.28515625" style="1" customWidth="1"/>
    <col min="3" max="3" width="2.140625" style="5" bestFit="1" customWidth="1"/>
    <col min="4" max="4" width="7.85546875" style="39" customWidth="1"/>
    <col min="5" max="5" width="28.42578125" style="1" customWidth="1"/>
    <col min="6" max="6" width="22.42578125" style="1" customWidth="1"/>
    <col min="7" max="7" width="26.42578125" style="39" customWidth="1"/>
    <col min="8" max="8" width="9.42578125" style="1" customWidth="1"/>
    <col min="9" max="9" width="14.5703125" style="31" bestFit="1" customWidth="1"/>
    <col min="10" max="10" width="8.5703125" style="1" bestFit="1" customWidth="1"/>
    <col min="11" max="11" width="5" style="1" customWidth="1"/>
    <col min="12" max="12" width="4.7109375" style="1" customWidth="1"/>
    <col min="13" max="15" width="3.7109375" style="1" bestFit="1" customWidth="1"/>
    <col min="16" max="16" width="3" style="1" customWidth="1"/>
    <col min="17" max="17" width="15.7109375" style="1" customWidth="1"/>
    <col min="18" max="18" width="5.140625" style="7" customWidth="1"/>
    <col min="19" max="16384" width="9.140625" style="1" hidden="1"/>
  </cols>
  <sheetData>
    <row r="1" spans="1:22" ht="33" customHeight="1" thickBot="1" x14ac:dyDescent="0.25">
      <c r="C1" s="1"/>
      <c r="I1" s="58" t="s">
        <v>0</v>
      </c>
      <c r="J1" s="59"/>
      <c r="K1" s="64" t="s">
        <v>18</v>
      </c>
      <c r="L1" s="65"/>
      <c r="M1" s="65"/>
      <c r="N1" s="65"/>
      <c r="O1" s="65"/>
      <c r="P1" s="65"/>
      <c r="Q1" s="66"/>
      <c r="R1" s="36">
        <v>16</v>
      </c>
    </row>
    <row r="2" spans="1:22" ht="12.75" customHeight="1" x14ac:dyDescent="0.2">
      <c r="A2" s="10"/>
      <c r="B2" s="67" t="s">
        <v>0</v>
      </c>
      <c r="C2" s="68"/>
      <c r="D2" s="69"/>
      <c r="E2" s="67" t="s">
        <v>1</v>
      </c>
      <c r="F2" s="11" t="s">
        <v>2</v>
      </c>
      <c r="G2" s="12" t="s">
        <v>3</v>
      </c>
      <c r="I2" s="60"/>
      <c r="J2" s="61"/>
      <c r="K2" s="73"/>
      <c r="L2" s="74"/>
      <c r="M2" s="74"/>
      <c r="N2" s="74"/>
      <c r="O2" s="74"/>
      <c r="P2" s="74"/>
      <c r="Q2" s="75"/>
      <c r="R2" s="13"/>
    </row>
    <row r="3" spans="1:22" ht="13.5" thickBot="1" x14ac:dyDescent="0.25">
      <c r="A3" s="10"/>
      <c r="B3" s="70"/>
      <c r="C3" s="71"/>
      <c r="D3" s="72"/>
      <c r="E3" s="70"/>
      <c r="F3" s="53" t="s">
        <v>38</v>
      </c>
      <c r="G3" s="14" t="s">
        <v>4</v>
      </c>
      <c r="I3" s="62"/>
      <c r="J3" s="63"/>
      <c r="K3" s="76"/>
      <c r="L3" s="77"/>
      <c r="M3" s="77"/>
      <c r="N3" s="77"/>
      <c r="O3" s="77"/>
      <c r="P3" s="77"/>
      <c r="Q3" s="78"/>
      <c r="R3" s="15"/>
    </row>
    <row r="4" spans="1:22" ht="18" x14ac:dyDescent="0.25">
      <c r="C4" s="80" t="str">
        <f ca="1">"Bondskampioenschappen Indoor " &amp;YEAR(NOW()) &amp; ", " &amp;K5</f>
        <v>Bondskampioenschappen Indoor 2022, Recurve klasse 1</v>
      </c>
      <c r="D4" s="80"/>
      <c r="E4" s="80"/>
      <c r="F4" s="80"/>
      <c r="G4" s="80"/>
      <c r="H4" s="80"/>
      <c r="I4" s="80"/>
      <c r="J4" s="28"/>
      <c r="K4" s="28"/>
      <c r="L4" s="28"/>
      <c r="M4" s="28"/>
      <c r="N4" s="28"/>
      <c r="O4" s="28"/>
      <c r="P4" s="28"/>
      <c r="Q4" s="28"/>
      <c r="R4" s="9"/>
    </row>
    <row r="5" spans="1:22" ht="46.5" customHeight="1" x14ac:dyDescent="0.2">
      <c r="C5" s="1"/>
      <c r="D5" s="79" t="s">
        <v>45</v>
      </c>
      <c r="E5" s="79"/>
      <c r="F5" s="40" t="s">
        <v>29</v>
      </c>
      <c r="G5" s="81" t="s">
        <v>30</v>
      </c>
      <c r="H5" s="81"/>
      <c r="I5" s="55" t="s">
        <v>28</v>
      </c>
      <c r="J5" s="40" t="s">
        <v>43</v>
      </c>
      <c r="K5" s="79" t="s">
        <v>42</v>
      </c>
      <c r="L5" s="79"/>
      <c r="M5" s="79"/>
      <c r="N5" s="79"/>
      <c r="O5" s="79"/>
      <c r="P5" s="79"/>
      <c r="Q5" s="79"/>
      <c r="R5" s="9"/>
    </row>
    <row r="6" spans="1:22" x14ac:dyDescent="0.2">
      <c r="A6" s="57" t="s">
        <v>27</v>
      </c>
      <c r="B6" s="57"/>
      <c r="C6" s="16">
        <v>0</v>
      </c>
      <c r="D6" s="17" t="s">
        <v>5</v>
      </c>
      <c r="E6" s="18" t="s">
        <v>12</v>
      </c>
      <c r="F6" s="54" t="s">
        <v>44</v>
      </c>
      <c r="G6" s="51" t="s">
        <v>13</v>
      </c>
      <c r="H6" s="50"/>
      <c r="I6" s="49" t="s">
        <v>37</v>
      </c>
      <c r="J6" s="48" t="s">
        <v>32</v>
      </c>
      <c r="K6" s="48" t="s">
        <v>33</v>
      </c>
      <c r="L6" s="48" t="s">
        <v>6</v>
      </c>
      <c r="M6" s="57" t="s">
        <v>7</v>
      </c>
      <c r="N6" s="57"/>
      <c r="O6" s="57"/>
      <c r="P6" s="57"/>
      <c r="Q6" s="50" t="s">
        <v>39</v>
      </c>
    </row>
    <row r="7" spans="1:22" x14ac:dyDescent="0.2">
      <c r="A7" s="56" t="s">
        <v>59</v>
      </c>
      <c r="B7" s="43"/>
      <c r="C7" s="42"/>
      <c r="D7" s="41"/>
      <c r="E7" s="42"/>
      <c r="F7" s="42"/>
      <c r="G7" s="41"/>
      <c r="H7" s="42"/>
      <c r="I7" s="44"/>
      <c r="J7" s="42"/>
      <c r="K7" s="42"/>
      <c r="L7" s="42" t="str">
        <f>IF(K7&lt;&gt;"",J7+K7,IF(J7&lt;&gt;"",J7,""))</f>
        <v/>
      </c>
      <c r="M7" s="42"/>
      <c r="N7" s="42"/>
      <c r="O7" s="42"/>
      <c r="P7" s="42"/>
      <c r="Q7" s="42"/>
      <c r="R7"/>
      <c r="S7">
        <f>M7/100+N7/10000+O7/1000000+P7/100000000</f>
        <v>0</v>
      </c>
      <c r="T7"/>
      <c r="U7"/>
      <c r="V7"/>
    </row>
    <row r="8" spans="1:22" x14ac:dyDescent="0.2">
      <c r="A8" s="56" t="s">
        <v>46</v>
      </c>
      <c r="B8" s="43"/>
      <c r="C8" s="42"/>
      <c r="D8" s="41"/>
      <c r="E8" s="42"/>
      <c r="F8" s="42"/>
      <c r="G8" s="41"/>
      <c r="H8" s="42"/>
      <c r="I8" s="44"/>
      <c r="J8" s="42"/>
      <c r="K8" s="42"/>
      <c r="L8" s="42" t="str">
        <f>IF(K8&lt;&gt;"",J8+K8,IF(J8&lt;&gt;"",J8,""))</f>
        <v/>
      </c>
      <c r="M8" s="42"/>
      <c r="N8" s="42"/>
      <c r="O8" s="42"/>
      <c r="P8" s="42"/>
      <c r="Q8" s="42"/>
      <c r="R8"/>
      <c r="S8">
        <f>M8/100+N8/10000+O8/1000000+P8/100000000</f>
        <v>0</v>
      </c>
      <c r="T8"/>
      <c r="U8"/>
      <c r="V8"/>
    </row>
    <row r="9" spans="1:22" x14ac:dyDescent="0.2">
      <c r="A9" s="56" t="s">
        <v>58</v>
      </c>
      <c r="B9" s="43"/>
      <c r="C9" s="42"/>
      <c r="D9" s="41"/>
      <c r="E9" s="42"/>
      <c r="F9" s="42"/>
      <c r="G9" s="41"/>
      <c r="H9" s="42"/>
      <c r="I9" s="44"/>
      <c r="J9" s="42"/>
      <c r="K9" s="42"/>
      <c r="L9" s="42" t="str">
        <f>IF(K9&lt;&gt;"",J9+K9,IF(J9&lt;&gt;"",J9,""))</f>
        <v/>
      </c>
      <c r="M9" s="42"/>
      <c r="N9" s="42"/>
      <c r="O9" s="42"/>
      <c r="P9" s="42"/>
      <c r="Q9" s="42"/>
      <c r="R9"/>
      <c r="S9">
        <f>M9/100+N9/10000+O9/1000000+P9/100000000</f>
        <v>0</v>
      </c>
      <c r="T9"/>
      <c r="U9"/>
      <c r="V9"/>
    </row>
    <row r="10" spans="1:22" x14ac:dyDescent="0.2">
      <c r="A10" s="56" t="s">
        <v>61</v>
      </c>
      <c r="B10" s="43"/>
      <c r="C10" s="42"/>
      <c r="D10" s="41"/>
      <c r="E10" s="42"/>
      <c r="F10" s="42"/>
      <c r="G10" s="41"/>
      <c r="H10" s="42"/>
      <c r="I10" s="44"/>
      <c r="J10" s="42"/>
      <c r="K10" s="42"/>
      <c r="L10" s="42" t="str">
        <f>IF(K10&lt;&gt;"",J10+K10,IF(J10&lt;&gt;"",J10,""))</f>
        <v/>
      </c>
      <c r="M10" s="42"/>
      <c r="N10" s="42"/>
      <c r="O10" s="42"/>
      <c r="P10" s="42"/>
      <c r="Q10" s="42"/>
      <c r="R10"/>
      <c r="S10">
        <f>M10/100+N10/10000+O10/1000000+P10/100000000</f>
        <v>0</v>
      </c>
      <c r="T10"/>
      <c r="U10"/>
      <c r="V10"/>
    </row>
    <row r="11" spans="1:22" x14ac:dyDescent="0.2">
      <c r="A11" s="56" t="s">
        <v>60</v>
      </c>
      <c r="B11" s="43"/>
      <c r="C11" s="42"/>
      <c r="D11" s="41"/>
      <c r="E11" s="42"/>
      <c r="F11" s="42"/>
      <c r="G11" s="41"/>
      <c r="H11" s="42"/>
      <c r="I11" s="44"/>
      <c r="J11" s="42"/>
      <c r="K11" s="42"/>
      <c r="L11" s="42" t="str">
        <f>IF(K11&lt;&gt;"",J11+K11,IF(J11&lt;&gt;"",J11,""))</f>
        <v/>
      </c>
      <c r="M11" s="42"/>
      <c r="N11" s="42"/>
      <c r="O11" s="42"/>
      <c r="P11" s="42"/>
      <c r="Q11" s="42"/>
      <c r="R11"/>
      <c r="S11">
        <f>M11/100+N11/10000+O11/1000000+P11/100000000</f>
        <v>0</v>
      </c>
      <c r="T11"/>
      <c r="U11"/>
      <c r="V11"/>
    </row>
    <row r="12" spans="1:22" x14ac:dyDescent="0.2">
      <c r="A12" s="56" t="s">
        <v>57</v>
      </c>
      <c r="B12" s="43"/>
      <c r="C12" s="42"/>
      <c r="D12" s="41"/>
      <c r="E12" s="42"/>
      <c r="F12" s="42"/>
      <c r="G12" s="41"/>
      <c r="H12" s="42"/>
      <c r="I12" s="44"/>
      <c r="J12" s="42"/>
      <c r="K12" s="42"/>
      <c r="L12" s="42" t="str">
        <f>IF(K12&lt;&gt;"",J12+K12,IF(J12&lt;&gt;"",J12,""))</f>
        <v/>
      </c>
      <c r="M12" s="42"/>
      <c r="N12" s="42"/>
      <c r="O12" s="42"/>
      <c r="P12" s="42"/>
      <c r="Q12" s="42"/>
      <c r="R12"/>
      <c r="S12">
        <f>M12/100+N12/10000+O12/1000000+P12/100000000</f>
        <v>0</v>
      </c>
      <c r="T12"/>
      <c r="U12"/>
      <c r="V12"/>
    </row>
    <row r="13" spans="1:22" x14ac:dyDescent="0.2">
      <c r="A13" s="56" t="s">
        <v>56</v>
      </c>
      <c r="B13" s="43"/>
      <c r="C13" s="42"/>
      <c r="D13" s="41"/>
      <c r="E13" s="42"/>
      <c r="F13" s="42"/>
      <c r="G13" s="41"/>
      <c r="H13" s="42"/>
      <c r="I13" s="44"/>
      <c r="J13" s="42"/>
      <c r="K13" s="42"/>
      <c r="L13" s="42" t="str">
        <f>IF(K13&lt;&gt;"",J13+K13,IF(J13&lt;&gt;"",J13,""))</f>
        <v/>
      </c>
      <c r="M13" s="42"/>
      <c r="N13" s="42"/>
      <c r="O13" s="42"/>
      <c r="P13" s="42"/>
      <c r="Q13" s="42"/>
      <c r="R13"/>
      <c r="S13">
        <f>M13/100+N13/10000+O13/1000000+P13/100000000</f>
        <v>0</v>
      </c>
      <c r="T13"/>
      <c r="U13"/>
      <c r="V13"/>
    </row>
    <row r="14" spans="1:22" x14ac:dyDescent="0.2">
      <c r="A14" s="56" t="s">
        <v>55</v>
      </c>
      <c r="B14" s="43"/>
      <c r="C14" s="42"/>
      <c r="D14" s="41"/>
      <c r="E14" s="42"/>
      <c r="F14" s="42"/>
      <c r="G14" s="41"/>
      <c r="H14" s="42"/>
      <c r="I14" s="44"/>
      <c r="J14" s="42"/>
      <c r="K14" s="42"/>
      <c r="L14" s="42" t="str">
        <f>IF(K14&lt;&gt;"",J14+K14,IF(J14&lt;&gt;"",J14,""))</f>
        <v/>
      </c>
      <c r="M14" s="42"/>
      <c r="N14" s="42"/>
      <c r="O14" s="42"/>
      <c r="P14" s="42"/>
      <c r="Q14" s="42"/>
      <c r="R14"/>
      <c r="S14">
        <f>M14/100+N14/10000+O14/1000000+P14/100000000</f>
        <v>0</v>
      </c>
      <c r="T14"/>
      <c r="U14"/>
      <c r="V14"/>
    </row>
    <row r="15" spans="1:22" x14ac:dyDescent="0.2">
      <c r="A15" s="56" t="s">
        <v>54</v>
      </c>
      <c r="B15" s="43"/>
      <c r="C15" s="42"/>
      <c r="D15" s="41"/>
      <c r="E15" s="42"/>
      <c r="F15" s="42"/>
      <c r="G15" s="41"/>
      <c r="H15" s="42"/>
      <c r="I15" s="44"/>
      <c r="J15" s="42"/>
      <c r="K15" s="42"/>
      <c r="L15" s="42" t="str">
        <f>IF(K15&lt;&gt;"",J15+K15,IF(J15&lt;&gt;"",J15,""))</f>
        <v/>
      </c>
      <c r="M15" s="42"/>
      <c r="N15" s="42"/>
      <c r="O15" s="42"/>
      <c r="P15" s="42"/>
      <c r="Q15" s="42"/>
      <c r="R15"/>
      <c r="S15">
        <f>M15/100+N15/10000+O15/1000000+P15/100000000</f>
        <v>0</v>
      </c>
      <c r="T15"/>
      <c r="U15"/>
      <c r="V15"/>
    </row>
    <row r="16" spans="1:22" x14ac:dyDescent="0.2">
      <c r="A16" s="56" t="s">
        <v>52</v>
      </c>
      <c r="B16" s="43"/>
      <c r="C16" s="42"/>
      <c r="D16" s="41"/>
      <c r="E16" s="42"/>
      <c r="F16" s="42"/>
      <c r="G16" s="41"/>
      <c r="H16" s="42"/>
      <c r="I16" s="44"/>
      <c r="J16" s="42"/>
      <c r="K16" s="42"/>
      <c r="L16" s="42" t="str">
        <f>IF(K16&lt;&gt;"",J16+K16,IF(J16&lt;&gt;"",J16,""))</f>
        <v/>
      </c>
      <c r="M16" s="42"/>
      <c r="N16" s="42"/>
      <c r="O16" s="42"/>
      <c r="P16" s="42"/>
      <c r="Q16" s="42"/>
      <c r="R16"/>
      <c r="S16">
        <f>M16/100+N16/10000+O16/1000000+P16/100000000</f>
        <v>0</v>
      </c>
      <c r="T16"/>
      <c r="U16"/>
      <c r="V16"/>
    </row>
    <row r="17" spans="1:22" x14ac:dyDescent="0.2">
      <c r="A17" s="56" t="s">
        <v>53</v>
      </c>
      <c r="B17" s="43"/>
      <c r="C17" s="42"/>
      <c r="D17" s="41"/>
      <c r="E17" s="42"/>
      <c r="F17" s="42"/>
      <c r="G17" s="41"/>
      <c r="H17" s="42"/>
      <c r="I17" s="44"/>
      <c r="J17" s="42"/>
      <c r="K17" s="42"/>
      <c r="L17" s="42" t="str">
        <f>IF(K17&lt;&gt;"",J17+K17,IF(J17&lt;&gt;"",J17,""))</f>
        <v/>
      </c>
      <c r="M17" s="42"/>
      <c r="N17" s="42"/>
      <c r="O17" s="42"/>
      <c r="P17" s="42"/>
      <c r="Q17" s="42"/>
      <c r="R17"/>
      <c r="S17">
        <f>M17/100+N17/10000+O17/1000000+P17/100000000</f>
        <v>0</v>
      </c>
      <c r="T17"/>
      <c r="U17"/>
      <c r="V17"/>
    </row>
    <row r="18" spans="1:22" x14ac:dyDescent="0.2">
      <c r="A18" s="56" t="s">
        <v>51</v>
      </c>
      <c r="B18" s="43"/>
      <c r="C18" s="42"/>
      <c r="D18" s="41"/>
      <c r="E18" s="42"/>
      <c r="F18" s="42"/>
      <c r="G18" s="41"/>
      <c r="H18" s="42"/>
      <c r="I18" s="44"/>
      <c r="J18" s="42"/>
      <c r="K18" s="42"/>
      <c r="L18" s="42" t="str">
        <f>IF(K18&lt;&gt;"",J18+K18,IF(J18&lt;&gt;"",J18,""))</f>
        <v/>
      </c>
      <c r="M18" s="42"/>
      <c r="N18" s="42"/>
      <c r="O18" s="42"/>
      <c r="P18" s="42"/>
      <c r="Q18" s="42"/>
      <c r="R18"/>
      <c r="S18">
        <f>M18/100+N18/10000+O18/1000000+P18/100000000</f>
        <v>0</v>
      </c>
      <c r="T18"/>
      <c r="U18"/>
      <c r="V18"/>
    </row>
    <row r="19" spans="1:22" x14ac:dyDescent="0.2">
      <c r="A19" s="56" t="s">
        <v>50</v>
      </c>
      <c r="B19" s="43"/>
      <c r="C19" s="42"/>
      <c r="D19" s="41"/>
      <c r="E19" s="42"/>
      <c r="F19" s="42"/>
      <c r="G19" s="41"/>
      <c r="H19" s="42"/>
      <c r="I19" s="44"/>
      <c r="J19" s="42"/>
      <c r="K19" s="42"/>
      <c r="L19" s="42" t="str">
        <f>IF(K19&lt;&gt;"",J19+K19,IF(J19&lt;&gt;"",J19,""))</f>
        <v/>
      </c>
      <c r="M19" s="42"/>
      <c r="N19" s="42"/>
      <c r="O19" s="42"/>
      <c r="P19" s="42"/>
      <c r="Q19" s="42"/>
      <c r="R19"/>
      <c r="S19">
        <f>M19/100+N19/10000+O19/1000000+P19/100000000</f>
        <v>0</v>
      </c>
      <c r="T19"/>
      <c r="U19"/>
      <c r="V19"/>
    </row>
    <row r="20" spans="1:22" x14ac:dyDescent="0.2">
      <c r="A20" s="56" t="s">
        <v>49</v>
      </c>
      <c r="B20" s="43"/>
      <c r="C20" s="42"/>
      <c r="D20" s="41"/>
      <c r="E20" s="42"/>
      <c r="F20" s="42"/>
      <c r="G20" s="41"/>
      <c r="H20" s="42"/>
      <c r="I20" s="44"/>
      <c r="J20" s="42"/>
      <c r="K20" s="42"/>
      <c r="L20" s="42" t="str">
        <f>IF(K20&lt;&gt;"",J20+K20,IF(J20&lt;&gt;"",J20,""))</f>
        <v/>
      </c>
      <c r="M20" s="42"/>
      <c r="N20" s="42"/>
      <c r="O20" s="42"/>
      <c r="P20" s="42"/>
      <c r="Q20" s="42"/>
      <c r="R20"/>
      <c r="S20">
        <f>M20/100+N20/10000+O20/1000000+P20/100000000</f>
        <v>0</v>
      </c>
      <c r="T20"/>
      <c r="U20"/>
      <c r="V20"/>
    </row>
    <row r="21" spans="1:22" x14ac:dyDescent="0.2">
      <c r="A21" s="56" t="s">
        <v>48</v>
      </c>
      <c r="B21" s="43"/>
      <c r="C21" s="42"/>
      <c r="D21" s="41"/>
      <c r="E21" s="42"/>
      <c r="F21" s="42"/>
      <c r="G21" s="41"/>
      <c r="H21" s="42"/>
      <c r="I21" s="44"/>
      <c r="J21" s="42"/>
      <c r="K21" s="42"/>
      <c r="L21" s="42" t="str">
        <f>IF(K21&lt;&gt;"",J21+K21,IF(J21&lt;&gt;"",J21,""))</f>
        <v/>
      </c>
      <c r="M21" s="42"/>
      <c r="N21" s="42"/>
      <c r="O21" s="42"/>
      <c r="P21" s="42"/>
      <c r="Q21" s="42"/>
      <c r="R21"/>
      <c r="S21">
        <f>M21/100+N21/10000+O21/1000000+P21/100000000</f>
        <v>0</v>
      </c>
      <c r="T21"/>
      <c r="U21"/>
      <c r="V21"/>
    </row>
    <row r="22" spans="1:22" x14ac:dyDescent="0.2">
      <c r="A22" s="56" t="s">
        <v>47</v>
      </c>
      <c r="B22" s="43"/>
      <c r="C22" s="42"/>
      <c r="D22" s="41"/>
      <c r="E22" s="42"/>
      <c r="F22" s="42"/>
      <c r="G22" s="41"/>
      <c r="H22" s="42"/>
      <c r="I22" s="44"/>
      <c r="J22" s="42"/>
      <c r="K22" s="42"/>
      <c r="L22" s="42" t="str">
        <f>IF(K22&lt;&gt;"",J22+K22,IF(J22&lt;&gt;"",J22,""))</f>
        <v/>
      </c>
      <c r="M22" s="42"/>
      <c r="N22" s="42"/>
      <c r="O22" s="42"/>
      <c r="P22" s="42"/>
      <c r="Q22" s="42"/>
      <c r="R22"/>
      <c r="S22">
        <f>M22/100+N22/10000+O22/1000000+P22/100000000</f>
        <v>0</v>
      </c>
      <c r="T22"/>
      <c r="U22"/>
      <c r="V22"/>
    </row>
    <row r="23" spans="1:22" x14ac:dyDescent="0.2">
      <c r="A23" s="43"/>
      <c r="B23" s="43"/>
      <c r="C23" s="42"/>
      <c r="D23" s="41"/>
      <c r="E23" s="42"/>
      <c r="F23" s="42"/>
      <c r="G23" s="41"/>
      <c r="H23" s="42"/>
      <c r="I23" s="44"/>
      <c r="J23" s="42"/>
      <c r="K23" s="42"/>
      <c r="L23" s="42" t="str">
        <f t="shared" ref="L23:L55" si="0">IF(K23&lt;&gt;"",J23+K23,IF(J23&lt;&gt;"",J23,""))</f>
        <v/>
      </c>
      <c r="M23" s="42"/>
      <c r="N23" s="42"/>
      <c r="O23" s="42"/>
      <c r="P23" s="42"/>
      <c r="Q23" s="42"/>
      <c r="R23"/>
      <c r="S23">
        <f t="shared" ref="S8:S55" si="1">M23/100+N23/10000+O23/1000000+P23/100000000</f>
        <v>0</v>
      </c>
      <c r="T23"/>
      <c r="U23"/>
      <c r="V23"/>
    </row>
    <row r="24" spans="1:22" x14ac:dyDescent="0.2">
      <c r="A24" s="43"/>
      <c r="B24" s="43"/>
      <c r="C24" s="42"/>
      <c r="D24" s="41"/>
      <c r="E24" s="42"/>
      <c r="F24" s="42"/>
      <c r="G24" s="41"/>
      <c r="H24" s="42"/>
      <c r="I24" s="44"/>
      <c r="J24" s="42"/>
      <c r="K24" s="42"/>
      <c r="L24" s="42" t="str">
        <f t="shared" si="0"/>
        <v/>
      </c>
      <c r="M24" s="42"/>
      <c r="N24" s="42"/>
      <c r="O24" s="42"/>
      <c r="P24" s="42"/>
      <c r="Q24" s="42"/>
      <c r="R24"/>
      <c r="S24">
        <f t="shared" si="1"/>
        <v>0</v>
      </c>
      <c r="T24"/>
      <c r="U24"/>
      <c r="V24"/>
    </row>
    <row r="25" spans="1:22" x14ac:dyDescent="0.2">
      <c r="A25" s="43"/>
      <c r="B25" s="43"/>
      <c r="C25" s="42"/>
      <c r="D25" s="41"/>
      <c r="E25" s="42"/>
      <c r="F25" s="42"/>
      <c r="G25" s="41"/>
      <c r="H25" s="42"/>
      <c r="I25" s="44"/>
      <c r="J25" s="42"/>
      <c r="K25" s="42"/>
      <c r="L25" s="42" t="str">
        <f t="shared" si="0"/>
        <v/>
      </c>
      <c r="M25" s="42"/>
      <c r="N25" s="42"/>
      <c r="O25" s="42"/>
      <c r="P25" s="42"/>
      <c r="Q25" s="42"/>
      <c r="R25"/>
      <c r="S25">
        <f t="shared" si="1"/>
        <v>0</v>
      </c>
      <c r="T25"/>
      <c r="U25"/>
      <c r="V25"/>
    </row>
    <row r="26" spans="1:22" x14ac:dyDescent="0.2">
      <c r="A26" s="43"/>
      <c r="B26" s="43"/>
      <c r="C26" s="42"/>
      <c r="D26" s="41"/>
      <c r="E26" s="42"/>
      <c r="F26" s="42"/>
      <c r="G26" s="41"/>
      <c r="H26" s="42"/>
      <c r="I26" s="44"/>
      <c r="J26" s="42"/>
      <c r="K26" s="42"/>
      <c r="L26" s="42" t="str">
        <f t="shared" si="0"/>
        <v/>
      </c>
      <c r="M26" s="42"/>
      <c r="N26" s="42"/>
      <c r="O26" s="42"/>
      <c r="P26" s="42"/>
      <c r="Q26" s="42"/>
      <c r="R26"/>
      <c r="S26">
        <f t="shared" si="1"/>
        <v>0</v>
      </c>
      <c r="T26"/>
      <c r="U26"/>
      <c r="V26"/>
    </row>
    <row r="27" spans="1:22" x14ac:dyDescent="0.2">
      <c r="A27" s="43"/>
      <c r="B27" s="43"/>
      <c r="C27" s="42"/>
      <c r="D27" s="41"/>
      <c r="E27" s="42"/>
      <c r="F27" s="42"/>
      <c r="G27" s="41"/>
      <c r="H27" s="42"/>
      <c r="I27" s="44"/>
      <c r="J27" s="42"/>
      <c r="K27" s="42"/>
      <c r="L27" s="42" t="str">
        <f t="shared" si="0"/>
        <v/>
      </c>
      <c r="M27" s="42"/>
      <c r="N27" s="42"/>
      <c r="O27" s="42"/>
      <c r="P27" s="42"/>
      <c r="Q27" s="42"/>
      <c r="R27"/>
      <c r="S27">
        <f t="shared" si="1"/>
        <v>0</v>
      </c>
      <c r="T27"/>
      <c r="U27"/>
      <c r="V27"/>
    </row>
    <row r="28" spans="1:22" x14ac:dyDescent="0.2">
      <c r="A28" s="43"/>
      <c r="B28" s="43"/>
      <c r="C28" s="42"/>
      <c r="D28" s="41"/>
      <c r="E28" s="42"/>
      <c r="F28" s="42"/>
      <c r="G28" s="41"/>
      <c r="H28" s="42"/>
      <c r="I28" s="44"/>
      <c r="J28" s="42"/>
      <c r="K28" s="42"/>
      <c r="L28" s="42" t="str">
        <f t="shared" si="0"/>
        <v/>
      </c>
      <c r="M28" s="42"/>
      <c r="N28" s="42"/>
      <c r="O28" s="42"/>
      <c r="P28" s="42"/>
      <c r="Q28" s="42"/>
      <c r="R28"/>
      <c r="S28">
        <f t="shared" si="1"/>
        <v>0</v>
      </c>
      <c r="T28"/>
      <c r="U28"/>
      <c r="V28"/>
    </row>
    <row r="29" spans="1:22" x14ac:dyDescent="0.2">
      <c r="A29" s="43"/>
      <c r="B29" s="43"/>
      <c r="C29" s="42"/>
      <c r="D29" s="41"/>
      <c r="E29" s="42"/>
      <c r="F29" s="42"/>
      <c r="G29" s="41"/>
      <c r="H29" s="42"/>
      <c r="I29" s="44"/>
      <c r="J29" s="42"/>
      <c r="K29" s="42"/>
      <c r="L29" s="42" t="str">
        <f t="shared" si="0"/>
        <v/>
      </c>
      <c r="M29" s="42"/>
      <c r="N29" s="42"/>
      <c r="O29" s="42"/>
      <c r="P29" s="42"/>
      <c r="Q29" s="42"/>
      <c r="R29"/>
      <c r="S29">
        <f t="shared" si="1"/>
        <v>0</v>
      </c>
      <c r="T29"/>
      <c r="U29"/>
      <c r="V29"/>
    </row>
    <row r="30" spans="1:22" x14ac:dyDescent="0.2">
      <c r="A30" s="43"/>
      <c r="B30" s="43"/>
      <c r="C30" s="42"/>
      <c r="D30" s="41"/>
      <c r="E30" s="42"/>
      <c r="F30" s="42"/>
      <c r="G30" s="41"/>
      <c r="H30" s="42"/>
      <c r="I30" s="44"/>
      <c r="J30" s="42"/>
      <c r="K30" s="42"/>
      <c r="L30" s="42" t="str">
        <f t="shared" si="0"/>
        <v/>
      </c>
      <c r="M30" s="42"/>
      <c r="N30" s="42"/>
      <c r="O30" s="42"/>
      <c r="P30" s="42"/>
      <c r="Q30" s="42"/>
      <c r="R30"/>
      <c r="S30">
        <f t="shared" si="1"/>
        <v>0</v>
      </c>
      <c r="T30"/>
      <c r="U30"/>
      <c r="V30"/>
    </row>
    <row r="31" spans="1:22" x14ac:dyDescent="0.2">
      <c r="A31" s="43"/>
      <c r="B31" s="43"/>
      <c r="C31" s="42"/>
      <c r="D31" s="41"/>
      <c r="E31" s="42"/>
      <c r="F31" s="42"/>
      <c r="G31" s="41"/>
      <c r="H31" s="42"/>
      <c r="I31" s="44"/>
      <c r="J31" s="42"/>
      <c r="K31" s="42"/>
      <c r="L31" s="42" t="str">
        <f t="shared" si="0"/>
        <v/>
      </c>
      <c r="M31" s="42"/>
      <c r="N31" s="42"/>
      <c r="O31" s="42"/>
      <c r="P31" s="42"/>
      <c r="Q31" s="42"/>
      <c r="R31"/>
      <c r="S31">
        <f t="shared" si="1"/>
        <v>0</v>
      </c>
      <c r="T31"/>
      <c r="U31"/>
      <c r="V31"/>
    </row>
    <row r="32" spans="1:22" x14ac:dyDescent="0.2">
      <c r="A32" s="43"/>
      <c r="B32" s="43"/>
      <c r="C32" s="42"/>
      <c r="D32" s="41"/>
      <c r="E32" s="42"/>
      <c r="F32" s="42"/>
      <c r="G32" s="41"/>
      <c r="H32" s="42"/>
      <c r="I32" s="44"/>
      <c r="J32" s="42"/>
      <c r="K32" s="42"/>
      <c r="L32" s="42" t="str">
        <f t="shared" si="0"/>
        <v/>
      </c>
      <c r="M32" s="42"/>
      <c r="N32" s="42"/>
      <c r="O32" s="42"/>
      <c r="P32" s="42"/>
      <c r="Q32" s="42"/>
      <c r="R32"/>
      <c r="S32">
        <f t="shared" si="1"/>
        <v>0</v>
      </c>
      <c r="T32"/>
      <c r="U32"/>
      <c r="V32"/>
    </row>
    <row r="33" spans="1:22" x14ac:dyDescent="0.2">
      <c r="A33" s="43"/>
      <c r="B33" s="43"/>
      <c r="C33" s="42"/>
      <c r="D33" s="41"/>
      <c r="E33" s="42"/>
      <c r="F33" s="42"/>
      <c r="G33" s="41"/>
      <c r="H33" s="42"/>
      <c r="I33" s="44"/>
      <c r="J33" s="42"/>
      <c r="K33" s="42"/>
      <c r="L33" s="42" t="str">
        <f t="shared" si="0"/>
        <v/>
      </c>
      <c r="M33" s="42"/>
      <c r="N33" s="42"/>
      <c r="O33" s="42"/>
      <c r="P33" s="42"/>
      <c r="Q33" s="42"/>
      <c r="R33"/>
      <c r="S33">
        <f t="shared" si="1"/>
        <v>0</v>
      </c>
      <c r="T33"/>
      <c r="U33"/>
      <c r="V33"/>
    </row>
    <row r="34" spans="1:22" x14ac:dyDescent="0.2">
      <c r="A34" s="43"/>
      <c r="B34" s="43"/>
      <c r="C34" s="42"/>
      <c r="D34" s="41"/>
      <c r="E34" s="42"/>
      <c r="F34" s="42"/>
      <c r="G34" s="41"/>
      <c r="H34" s="42"/>
      <c r="I34" s="44"/>
      <c r="J34" s="42"/>
      <c r="K34" s="42"/>
      <c r="L34" s="42" t="str">
        <f t="shared" si="0"/>
        <v/>
      </c>
      <c r="M34" s="42"/>
      <c r="N34" s="42"/>
      <c r="O34" s="42"/>
      <c r="P34" s="42"/>
      <c r="Q34" s="42"/>
      <c r="R34"/>
      <c r="S34">
        <f t="shared" si="1"/>
        <v>0</v>
      </c>
      <c r="T34"/>
      <c r="U34"/>
      <c r="V34"/>
    </row>
    <row r="35" spans="1:22" x14ac:dyDescent="0.2">
      <c r="A35" s="43"/>
      <c r="B35" s="43"/>
      <c r="C35" s="42"/>
      <c r="D35" s="41"/>
      <c r="E35" s="42"/>
      <c r="F35" s="42"/>
      <c r="G35" s="41"/>
      <c r="H35" s="42"/>
      <c r="I35" s="44"/>
      <c r="J35" s="42"/>
      <c r="K35" s="42"/>
      <c r="L35" s="42" t="str">
        <f t="shared" si="0"/>
        <v/>
      </c>
      <c r="M35" s="42"/>
      <c r="N35" s="42"/>
      <c r="O35" s="42"/>
      <c r="P35" s="42"/>
      <c r="Q35" s="42"/>
      <c r="R35"/>
      <c r="S35">
        <f t="shared" si="1"/>
        <v>0</v>
      </c>
      <c r="T35"/>
      <c r="U35"/>
      <c r="V35"/>
    </row>
    <row r="36" spans="1:22" x14ac:dyDescent="0.2">
      <c r="A36" s="43"/>
      <c r="B36" s="43"/>
      <c r="C36" s="42"/>
      <c r="D36" s="41"/>
      <c r="E36" s="42"/>
      <c r="F36" s="42"/>
      <c r="G36" s="41"/>
      <c r="H36" s="42"/>
      <c r="I36" s="44"/>
      <c r="J36" s="42"/>
      <c r="K36" s="42"/>
      <c r="L36" s="42" t="str">
        <f t="shared" si="0"/>
        <v/>
      </c>
      <c r="M36" s="42"/>
      <c r="N36" s="42"/>
      <c r="O36" s="42"/>
      <c r="P36" s="42"/>
      <c r="Q36" s="42"/>
      <c r="R36"/>
      <c r="S36">
        <f t="shared" si="1"/>
        <v>0</v>
      </c>
      <c r="T36"/>
      <c r="U36"/>
      <c r="V36"/>
    </row>
    <row r="37" spans="1:22" x14ac:dyDescent="0.2">
      <c r="A37" s="43"/>
      <c r="B37" s="43"/>
      <c r="C37" s="42"/>
      <c r="D37" s="41"/>
      <c r="E37" s="42"/>
      <c r="F37" s="42"/>
      <c r="G37" s="41"/>
      <c r="H37" s="42"/>
      <c r="I37" s="44"/>
      <c r="J37" s="42"/>
      <c r="K37" s="42"/>
      <c r="L37" s="42" t="str">
        <f t="shared" si="0"/>
        <v/>
      </c>
      <c r="M37" s="42"/>
      <c r="N37" s="42"/>
      <c r="O37" s="42"/>
      <c r="P37" s="42"/>
      <c r="Q37" s="42"/>
      <c r="R37"/>
      <c r="S37">
        <f t="shared" si="1"/>
        <v>0</v>
      </c>
      <c r="T37"/>
      <c r="U37"/>
      <c r="V37"/>
    </row>
    <row r="38" spans="1:22" x14ac:dyDescent="0.2">
      <c r="A38" s="43"/>
      <c r="B38" s="43"/>
      <c r="C38" s="42"/>
      <c r="D38" s="41"/>
      <c r="E38" s="42"/>
      <c r="F38" s="42"/>
      <c r="G38" s="41"/>
      <c r="H38" s="42"/>
      <c r="I38" s="44"/>
      <c r="J38" s="42"/>
      <c r="K38" s="42"/>
      <c r="L38" s="42" t="str">
        <f t="shared" si="0"/>
        <v/>
      </c>
      <c r="M38" s="42"/>
      <c r="N38" s="42"/>
      <c r="O38" s="42"/>
      <c r="P38" s="42"/>
      <c r="Q38" s="42"/>
      <c r="R38"/>
      <c r="S38">
        <f t="shared" si="1"/>
        <v>0</v>
      </c>
      <c r="T38"/>
      <c r="U38"/>
      <c r="V38"/>
    </row>
    <row r="39" spans="1:22" x14ac:dyDescent="0.2">
      <c r="A39" s="43"/>
      <c r="B39" s="43"/>
      <c r="C39" s="42"/>
      <c r="D39" s="41"/>
      <c r="E39" s="42"/>
      <c r="F39" s="42"/>
      <c r="G39" s="41"/>
      <c r="H39" s="42"/>
      <c r="I39" s="44"/>
      <c r="J39" s="42"/>
      <c r="K39" s="42"/>
      <c r="L39" s="42" t="str">
        <f t="shared" si="0"/>
        <v/>
      </c>
      <c r="M39" s="42"/>
      <c r="N39" s="42"/>
      <c r="O39" s="42"/>
      <c r="P39" s="42"/>
      <c r="Q39" s="42"/>
      <c r="R39"/>
      <c r="S39">
        <f t="shared" si="1"/>
        <v>0</v>
      </c>
      <c r="T39"/>
      <c r="U39"/>
      <c r="V39"/>
    </row>
    <row r="40" spans="1:22" x14ac:dyDescent="0.2">
      <c r="A40" s="43"/>
      <c r="B40" s="43"/>
      <c r="C40" s="42"/>
      <c r="D40" s="41"/>
      <c r="E40" s="42"/>
      <c r="F40" s="42"/>
      <c r="G40" s="41"/>
      <c r="H40" s="42"/>
      <c r="I40" s="44"/>
      <c r="J40" s="42"/>
      <c r="K40" s="42"/>
      <c r="L40" s="42" t="str">
        <f t="shared" si="0"/>
        <v/>
      </c>
      <c r="M40" s="42"/>
      <c r="N40" s="42"/>
      <c r="O40" s="42"/>
      <c r="P40" s="42"/>
      <c r="Q40" s="42"/>
      <c r="R40"/>
      <c r="S40">
        <f t="shared" si="1"/>
        <v>0</v>
      </c>
      <c r="T40"/>
      <c r="U40"/>
      <c r="V40"/>
    </row>
    <row r="41" spans="1:22" x14ac:dyDescent="0.2">
      <c r="A41" s="43"/>
      <c r="B41" s="43"/>
      <c r="C41" s="42"/>
      <c r="D41" s="41"/>
      <c r="E41" s="42"/>
      <c r="F41" s="42"/>
      <c r="G41" s="41"/>
      <c r="H41" s="42"/>
      <c r="I41" s="44"/>
      <c r="J41" s="42"/>
      <c r="K41" s="42"/>
      <c r="L41" s="42" t="str">
        <f t="shared" si="0"/>
        <v/>
      </c>
      <c r="M41" s="42"/>
      <c r="N41" s="42"/>
      <c r="O41" s="42"/>
      <c r="P41" s="42"/>
      <c r="Q41" s="42"/>
      <c r="R41"/>
      <c r="S41">
        <f t="shared" si="1"/>
        <v>0</v>
      </c>
      <c r="T41"/>
      <c r="U41"/>
      <c r="V41"/>
    </row>
    <row r="42" spans="1:22" x14ac:dyDescent="0.2">
      <c r="A42" s="43"/>
      <c r="B42" s="43"/>
      <c r="C42" s="42"/>
      <c r="D42" s="41"/>
      <c r="E42" s="42"/>
      <c r="F42" s="42"/>
      <c r="G42" s="41"/>
      <c r="H42" s="42"/>
      <c r="I42" s="44"/>
      <c r="J42" s="42"/>
      <c r="K42" s="42"/>
      <c r="L42" s="42" t="str">
        <f t="shared" si="0"/>
        <v/>
      </c>
      <c r="M42" s="42"/>
      <c r="N42" s="42"/>
      <c r="O42" s="42"/>
      <c r="P42" s="42"/>
      <c r="Q42" s="42"/>
      <c r="R42"/>
      <c r="S42">
        <f t="shared" si="1"/>
        <v>0</v>
      </c>
      <c r="T42"/>
      <c r="U42"/>
      <c r="V42"/>
    </row>
    <row r="43" spans="1:22" x14ac:dyDescent="0.2">
      <c r="A43" s="43"/>
      <c r="B43" s="43"/>
      <c r="C43" s="42"/>
      <c r="D43" s="41"/>
      <c r="E43" s="42"/>
      <c r="F43" s="42"/>
      <c r="G43" s="41"/>
      <c r="H43" s="42"/>
      <c r="I43" s="44"/>
      <c r="J43" s="42"/>
      <c r="K43" s="42"/>
      <c r="L43" s="42" t="str">
        <f t="shared" si="0"/>
        <v/>
      </c>
      <c r="M43" s="42"/>
      <c r="N43" s="42"/>
      <c r="O43" s="42"/>
      <c r="P43" s="42"/>
      <c r="Q43" s="42"/>
      <c r="R43"/>
      <c r="S43">
        <f t="shared" si="1"/>
        <v>0</v>
      </c>
      <c r="T43"/>
      <c r="U43"/>
      <c r="V43"/>
    </row>
    <row r="44" spans="1:22" x14ac:dyDescent="0.2">
      <c r="A44" s="43"/>
      <c r="B44" s="43"/>
      <c r="C44" s="42"/>
      <c r="D44" s="41"/>
      <c r="E44" s="42"/>
      <c r="F44" s="42"/>
      <c r="G44" s="41"/>
      <c r="H44" s="42"/>
      <c r="I44" s="44"/>
      <c r="J44" s="42"/>
      <c r="K44" s="42"/>
      <c r="L44" s="42" t="str">
        <f t="shared" si="0"/>
        <v/>
      </c>
      <c r="M44" s="42"/>
      <c r="N44" s="42"/>
      <c r="O44" s="42"/>
      <c r="P44" s="42"/>
      <c r="Q44" s="42"/>
      <c r="R44"/>
      <c r="S44">
        <f t="shared" si="1"/>
        <v>0</v>
      </c>
      <c r="T44"/>
      <c r="U44"/>
      <c r="V44"/>
    </row>
    <row r="45" spans="1:22" x14ac:dyDescent="0.2">
      <c r="A45" s="43"/>
      <c r="B45" s="43"/>
      <c r="C45" s="42"/>
      <c r="D45" s="41"/>
      <c r="E45" s="42"/>
      <c r="F45" s="42"/>
      <c r="G45" s="41"/>
      <c r="H45" s="42"/>
      <c r="I45" s="44"/>
      <c r="J45" s="42"/>
      <c r="K45" s="42"/>
      <c r="L45" s="42" t="str">
        <f t="shared" si="0"/>
        <v/>
      </c>
      <c r="M45" s="42"/>
      <c r="N45" s="42"/>
      <c r="O45" s="42"/>
      <c r="P45" s="42"/>
      <c r="Q45" s="42"/>
      <c r="R45"/>
      <c r="S45">
        <f t="shared" si="1"/>
        <v>0</v>
      </c>
      <c r="T45"/>
      <c r="U45"/>
      <c r="V45"/>
    </row>
    <row r="46" spans="1:22" x14ac:dyDescent="0.2">
      <c r="A46" s="43"/>
      <c r="B46" s="43"/>
      <c r="C46" s="42"/>
      <c r="D46" s="41"/>
      <c r="E46" s="42"/>
      <c r="F46" s="42"/>
      <c r="G46" s="41"/>
      <c r="H46" s="42"/>
      <c r="I46" s="44"/>
      <c r="J46" s="42"/>
      <c r="K46" s="42"/>
      <c r="L46" s="42" t="str">
        <f t="shared" si="0"/>
        <v/>
      </c>
      <c r="M46" s="42"/>
      <c r="N46" s="42"/>
      <c r="O46" s="42"/>
      <c r="P46" s="42"/>
      <c r="Q46" s="42"/>
      <c r="R46"/>
      <c r="S46">
        <f t="shared" si="1"/>
        <v>0</v>
      </c>
      <c r="T46"/>
      <c r="U46"/>
      <c r="V46"/>
    </row>
    <row r="47" spans="1:22" x14ac:dyDescent="0.2">
      <c r="A47" s="43"/>
      <c r="B47" s="43"/>
      <c r="C47" s="42"/>
      <c r="D47" s="41"/>
      <c r="E47" s="42"/>
      <c r="F47" s="42"/>
      <c r="G47" s="41"/>
      <c r="H47" s="42"/>
      <c r="I47" s="44"/>
      <c r="J47" s="42"/>
      <c r="K47" s="42"/>
      <c r="L47" s="42" t="str">
        <f t="shared" si="0"/>
        <v/>
      </c>
      <c r="M47" s="42"/>
      <c r="N47" s="42"/>
      <c r="O47" s="42"/>
      <c r="P47" s="42"/>
      <c r="Q47" s="42"/>
      <c r="R47"/>
      <c r="S47">
        <f t="shared" si="1"/>
        <v>0</v>
      </c>
      <c r="T47"/>
      <c r="U47"/>
      <c r="V47"/>
    </row>
    <row r="48" spans="1:22" x14ac:dyDescent="0.2">
      <c r="A48" s="43"/>
      <c r="B48" s="43"/>
      <c r="C48" s="42"/>
      <c r="D48" s="41"/>
      <c r="E48" s="42"/>
      <c r="F48" s="42"/>
      <c r="G48" s="41"/>
      <c r="H48" s="42"/>
      <c r="I48" s="44"/>
      <c r="J48" s="42"/>
      <c r="K48" s="42"/>
      <c r="L48" s="42" t="str">
        <f t="shared" si="0"/>
        <v/>
      </c>
      <c r="M48" s="42"/>
      <c r="N48" s="42"/>
      <c r="O48" s="42"/>
      <c r="P48" s="42"/>
      <c r="Q48" s="42"/>
      <c r="R48"/>
      <c r="S48">
        <f t="shared" si="1"/>
        <v>0</v>
      </c>
      <c r="T48"/>
      <c r="U48"/>
      <c r="V48"/>
    </row>
    <row r="49" spans="1:22" x14ac:dyDescent="0.2">
      <c r="A49" s="43"/>
      <c r="B49" s="43"/>
      <c r="C49" s="42"/>
      <c r="D49" s="41"/>
      <c r="E49" s="42"/>
      <c r="F49" s="42"/>
      <c r="G49" s="41"/>
      <c r="H49" s="42"/>
      <c r="I49" s="44"/>
      <c r="J49" s="42"/>
      <c r="K49" s="42"/>
      <c r="L49" s="42" t="str">
        <f t="shared" si="0"/>
        <v/>
      </c>
      <c r="M49" s="42"/>
      <c r="N49" s="42"/>
      <c r="O49" s="42"/>
      <c r="P49" s="42"/>
      <c r="Q49" s="42"/>
      <c r="R49"/>
      <c r="S49">
        <f t="shared" si="1"/>
        <v>0</v>
      </c>
      <c r="T49"/>
      <c r="U49"/>
      <c r="V49"/>
    </row>
    <row r="50" spans="1:22" x14ac:dyDescent="0.2">
      <c r="A50" s="43"/>
      <c r="B50" s="43"/>
      <c r="C50" s="42"/>
      <c r="D50" s="41"/>
      <c r="E50" s="42"/>
      <c r="F50" s="42"/>
      <c r="G50" s="41"/>
      <c r="H50" s="42"/>
      <c r="I50" s="44"/>
      <c r="J50" s="42"/>
      <c r="K50" s="42"/>
      <c r="L50" s="42" t="str">
        <f t="shared" si="0"/>
        <v/>
      </c>
      <c r="M50" s="42"/>
      <c r="N50" s="42"/>
      <c r="O50" s="42"/>
      <c r="P50" s="42"/>
      <c r="Q50" s="42"/>
      <c r="R50"/>
      <c r="S50">
        <f t="shared" si="1"/>
        <v>0</v>
      </c>
      <c r="T50"/>
      <c r="U50"/>
      <c r="V50"/>
    </row>
    <row r="51" spans="1:22" x14ac:dyDescent="0.2">
      <c r="A51" s="43"/>
      <c r="B51" s="43"/>
      <c r="C51" s="42"/>
      <c r="D51" s="41"/>
      <c r="E51" s="42"/>
      <c r="F51" s="42"/>
      <c r="G51" s="41"/>
      <c r="H51" s="42"/>
      <c r="I51" s="44"/>
      <c r="J51" s="42"/>
      <c r="K51" s="42"/>
      <c r="L51" s="42" t="str">
        <f t="shared" si="0"/>
        <v/>
      </c>
      <c r="M51" s="42"/>
      <c r="N51" s="42"/>
      <c r="O51" s="42"/>
      <c r="P51" s="42"/>
      <c r="Q51" s="42"/>
      <c r="R51"/>
      <c r="S51">
        <f t="shared" si="1"/>
        <v>0</v>
      </c>
      <c r="T51"/>
      <c r="U51"/>
      <c r="V51"/>
    </row>
    <row r="52" spans="1:22" x14ac:dyDescent="0.2">
      <c r="A52" s="43"/>
      <c r="B52" s="43"/>
      <c r="C52" s="42"/>
      <c r="D52" s="41"/>
      <c r="E52" s="42"/>
      <c r="F52" s="42"/>
      <c r="G52" s="41"/>
      <c r="H52" s="42"/>
      <c r="I52" s="44"/>
      <c r="J52" s="42"/>
      <c r="K52" s="42"/>
      <c r="L52" s="42" t="str">
        <f t="shared" si="0"/>
        <v/>
      </c>
      <c r="M52" s="42"/>
      <c r="N52" s="42"/>
      <c r="O52" s="42"/>
      <c r="P52" s="42"/>
      <c r="Q52" s="42"/>
      <c r="R52"/>
      <c r="S52">
        <f t="shared" si="1"/>
        <v>0</v>
      </c>
      <c r="T52"/>
      <c r="U52"/>
      <c r="V52"/>
    </row>
    <row r="53" spans="1:22" x14ac:dyDescent="0.2">
      <c r="A53" s="43"/>
      <c r="B53" s="43"/>
      <c r="C53" s="42"/>
      <c r="D53" s="41"/>
      <c r="E53" s="42"/>
      <c r="F53" s="42"/>
      <c r="G53" s="41"/>
      <c r="H53" s="42"/>
      <c r="I53" s="44"/>
      <c r="J53" s="42"/>
      <c r="K53" s="42"/>
      <c r="L53" s="42" t="str">
        <f t="shared" si="0"/>
        <v/>
      </c>
      <c r="M53" s="42"/>
      <c r="N53" s="42"/>
      <c r="O53" s="42"/>
      <c r="P53" s="42"/>
      <c r="Q53" s="42"/>
      <c r="R53"/>
      <c r="S53">
        <f t="shared" si="1"/>
        <v>0</v>
      </c>
      <c r="T53"/>
      <c r="U53"/>
      <c r="V53"/>
    </row>
    <row r="54" spans="1:22" x14ac:dyDescent="0.2">
      <c r="A54" s="43"/>
      <c r="B54" s="43"/>
      <c r="C54" s="42"/>
      <c r="D54" s="41"/>
      <c r="E54" s="42"/>
      <c r="F54" s="42"/>
      <c r="G54" s="41"/>
      <c r="H54" s="42"/>
      <c r="I54" s="44"/>
      <c r="J54" s="42"/>
      <c r="K54" s="42"/>
      <c r="L54" s="42" t="str">
        <f t="shared" si="0"/>
        <v/>
      </c>
      <c r="M54" s="42"/>
      <c r="N54" s="42"/>
      <c r="O54" s="42"/>
      <c r="P54" s="42"/>
      <c r="Q54" s="42"/>
      <c r="R54"/>
      <c r="S54">
        <f t="shared" si="1"/>
        <v>0</v>
      </c>
      <c r="T54"/>
      <c r="U54"/>
      <c r="V54"/>
    </row>
    <row r="55" spans="1:22" x14ac:dyDescent="0.2">
      <c r="A55" s="43"/>
      <c r="B55" s="43"/>
      <c r="C55" s="42"/>
      <c r="D55" s="41"/>
      <c r="E55" s="42"/>
      <c r="F55" s="42"/>
      <c r="G55" s="41"/>
      <c r="H55" s="42"/>
      <c r="I55" s="44"/>
      <c r="J55" s="42"/>
      <c r="K55" s="42"/>
      <c r="L55" s="42" t="str">
        <f t="shared" si="0"/>
        <v/>
      </c>
      <c r="M55" s="42"/>
      <c r="N55" s="42"/>
      <c r="O55" s="42"/>
      <c r="P55" s="42"/>
      <c r="Q55" s="42"/>
      <c r="R55"/>
      <c r="S55">
        <f t="shared" si="1"/>
        <v>0</v>
      </c>
      <c r="T55"/>
      <c r="U55"/>
      <c r="V55"/>
    </row>
    <row r="56" spans="1:22" x14ac:dyDescent="0.2">
      <c r="A56" s="43" t="s">
        <v>34</v>
      </c>
      <c r="C56"/>
      <c r="E56"/>
      <c r="F56"/>
      <c r="G56" s="52"/>
      <c r="H56"/>
      <c r="I56" s="32"/>
      <c r="J56"/>
      <c r="K56"/>
      <c r="L56" s="42"/>
      <c r="M56"/>
      <c r="N56"/>
      <c r="O56"/>
      <c r="P56"/>
      <c r="Q56"/>
      <c r="R56"/>
      <c r="S56"/>
      <c r="T56"/>
      <c r="U56"/>
      <c r="V56"/>
    </row>
    <row r="57" spans="1:22" x14ac:dyDescent="0.2">
      <c r="D57" s="17" t="s">
        <v>5</v>
      </c>
      <c r="E57" s="18" t="s">
        <v>12</v>
      </c>
      <c r="F57" s="54" t="s">
        <v>44</v>
      </c>
      <c r="G57" s="51" t="s">
        <v>13</v>
      </c>
      <c r="H57" s="50"/>
      <c r="I57" s="49" t="s">
        <v>37</v>
      </c>
    </row>
  </sheetData>
  <sortState xmlns:xlrd2="http://schemas.microsoft.com/office/spreadsheetml/2017/richdata2" ref="A7:S22">
    <sortCondition descending="1" ref="L7"/>
    <sortCondition descending="1" ref="S7"/>
  </sortState>
  <mergeCells count="12">
    <mergeCell ref="A6:B6"/>
    <mergeCell ref="M6:P6"/>
    <mergeCell ref="I1:J3"/>
    <mergeCell ref="K1:Q1"/>
    <mergeCell ref="B2:D3"/>
    <mergeCell ref="E2:E3"/>
    <mergeCell ref="K2:Q2"/>
    <mergeCell ref="K3:Q3"/>
    <mergeCell ref="D5:E5"/>
    <mergeCell ref="C4:I4"/>
    <mergeCell ref="K5:Q5"/>
    <mergeCell ref="G5:H5"/>
  </mergeCells>
  <phoneticPr fontId="8" type="noConversion"/>
  <pageMargins left="0.36" right="0.39" top="0.98" bottom="0.98" header="0.5" footer="0.5"/>
  <pageSetup paperSize="9" scale="55" fitToHeight="10"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SorteerOpBaan">
                <anchor moveWithCells="1" sizeWithCells="1">
                  <from>
                    <xdr:col>0</xdr:col>
                    <xdr:colOff>28575</xdr:colOff>
                    <xdr:row>0</xdr:row>
                    <xdr:rowOff>66675</xdr:rowOff>
                  </from>
                  <to>
                    <xdr:col>3</xdr:col>
                    <xdr:colOff>304800</xdr:colOff>
                    <xdr:row>0</xdr:row>
                    <xdr:rowOff>361950</xdr:rowOff>
                  </to>
                </anchor>
              </controlPr>
            </control>
          </mc:Choice>
        </mc:AlternateContent>
        <mc:AlternateContent xmlns:mc="http://schemas.openxmlformats.org/markup-compatibility/2006">
          <mc:Choice Requires="x14">
            <control shapeId="1051" r:id="rId5" name="Button 27">
              <controlPr defaultSize="0" print="0" autoFill="0" autoPict="0" macro="[0]!Uitnodigingen">
                <anchor moveWithCells="1" sizeWithCells="1">
                  <from>
                    <xdr:col>4</xdr:col>
                    <xdr:colOff>66675</xdr:colOff>
                    <xdr:row>0</xdr:row>
                    <xdr:rowOff>66675</xdr:rowOff>
                  </from>
                  <to>
                    <xdr:col>4</xdr:col>
                    <xdr:colOff>1438275</xdr:colOff>
                    <xdr:row>0</xdr:row>
                    <xdr:rowOff>361950</xdr:rowOff>
                  </to>
                </anchor>
              </controlPr>
            </control>
          </mc:Choice>
        </mc:AlternateContent>
        <mc:AlternateContent xmlns:mc="http://schemas.openxmlformats.org/markup-compatibility/2006">
          <mc:Choice Requires="x14">
            <control shapeId="1052" r:id="rId6" name="Button 28">
              <controlPr defaultSize="0" print="0" autoFill="0" autoPict="0" macro="[0]!Afdrukken">
                <anchor moveWithCells="1" sizeWithCells="1">
                  <from>
                    <xdr:col>5</xdr:col>
                    <xdr:colOff>47625</xdr:colOff>
                    <xdr:row>0</xdr:row>
                    <xdr:rowOff>66675</xdr:rowOff>
                  </from>
                  <to>
                    <xdr:col>5</xdr:col>
                    <xdr:colOff>1171575</xdr:colOff>
                    <xdr:row>0</xdr:row>
                    <xdr:rowOff>371475</xdr:rowOff>
                  </to>
                </anchor>
              </controlPr>
            </control>
          </mc:Choice>
        </mc:AlternateContent>
        <mc:AlternateContent xmlns:mc="http://schemas.openxmlformats.org/markup-compatibility/2006">
          <mc:Choice Requires="x14">
            <control shapeId="1053" r:id="rId7" name="Button 29">
              <controlPr defaultSize="0" print="0" autoFill="0" autoPict="0" macro="[0]!FinaleRondes">
                <anchor moveWithCells="1" sizeWithCells="1">
                  <from>
                    <xdr:col>6</xdr:col>
                    <xdr:colOff>390525</xdr:colOff>
                    <xdr:row>0</xdr:row>
                    <xdr:rowOff>38100</xdr:rowOff>
                  </from>
                  <to>
                    <xdr:col>6</xdr:col>
                    <xdr:colOff>1362075</xdr:colOff>
                    <xdr:row>0</xdr:row>
                    <xdr:rowOff>361950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4">
    <pageSetUpPr fitToPage="1"/>
  </sheetPr>
  <dimension ref="A1:AL50"/>
  <sheetViews>
    <sheetView zoomScaleNormal="100" workbookViewId="0">
      <selection activeCell="D5" sqref="D5"/>
    </sheetView>
  </sheetViews>
  <sheetFormatPr defaultColWidth="0" defaultRowHeight="12.75" x14ac:dyDescent="0.2"/>
  <cols>
    <col min="1" max="1" width="4" style="1" customWidth="1"/>
    <col min="2" max="2" width="3" style="1" bestFit="1" customWidth="1"/>
    <col min="3" max="3" width="8.42578125" style="1" bestFit="1" customWidth="1"/>
    <col min="4" max="4" width="5.85546875" style="1" customWidth="1"/>
    <col min="5" max="9" width="2" style="1" customWidth="1"/>
    <col min="10" max="10" width="3.28515625" style="1" customWidth="1"/>
    <col min="11" max="11" width="7" style="1" customWidth="1"/>
    <col min="12" max="12" width="26.42578125" style="1" customWidth="1"/>
    <col min="13" max="13" width="5.85546875" style="1" customWidth="1"/>
    <col min="14" max="18" width="2" style="1" customWidth="1"/>
    <col min="19" max="19" width="3" style="1" customWidth="1"/>
    <col min="20" max="20" width="7" style="1" customWidth="1"/>
    <col min="21" max="21" width="26.42578125" style="1" customWidth="1"/>
    <col min="22" max="22" width="9.140625" style="1" customWidth="1"/>
    <col min="23" max="27" width="2" style="1" customWidth="1"/>
    <col min="28" max="28" width="2.42578125" style="1" customWidth="1"/>
    <col min="29" max="29" width="7" style="1" customWidth="1"/>
    <col min="30" max="30" width="26.42578125" style="1" customWidth="1"/>
    <col min="31" max="31" width="9.140625" style="1" customWidth="1"/>
    <col min="32" max="36" width="2" style="1" customWidth="1"/>
    <col min="37" max="37" width="2.5703125" style="1" customWidth="1"/>
    <col min="38" max="38" width="3.140625" style="1" customWidth="1"/>
    <col min="39" max="16384" width="9.140625" style="1" hidden="1"/>
  </cols>
  <sheetData>
    <row r="1" spans="1:38" ht="18" x14ac:dyDescent="0.25">
      <c r="A1" s="28"/>
      <c r="B1" s="80" t="str">
        <f ca="1">"Finales "&amp;Voorronde!C4</f>
        <v>Finales Bondskampioenschappen Indoor 2022, Recurve klasse 1</v>
      </c>
      <c r="C1" s="80"/>
      <c r="D1" s="80"/>
      <c r="E1" s="80"/>
      <c r="F1" s="80"/>
      <c r="G1" s="80"/>
      <c r="H1" s="80"/>
      <c r="I1" s="80"/>
      <c r="J1" s="80"/>
      <c r="K1" s="80"/>
      <c r="L1" s="80"/>
      <c r="M1" s="80"/>
      <c r="N1" s="80"/>
      <c r="O1" s="80"/>
      <c r="P1" s="80"/>
      <c r="Q1" s="80"/>
      <c r="R1" s="80"/>
      <c r="S1" s="80"/>
      <c r="T1" s="80"/>
      <c r="U1" s="80"/>
      <c r="V1" s="80"/>
      <c r="W1" s="80"/>
      <c r="X1" s="80"/>
      <c r="Y1" s="80"/>
      <c r="Z1" s="80"/>
      <c r="AA1" s="80"/>
      <c r="AB1" s="80"/>
      <c r="AC1" s="80"/>
      <c r="AD1" s="80"/>
      <c r="AE1" s="80"/>
      <c r="AF1" s="80"/>
      <c r="AG1" s="80"/>
      <c r="AH1" s="80"/>
      <c r="AI1" s="80"/>
      <c r="AJ1" s="80"/>
      <c r="AK1" s="80"/>
      <c r="AL1" s="29"/>
    </row>
    <row r="2" spans="1:38" x14ac:dyDescent="0.2">
      <c r="B2" s="8"/>
      <c r="C2" s="8"/>
      <c r="D2" s="8"/>
      <c r="E2" s="8"/>
      <c r="F2" s="8"/>
      <c r="G2" s="8"/>
      <c r="H2" s="8"/>
      <c r="I2" s="8"/>
      <c r="J2" s="8"/>
      <c r="K2" s="8"/>
      <c r="L2" s="8"/>
      <c r="M2" s="8"/>
      <c r="N2" s="8"/>
      <c r="O2" s="8"/>
      <c r="P2" s="8"/>
      <c r="Q2" s="8"/>
      <c r="R2" s="8"/>
      <c r="S2" s="8"/>
      <c r="T2" s="8"/>
      <c r="U2" s="8"/>
      <c r="V2" s="8"/>
      <c r="W2" s="8"/>
      <c r="X2" s="8"/>
      <c r="Y2" s="8"/>
      <c r="Z2" s="8"/>
      <c r="AA2" s="8"/>
      <c r="AB2" s="8"/>
      <c r="AC2" s="8"/>
      <c r="AD2" s="8"/>
      <c r="AE2" s="8"/>
    </row>
    <row r="3" spans="1:38" x14ac:dyDescent="0.2">
      <c r="B3" s="4"/>
      <c r="C3" s="82" t="s">
        <v>16</v>
      </c>
      <c r="D3" s="82"/>
      <c r="E3" s="82"/>
      <c r="F3" s="82"/>
      <c r="G3" s="82"/>
      <c r="H3" s="82"/>
      <c r="I3" s="82"/>
      <c r="J3" s="8"/>
      <c r="K3" s="8"/>
      <c r="L3" s="82" t="s">
        <v>8</v>
      </c>
      <c r="M3" s="82"/>
      <c r="N3" s="82"/>
      <c r="O3" s="82"/>
      <c r="P3" s="82"/>
      <c r="Q3" s="82"/>
      <c r="R3" s="8"/>
      <c r="S3" s="8"/>
      <c r="T3" s="8"/>
      <c r="U3" s="82" t="s">
        <v>17</v>
      </c>
      <c r="V3" s="82"/>
      <c r="W3" s="82"/>
      <c r="X3" s="82"/>
      <c r="Y3" s="82"/>
      <c r="Z3" s="82"/>
      <c r="AA3" s="8"/>
      <c r="AB3" s="8"/>
      <c r="AC3" s="8"/>
      <c r="AD3" s="82" t="s">
        <v>9</v>
      </c>
      <c r="AE3" s="82"/>
    </row>
    <row r="4" spans="1:38" x14ac:dyDescent="0.2">
      <c r="D4" s="1" t="s">
        <v>10</v>
      </c>
      <c r="E4" s="83" t="s">
        <v>7</v>
      </c>
      <c r="F4" s="83"/>
      <c r="G4" s="83"/>
      <c r="H4" s="83"/>
      <c r="I4" s="83"/>
      <c r="J4" s="6"/>
      <c r="S4" s="6"/>
      <c r="W4" s="33"/>
      <c r="X4" s="33"/>
      <c r="Y4" s="33"/>
      <c r="Z4" s="33"/>
      <c r="AA4" s="33"/>
      <c r="AB4" s="6"/>
      <c r="AF4" s="84"/>
      <c r="AG4" s="84"/>
      <c r="AH4" s="84"/>
      <c r="AI4" s="84"/>
      <c r="AJ4" s="84"/>
    </row>
    <row r="5" spans="1:38" x14ac:dyDescent="0.2">
      <c r="A5" s="1">
        <v>1</v>
      </c>
      <c r="B5" s="20">
        <v>13</v>
      </c>
      <c r="C5" s="21" t="s">
        <v>62</v>
      </c>
      <c r="D5" s="22"/>
      <c r="F5" s="19"/>
      <c r="G5" s="19"/>
      <c r="H5" s="19"/>
      <c r="I5" s="23">
        <f>E5/100+F5/10000+G5/1000000+H5/100000000</f>
        <v>0</v>
      </c>
      <c r="J5" s="47"/>
      <c r="M5" s="1" t="s">
        <v>10</v>
      </c>
      <c r="N5" s="84" t="s">
        <v>11</v>
      </c>
      <c r="O5" s="84"/>
      <c r="P5" s="84"/>
      <c r="Q5" s="84"/>
      <c r="R5" s="84"/>
    </row>
    <row r="6" spans="1:38" x14ac:dyDescent="0.2">
      <c r="B6" s="4"/>
      <c r="E6" s="85" t="str">
        <f>IF(AND(D5=D7,D5&lt;&gt;""),IF(I5&lt;&gt;I7,"","Shoot off"),"")</f>
        <v/>
      </c>
      <c r="F6" s="85"/>
      <c r="G6" s="85"/>
      <c r="H6" s="85"/>
      <c r="I6" s="85"/>
      <c r="J6" s="45"/>
      <c r="K6" s="24" t="str">
        <f>IF(D7&lt;&gt;"",IF((D5+H5)&gt;(D7+H7),B5,B7),"")</f>
        <v/>
      </c>
      <c r="L6" s="25" t="str">
        <f>IF(D7&lt;&gt;"",IF((D5+I5)&gt;(D7+I7),C5,C7),"")</f>
        <v/>
      </c>
      <c r="M6" s="22"/>
      <c r="N6" s="22"/>
      <c r="O6" s="22"/>
      <c r="P6" s="22"/>
      <c r="Q6" s="22"/>
      <c r="R6" s="26">
        <f>N6/100+O6/10000+P6/1000000+Q6/100000000</f>
        <v>0</v>
      </c>
      <c r="S6" s="47"/>
    </row>
    <row r="7" spans="1:38" x14ac:dyDescent="0.2">
      <c r="A7" s="1">
        <v>16</v>
      </c>
      <c r="B7" s="27">
        <v>2</v>
      </c>
      <c r="C7" s="22" t="s">
        <v>77</v>
      </c>
      <c r="D7" s="22"/>
      <c r="E7" s="19"/>
      <c r="F7" s="19"/>
      <c r="G7" s="19"/>
      <c r="H7" s="19"/>
      <c r="I7" s="23">
        <f>E7/100+F7/10000+G7/1000000+H7/100000000</f>
        <v>0</v>
      </c>
      <c r="J7" s="47"/>
      <c r="S7" s="46"/>
      <c r="V7" s="1" t="s">
        <v>10</v>
      </c>
      <c r="W7" s="83" t="s">
        <v>11</v>
      </c>
      <c r="X7" s="83"/>
      <c r="Y7" s="83"/>
      <c r="Z7" s="83"/>
      <c r="AA7" s="83"/>
    </row>
    <row r="8" spans="1:38" x14ac:dyDescent="0.2">
      <c r="B8" s="4"/>
      <c r="N8" s="86" t="str">
        <f>IF(AND(M6=M10,M6&lt;&gt;""),IF(R6&lt;&gt;R10,"","Shoot off"),"")</f>
        <v/>
      </c>
      <c r="O8" s="86"/>
      <c r="P8" s="86"/>
      <c r="Q8" s="86"/>
      <c r="R8" s="86"/>
      <c r="S8" s="45"/>
      <c r="T8" s="24" t="str">
        <f>IF(M10&lt;&gt;"",IF((M6+R6)&gt;(M10+R10),K6,K10),"")</f>
        <v/>
      </c>
      <c r="U8" s="25" t="str">
        <f>IF(M10&lt;&gt;"",IF((M6+R6)&gt;(M10+R10),L6,L10),"")</f>
        <v/>
      </c>
      <c r="V8" s="22"/>
      <c r="W8" s="22"/>
      <c r="X8" s="22"/>
      <c r="Y8" s="22"/>
      <c r="Z8" s="22"/>
      <c r="AA8" s="26">
        <f>W8/100+X8/10000+Y8/1000000+Z8/100000000</f>
        <v>0</v>
      </c>
      <c r="AB8" s="47"/>
    </row>
    <row r="9" spans="1:38" x14ac:dyDescent="0.2">
      <c r="A9" s="1">
        <v>9</v>
      </c>
      <c r="B9" s="20">
        <v>9</v>
      </c>
      <c r="C9" s="21" t="s">
        <v>70</v>
      </c>
      <c r="D9" s="22"/>
      <c r="E9" s="22"/>
      <c r="F9" s="22"/>
      <c r="G9" s="22"/>
      <c r="H9" s="22"/>
      <c r="I9" s="26">
        <f>E9/100+F9/10000+G9/1000000+H9/100000000</f>
        <v>0</v>
      </c>
      <c r="J9" s="47"/>
      <c r="S9" s="46"/>
      <c r="AB9" s="46"/>
    </row>
    <row r="10" spans="1:38" x14ac:dyDescent="0.2">
      <c r="B10" s="4"/>
      <c r="E10" s="85" t="str">
        <f>IF(AND(D9=D11,D9&lt;&gt;""),IF(I9&lt;&gt;I11,"","Shoot off"),"")</f>
        <v/>
      </c>
      <c r="F10" s="85"/>
      <c r="G10" s="85"/>
      <c r="H10" s="85"/>
      <c r="I10" s="85"/>
      <c r="J10" s="45"/>
      <c r="K10" s="24" t="str">
        <f>IF(D11&lt;&gt;"",IF((D9+H9)&gt;(D11+H11),B9,B11),"")</f>
        <v/>
      </c>
      <c r="L10" s="25" t="str">
        <f>IF(D11&lt;&gt;"",IF((D9+I9)&gt;(D11+I11),C9,C11),"")</f>
        <v/>
      </c>
      <c r="M10" s="22"/>
      <c r="N10" s="22"/>
      <c r="O10" s="22"/>
      <c r="P10" s="22"/>
      <c r="Q10" s="22"/>
      <c r="R10" s="26">
        <f>N10/100+O10/10000+P10/1000000+Q10/100000000</f>
        <v>0</v>
      </c>
      <c r="S10" s="47"/>
      <c r="AB10" s="46"/>
    </row>
    <row r="11" spans="1:38" x14ac:dyDescent="0.2">
      <c r="A11" s="1">
        <v>8</v>
      </c>
      <c r="B11" s="20">
        <v>10</v>
      </c>
      <c r="C11" s="21" t="s">
        <v>69</v>
      </c>
      <c r="D11" s="22"/>
      <c r="E11" s="19"/>
      <c r="F11" s="19"/>
      <c r="G11" s="19"/>
      <c r="H11" s="19"/>
      <c r="I11" s="23">
        <f>E11/100+F11/10000+G11/1000000+H11/100000000</f>
        <v>0</v>
      </c>
      <c r="J11" s="47"/>
      <c r="AB11" s="46"/>
      <c r="AE11" s="1" t="s">
        <v>10</v>
      </c>
      <c r="AF11" s="84" t="s">
        <v>11</v>
      </c>
      <c r="AG11" s="84"/>
      <c r="AH11" s="84"/>
      <c r="AI11" s="84"/>
      <c r="AJ11" s="84"/>
    </row>
    <row r="12" spans="1:38" x14ac:dyDescent="0.2">
      <c r="W12" s="86" t="str">
        <f>IF(AND(V8=V16,V8&lt;&gt;""),IF(AA8&lt;&gt;AA16,"","Shoot off"),"")</f>
        <v/>
      </c>
      <c r="X12" s="86"/>
      <c r="Y12" s="86"/>
      <c r="Z12" s="86"/>
      <c r="AA12" s="86"/>
      <c r="AB12" s="45"/>
      <c r="AC12" s="24" t="str">
        <f>IF(V8&lt;&gt;"",IF((V8+AA8)&gt;(V16+AA16),T8,T16),"")</f>
        <v/>
      </c>
      <c r="AD12" s="25" t="str">
        <f>IF(V16&lt;&gt;"",IF((V8+AA8)&gt;(V16+AA16),U8,U16),"")</f>
        <v/>
      </c>
      <c r="AE12" s="22"/>
      <c r="AF12" s="22"/>
      <c r="AG12" s="22"/>
      <c r="AH12" s="22"/>
      <c r="AI12" s="22"/>
      <c r="AJ12" s="26">
        <f>AF12/100+AG12/10000+AH12/1000000+AI12/100000000</f>
        <v>0</v>
      </c>
      <c r="AK12" s="46"/>
    </row>
    <row r="13" spans="1:38" x14ac:dyDescent="0.2">
      <c r="A13" s="1">
        <v>5</v>
      </c>
      <c r="B13" s="20">
        <v>14</v>
      </c>
      <c r="C13" s="21" t="s">
        <v>66</v>
      </c>
      <c r="D13" s="22"/>
      <c r="E13" s="22"/>
      <c r="F13" s="22"/>
      <c r="G13" s="22"/>
      <c r="H13" s="22"/>
      <c r="I13" s="26">
        <f>E13/100+F13/10000+G13/1000000+H13/100000000</f>
        <v>0</v>
      </c>
      <c r="J13" s="47"/>
      <c r="AB13" s="46"/>
      <c r="AK13" s="46"/>
    </row>
    <row r="14" spans="1:38" x14ac:dyDescent="0.2">
      <c r="E14" s="85" t="str">
        <f>IF(AND(D13=D15,D13&lt;&gt;""),IF(I13&lt;&gt;I15,"","Shoot off"),"")</f>
        <v/>
      </c>
      <c r="F14" s="85"/>
      <c r="G14" s="85"/>
      <c r="H14" s="85"/>
      <c r="I14" s="85"/>
      <c r="J14" s="45"/>
      <c r="K14" s="24" t="str">
        <f>IF(D15&lt;&gt;"",IF((D13+H13)&gt;(D15+H15),B13,B15),"")</f>
        <v/>
      </c>
      <c r="L14" s="25" t="str">
        <f>IF(D15&lt;&gt;"",IF((D13+I13)&gt;(D15+I15),C13,C15),"")</f>
        <v/>
      </c>
      <c r="M14" s="22"/>
      <c r="N14" s="22"/>
      <c r="O14" s="22"/>
      <c r="P14" s="22"/>
      <c r="Q14" s="22"/>
      <c r="R14" s="26">
        <f>N14/100+O14/10000+P14/1000000+Q14/100000000</f>
        <v>0</v>
      </c>
      <c r="S14" s="47"/>
      <c r="AB14" s="46"/>
      <c r="AK14" s="46"/>
    </row>
    <row r="15" spans="1:38" x14ac:dyDescent="0.2">
      <c r="A15" s="1">
        <v>12</v>
      </c>
      <c r="B15" s="27">
        <v>6</v>
      </c>
      <c r="C15" s="22" t="s">
        <v>73</v>
      </c>
      <c r="D15" s="22"/>
      <c r="E15" s="19"/>
      <c r="F15" s="19"/>
      <c r="G15" s="19"/>
      <c r="H15" s="19"/>
      <c r="I15" s="23">
        <f>E15/100+F15/10000+G15/1000000+H15/100000000</f>
        <v>0</v>
      </c>
      <c r="J15" s="47"/>
      <c r="S15" s="46"/>
      <c r="AB15" s="46"/>
      <c r="AK15" s="46"/>
    </row>
    <row r="16" spans="1:38" x14ac:dyDescent="0.2">
      <c r="N16" s="86" t="str">
        <f>IF(AND(M14=M18,M14&lt;&gt;""),IF(R14&lt;&gt;R18,"","Shoot off"),"")</f>
        <v/>
      </c>
      <c r="O16" s="86"/>
      <c r="P16" s="86"/>
      <c r="Q16" s="86"/>
      <c r="R16" s="86"/>
      <c r="S16" s="45"/>
      <c r="T16" s="24" t="str">
        <f>IF(M18&lt;&gt;"",IF((M14+R14)&gt;(M18+R18),K14,K18),"")</f>
        <v/>
      </c>
      <c r="U16" s="25" t="str">
        <f>IF(M18&lt;&gt;"",IF((M14+R14)&gt;(M18+R18),L14,L18),"")</f>
        <v/>
      </c>
      <c r="V16" s="22"/>
      <c r="W16" s="22"/>
      <c r="X16" s="22"/>
      <c r="Y16" s="22"/>
      <c r="Z16" s="22"/>
      <c r="AA16" s="26">
        <f>W16/100+X16/10000+Y16/1000000+Z16/100000000</f>
        <v>0</v>
      </c>
      <c r="AB16" s="47"/>
      <c r="AK16" s="46"/>
    </row>
    <row r="17" spans="1:37" x14ac:dyDescent="0.2">
      <c r="A17" s="1">
        <v>13</v>
      </c>
      <c r="B17" s="27">
        <v>5</v>
      </c>
      <c r="C17" s="22" t="s">
        <v>74</v>
      </c>
      <c r="D17" s="22"/>
      <c r="E17" s="22"/>
      <c r="F17" s="22"/>
      <c r="G17" s="22"/>
      <c r="H17" s="22"/>
      <c r="I17" s="26">
        <f>E17/100+F17/10000+G17/1000000+H17/100000000</f>
        <v>0</v>
      </c>
      <c r="J17" s="47"/>
      <c r="S17" s="46"/>
      <c r="AK17" s="46"/>
    </row>
    <row r="18" spans="1:37" x14ac:dyDescent="0.2">
      <c r="E18" s="85" t="str">
        <f>IF(AND(D17=D19,D17&lt;&gt;""),IF(I17&lt;&gt;I19,"","Shoot off"),"")</f>
        <v/>
      </c>
      <c r="F18" s="85"/>
      <c r="G18" s="85"/>
      <c r="H18" s="85"/>
      <c r="I18" s="85"/>
      <c r="J18" s="45"/>
      <c r="K18" s="24" t="str">
        <f>IF(D19&lt;&gt;"",IF((D17+H17)&gt;(D19+H19),B17,B19),"")</f>
        <v/>
      </c>
      <c r="L18" s="25" t="str">
        <f>IF(D19&lt;&gt;"",IF((D17+I17)&gt;(D19+I19),C17,C19),"")</f>
        <v/>
      </c>
      <c r="M18" s="22"/>
      <c r="N18" s="22"/>
      <c r="O18" s="22"/>
      <c r="P18" s="22"/>
      <c r="Q18" s="22"/>
      <c r="R18" s="26">
        <f>N18/100+O18/10000+P18/1000000+Q18/100000000</f>
        <v>0</v>
      </c>
      <c r="S18" s="47"/>
      <c r="AK18" s="46"/>
    </row>
    <row r="19" spans="1:37" x14ac:dyDescent="0.2">
      <c r="A19" s="1">
        <v>4</v>
      </c>
      <c r="B19" s="20">
        <v>15</v>
      </c>
      <c r="C19" s="21" t="s">
        <v>65</v>
      </c>
      <c r="D19" s="22"/>
      <c r="E19" s="19"/>
      <c r="F19" s="19"/>
      <c r="G19" s="19"/>
      <c r="H19" s="19"/>
      <c r="I19" s="23">
        <f>E19/100+F19/10000+G19/1000000+H19/100000000</f>
        <v>0</v>
      </c>
      <c r="J19" s="47"/>
      <c r="AK19" s="46"/>
    </row>
    <row r="20" spans="1:37" x14ac:dyDescent="0.2">
      <c r="AK20" s="46"/>
    </row>
    <row r="21" spans="1:37" x14ac:dyDescent="0.2">
      <c r="AK21" s="46"/>
    </row>
    <row r="22" spans="1:37" x14ac:dyDescent="0.2">
      <c r="AC22" s="24" t="str">
        <f>IF(AE12&lt;&gt;"",IF((AE12+AJ12)&gt;(AE31+AJ31),AC12,AC31),"")</f>
        <v/>
      </c>
      <c r="AD22" s="25" t="str">
        <f>IF(AE12&lt;&gt;"",IF((AE12+AJ12)&gt;(AE31+AJ31),AD12,AD31),"")</f>
        <v/>
      </c>
      <c r="AE22" s="22" t="str">
        <f>IF(AD22 &lt;&gt; "", "WINNAAR", "")</f>
        <v/>
      </c>
      <c r="AF22" s="22"/>
      <c r="AG22" s="22"/>
      <c r="AH22" s="22"/>
      <c r="AI22" s="22"/>
      <c r="AJ22" s="30"/>
      <c r="AK22" s="46"/>
    </row>
    <row r="23" spans="1:37" x14ac:dyDescent="0.2">
      <c r="D23" s="1" t="s">
        <v>10</v>
      </c>
      <c r="E23" s="83" t="s">
        <v>7</v>
      </c>
      <c r="F23" s="83"/>
      <c r="G23" s="83"/>
      <c r="H23" s="83"/>
      <c r="I23" s="83"/>
      <c r="W23" s="84"/>
      <c r="X23" s="84"/>
      <c r="Y23" s="84"/>
      <c r="Z23" s="84"/>
      <c r="AA23" s="84"/>
      <c r="AK23" s="46"/>
    </row>
    <row r="24" spans="1:37" x14ac:dyDescent="0.2">
      <c r="A24" s="1">
        <v>3</v>
      </c>
      <c r="B24" s="20">
        <v>16</v>
      </c>
      <c r="C24" s="21" t="s">
        <v>64</v>
      </c>
      <c r="D24" s="22"/>
      <c r="E24" s="19"/>
      <c r="F24" s="19"/>
      <c r="G24" s="19"/>
      <c r="H24" s="19"/>
      <c r="I24" s="23">
        <f>E24/100+F24/10000+G24/1000000+H24/100000000</f>
        <v>0</v>
      </c>
      <c r="J24" s="47"/>
      <c r="M24" s="1" t="s">
        <v>10</v>
      </c>
      <c r="N24" s="84" t="s">
        <v>11</v>
      </c>
      <c r="O24" s="84"/>
      <c r="P24" s="84"/>
      <c r="Q24" s="84"/>
      <c r="R24" s="84"/>
      <c r="AK24" s="46"/>
    </row>
    <row r="25" spans="1:37" x14ac:dyDescent="0.2">
      <c r="B25" s="4"/>
      <c r="E25" s="85" t="str">
        <f>IF(AND(D24=D26,D24&lt;&gt;""),IF(I24&lt;&gt;I26,"","Shoot off"),"")</f>
        <v/>
      </c>
      <c r="F25" s="85"/>
      <c r="G25" s="85"/>
      <c r="H25" s="85"/>
      <c r="I25" s="85"/>
      <c r="J25" s="45"/>
      <c r="K25" s="24" t="str">
        <f>IF(D26&lt;&gt;"",IF((D24+H24)&gt;(D26+H26),B24,B26),"")</f>
        <v/>
      </c>
      <c r="L25" s="25" t="str">
        <f>IF(D26&lt;&gt;"",IF((D24+I24)&gt;(D26+I26),C24,C26),"")</f>
        <v/>
      </c>
      <c r="M25" s="22"/>
      <c r="N25" s="22"/>
      <c r="O25" s="22"/>
      <c r="P25" s="22"/>
      <c r="Q25" s="22"/>
      <c r="R25" s="26">
        <f>N25/100+O25/10000+P25/1000000+Q25/100000000</f>
        <v>0</v>
      </c>
      <c r="S25" s="47"/>
      <c r="AK25" s="46"/>
    </row>
    <row r="26" spans="1:37" x14ac:dyDescent="0.2">
      <c r="A26" s="1">
        <v>14</v>
      </c>
      <c r="B26" s="27">
        <v>4</v>
      </c>
      <c r="C26" s="22" t="s">
        <v>75</v>
      </c>
      <c r="D26" s="22"/>
      <c r="E26" s="19"/>
      <c r="F26" s="19"/>
      <c r="G26" s="19"/>
      <c r="H26" s="19"/>
      <c r="I26" s="23">
        <f>E26/100+F26/10000+G26/1000000+H26/100000000</f>
        <v>0</v>
      </c>
      <c r="J26" s="47"/>
      <c r="S26" s="46"/>
      <c r="V26" s="1" t="s">
        <v>10</v>
      </c>
      <c r="W26" s="84" t="s">
        <v>11</v>
      </c>
      <c r="X26" s="84"/>
      <c r="Y26" s="84"/>
      <c r="Z26" s="84"/>
      <c r="AA26" s="84"/>
      <c r="AK26" s="46"/>
    </row>
    <row r="27" spans="1:37" x14ac:dyDescent="0.2">
      <c r="B27" s="4"/>
      <c r="N27" s="86" t="str">
        <f>IF(AND(M25=M29,M25&lt;&gt;""),IF(R25&lt;&gt;R29,"","Shoot off"),"")</f>
        <v/>
      </c>
      <c r="O27" s="86"/>
      <c r="P27" s="86"/>
      <c r="Q27" s="86"/>
      <c r="R27" s="86"/>
      <c r="S27" s="45"/>
      <c r="T27" s="24" t="str">
        <f>IF(M29&lt;&gt;"",IF((M25+R25)&gt;(M29+R29),K25,K29),"")</f>
        <v/>
      </c>
      <c r="U27" s="25" t="str">
        <f>IF(M29&lt;&gt;"",IF((M25+R25)&gt;(M29+R29),L25,L29),"")</f>
        <v/>
      </c>
      <c r="V27" s="22"/>
      <c r="W27" s="22"/>
      <c r="X27" s="22"/>
      <c r="Y27" s="22"/>
      <c r="Z27" s="22"/>
      <c r="AA27" s="26">
        <f>W27/100+X27/10000+Y27/1000000+Z27/100000000</f>
        <v>0</v>
      </c>
      <c r="AB27" s="47"/>
      <c r="AK27" s="46"/>
    </row>
    <row r="28" spans="1:37" x14ac:dyDescent="0.2">
      <c r="A28" s="1">
        <v>11</v>
      </c>
      <c r="B28" s="20">
        <v>8</v>
      </c>
      <c r="C28" s="21" t="s">
        <v>71</v>
      </c>
      <c r="D28" s="22"/>
      <c r="E28" s="22"/>
      <c r="F28" s="22"/>
      <c r="G28" s="22"/>
      <c r="H28" s="22"/>
      <c r="I28" s="26">
        <f>E28/100+F28/10000+G28/1000000+H28/100000000</f>
        <v>0</v>
      </c>
      <c r="J28" s="47"/>
      <c r="S28" s="46"/>
      <c r="AB28" s="46"/>
      <c r="AK28" s="46"/>
    </row>
    <row r="29" spans="1:37" x14ac:dyDescent="0.2">
      <c r="B29" s="4"/>
      <c r="E29" s="85" t="str">
        <f>IF(AND(D28=D30,D28&lt;&gt;""),IF(I28&lt;&gt;I30,"","Shoot off"),"")</f>
        <v/>
      </c>
      <c r="F29" s="85"/>
      <c r="G29" s="85"/>
      <c r="H29" s="85"/>
      <c r="I29" s="85"/>
      <c r="J29" s="45"/>
      <c r="K29" s="24" t="str">
        <f>IF(D30&lt;&gt;"",IF((D28+H28)&gt;(D30+H30),B28,B30),"")</f>
        <v/>
      </c>
      <c r="L29" s="25" t="str">
        <f>IF(D30&lt;&gt;"",IF((D28+I28)&gt;(D30+I30),C28,C30),"")</f>
        <v/>
      </c>
      <c r="M29" s="22"/>
      <c r="N29" s="22"/>
      <c r="O29" s="22"/>
      <c r="P29" s="22"/>
      <c r="Q29" s="22"/>
      <c r="R29" s="26">
        <f>N29/100+O29/10000+P29/1000000+Q29/100000000</f>
        <v>0</v>
      </c>
      <c r="S29" s="47"/>
      <c r="AB29" s="46"/>
      <c r="AK29" s="46"/>
    </row>
    <row r="30" spans="1:37" x14ac:dyDescent="0.2">
      <c r="A30" s="1">
        <v>6</v>
      </c>
      <c r="B30" s="20">
        <v>12</v>
      </c>
      <c r="C30" s="21" t="s">
        <v>67</v>
      </c>
      <c r="D30" s="22"/>
      <c r="E30" s="19"/>
      <c r="F30" s="19"/>
      <c r="G30" s="19"/>
      <c r="H30" s="19"/>
      <c r="I30" s="23">
        <f>E30/100+F30/10000+G30/1000000+H30/100000000</f>
        <v>0</v>
      </c>
      <c r="J30" s="47"/>
      <c r="AB30" s="46"/>
      <c r="AE30" s="1" t="s">
        <v>10</v>
      </c>
      <c r="AF30" s="84" t="s">
        <v>11</v>
      </c>
      <c r="AG30" s="84"/>
      <c r="AH30" s="84"/>
      <c r="AI30" s="84"/>
      <c r="AJ30" s="84"/>
      <c r="AK30" s="46"/>
    </row>
    <row r="31" spans="1:37" x14ac:dyDescent="0.2">
      <c r="W31" s="86" t="str">
        <f>IF(AND(V27=V35,V27&lt;&gt;""),IF(AA27&lt;&gt;AA35,"","Shoot off"),"")</f>
        <v/>
      </c>
      <c r="X31" s="86"/>
      <c r="Y31" s="86"/>
      <c r="Z31" s="86"/>
      <c r="AA31" s="86"/>
      <c r="AB31" s="45"/>
      <c r="AC31" s="24" t="str">
        <f>IF(V35&lt;&gt;"",IF((V27+AA27)&gt;(V35+AA35),T27,T35),"")</f>
        <v/>
      </c>
      <c r="AD31" s="25" t="str">
        <f>IF(V35&lt;&gt;"",IF((V27+AA27)&gt;(V35+AA35),U27,U35),"")</f>
        <v/>
      </c>
      <c r="AE31" s="22"/>
      <c r="AF31" s="22"/>
      <c r="AG31" s="22"/>
      <c r="AH31" s="22"/>
      <c r="AI31" s="22"/>
      <c r="AJ31" s="26">
        <f>AF31/100+AG31/10000+AH31/1000000+AI31/100000000</f>
        <v>0</v>
      </c>
      <c r="AK31" s="46"/>
    </row>
    <row r="32" spans="1:37" x14ac:dyDescent="0.2">
      <c r="A32" s="1">
        <v>7</v>
      </c>
      <c r="B32" s="20">
        <v>11</v>
      </c>
      <c r="C32" s="21" t="s">
        <v>68</v>
      </c>
      <c r="D32" s="22"/>
      <c r="E32" s="22"/>
      <c r="F32" s="22"/>
      <c r="G32" s="22"/>
      <c r="H32" s="22"/>
      <c r="I32" s="26">
        <f>E32/100+F32/10000+G32/1000000+H32/100000000</f>
        <v>0</v>
      </c>
      <c r="J32" s="47"/>
      <c r="AB32" s="46"/>
    </row>
    <row r="33" spans="1:37" x14ac:dyDescent="0.2">
      <c r="E33" s="85" t="str">
        <f>IF(AND(D32=D34,D32&lt;&gt;""),IF(I32&lt;&gt;I34,"","Shoot off"),"")</f>
        <v/>
      </c>
      <c r="F33" s="85"/>
      <c r="G33" s="85"/>
      <c r="H33" s="85"/>
      <c r="I33" s="85"/>
      <c r="J33" s="45"/>
      <c r="K33" s="24" t="str">
        <f>IF(D34&lt;&gt;"",IF((D32+H32)&gt;(D34+H34),B32,B34),"")</f>
        <v/>
      </c>
      <c r="L33" s="25" t="str">
        <f>IF(D34&lt;&gt;"",IF((D32+I32)&gt;(D34+I34),C32,C34),"")</f>
        <v/>
      </c>
      <c r="M33" s="22"/>
      <c r="N33" s="22"/>
      <c r="O33" s="22"/>
      <c r="P33" s="22"/>
      <c r="Q33" s="22"/>
      <c r="R33" s="26">
        <f>N33/100+O33/10000+P33/1000000+Q33/100000000</f>
        <v>0</v>
      </c>
      <c r="S33" s="47"/>
      <c r="AB33" s="46"/>
    </row>
    <row r="34" spans="1:37" x14ac:dyDescent="0.2">
      <c r="A34" s="1">
        <v>10</v>
      </c>
      <c r="B34" s="27">
        <v>7</v>
      </c>
      <c r="C34" s="22" t="s">
        <v>72</v>
      </c>
      <c r="D34" s="22"/>
      <c r="E34" s="19"/>
      <c r="F34" s="19"/>
      <c r="G34" s="19"/>
      <c r="H34" s="19"/>
      <c r="I34" s="23">
        <f>E34/100+F34/10000+G34/1000000+H34/100000000</f>
        <v>0</v>
      </c>
      <c r="J34" s="47"/>
      <c r="S34" s="46"/>
      <c r="AB34" s="46"/>
    </row>
    <row r="35" spans="1:37" x14ac:dyDescent="0.2">
      <c r="N35" s="86" t="str">
        <f>IF(AND(M33=M37,M33&lt;&gt;""),IF(R33&lt;&gt;R37,"","Shoot off"),"")</f>
        <v/>
      </c>
      <c r="O35" s="86"/>
      <c r="P35" s="86"/>
      <c r="Q35" s="86"/>
      <c r="R35" s="86"/>
      <c r="S35" s="45"/>
      <c r="T35" s="24" t="str">
        <f>IF(M37&lt;&gt;"",IF((M33+R33)&gt;(M37+R37),K33,K37),"")</f>
        <v/>
      </c>
      <c r="U35" s="25" t="str">
        <f>IF(M37&lt;&gt;"",IF((M33+R33)&gt;(M37+R37),L33,L37),"")</f>
        <v/>
      </c>
      <c r="V35" s="22"/>
      <c r="W35" s="22"/>
      <c r="X35" s="22"/>
      <c r="Y35" s="22"/>
      <c r="Z35" s="22"/>
      <c r="AA35" s="26">
        <f>W35/100+X35/10000+Y35/1000000+Z35/100000000</f>
        <v>0</v>
      </c>
      <c r="AB35" s="47"/>
    </row>
    <row r="36" spans="1:37" x14ac:dyDescent="0.2">
      <c r="A36" s="1">
        <v>15</v>
      </c>
      <c r="B36" s="27">
        <v>3</v>
      </c>
      <c r="C36" s="22" t="s">
        <v>76</v>
      </c>
      <c r="D36" s="22"/>
      <c r="E36" s="22"/>
      <c r="F36" s="22"/>
      <c r="G36" s="22"/>
      <c r="H36" s="22"/>
      <c r="I36" s="26">
        <f>E36/100+F36/10000+G36/1000000+H36/100000000</f>
        <v>0</v>
      </c>
      <c r="J36" s="47"/>
      <c r="S36" s="46"/>
    </row>
    <row r="37" spans="1:37" x14ac:dyDescent="0.2">
      <c r="E37" s="85" t="str">
        <f>IF(AND(D36=D38,D36&lt;&gt;""),IF(I36&lt;&gt;I38,"","Shoot off"),"")</f>
        <v/>
      </c>
      <c r="F37" s="85"/>
      <c r="G37" s="85"/>
      <c r="H37" s="85"/>
      <c r="I37" s="85"/>
      <c r="J37" s="45"/>
      <c r="K37" s="24" t="str">
        <f>IF(D38&lt;&gt;"",IF((D36+H36)&gt;(D38+H38),B36,B38),"")</f>
        <v/>
      </c>
      <c r="L37" s="25" t="str">
        <f>IF(D38&lt;&gt;"",IF((D36+I36)&gt;(D38+I38),C36,C38),"")</f>
        <v/>
      </c>
      <c r="M37" s="22"/>
      <c r="N37" s="22"/>
      <c r="O37" s="22"/>
      <c r="P37" s="22"/>
      <c r="Q37" s="22"/>
      <c r="R37" s="26">
        <f>N37/100+O37/10000+P37/1000000+Q37/100000000</f>
        <v>0</v>
      </c>
      <c r="S37" s="47"/>
    </row>
    <row r="38" spans="1:37" x14ac:dyDescent="0.2">
      <c r="A38" s="1">
        <v>2</v>
      </c>
      <c r="B38" s="20">
        <v>1</v>
      </c>
      <c r="C38" s="21" t="s">
        <v>63</v>
      </c>
      <c r="D38" s="22"/>
      <c r="E38" s="19"/>
      <c r="F38" s="19"/>
      <c r="G38" s="19"/>
      <c r="H38" s="19"/>
      <c r="I38" s="23">
        <f>E38/100+F38/10000+G38/1000000+H38/100000000</f>
        <v>0</v>
      </c>
      <c r="J38" s="47"/>
    </row>
    <row r="39" spans="1:37" x14ac:dyDescent="0.2">
      <c r="AD39" s="82" t="s">
        <v>40</v>
      </c>
      <c r="AE39" s="82"/>
    </row>
    <row r="41" spans="1:37" x14ac:dyDescent="0.2">
      <c r="AE41" s="1" t="s">
        <v>10</v>
      </c>
      <c r="AF41" s="1" t="s">
        <v>11</v>
      </c>
    </row>
    <row r="42" spans="1:37" x14ac:dyDescent="0.2">
      <c r="AC42" s="27" t="s">
        <v>41</v>
      </c>
      <c r="AD42" s="22" t="s">
        <v>41</v>
      </c>
      <c r="AE42" s="22"/>
      <c r="AF42" s="22"/>
      <c r="AG42" s="22"/>
      <c r="AH42" s="22"/>
      <c r="AI42" s="22"/>
      <c r="AJ42" s="30"/>
      <c r="AK42" s="46"/>
    </row>
    <row r="43" spans="1:37" x14ac:dyDescent="0.2">
      <c r="AK43" s="46"/>
    </row>
    <row r="44" spans="1:37" x14ac:dyDescent="0.2">
      <c r="AK44" s="46"/>
    </row>
    <row r="45" spans="1:37" x14ac:dyDescent="0.2">
      <c r="AK45" s="46"/>
    </row>
    <row r="46" spans="1:37" x14ac:dyDescent="0.2">
      <c r="AC46" s="27" t="s">
        <v>41</v>
      </c>
      <c r="AD46" s="22" t="s">
        <v>41</v>
      </c>
      <c r="AE46" s="22"/>
      <c r="AF46" s="22"/>
      <c r="AG46" s="22"/>
      <c r="AH46" s="22"/>
      <c r="AI46" s="22"/>
      <c r="AJ46" s="30"/>
      <c r="AK46" s="46"/>
    </row>
    <row r="47" spans="1:37" x14ac:dyDescent="0.2">
      <c r="AK47" s="46"/>
    </row>
    <row r="48" spans="1:37" x14ac:dyDescent="0.2">
      <c r="AK48" s="46"/>
    </row>
    <row r="49" spans="29:37" x14ac:dyDescent="0.2">
      <c r="AE49" s="1" t="s">
        <v>10</v>
      </c>
      <c r="AF49" s="84" t="s">
        <v>11</v>
      </c>
      <c r="AG49" s="84"/>
      <c r="AH49" s="84"/>
      <c r="AI49" s="84"/>
      <c r="AJ49" s="84"/>
      <c r="AK49" s="46"/>
    </row>
    <row r="50" spans="29:37" x14ac:dyDescent="0.2">
      <c r="AC50" s="27" t="s">
        <v>41</v>
      </c>
      <c r="AD50" s="22" t="s">
        <v>41</v>
      </c>
      <c r="AE50" s="22"/>
      <c r="AF50" s="22"/>
      <c r="AG50" s="22"/>
      <c r="AH50" s="22"/>
      <c r="AI50" s="22"/>
      <c r="AJ50" s="30"/>
      <c r="AK50" s="46"/>
    </row>
  </sheetData>
  <mergeCells count="31">
    <mergeCell ref="AD39:AE39"/>
    <mergeCell ref="AF49:AJ49"/>
    <mergeCell ref="U3:Z3"/>
    <mergeCell ref="W31:AA31"/>
    <mergeCell ref="N16:R16"/>
    <mergeCell ref="N24:R24"/>
    <mergeCell ref="N27:R27"/>
    <mergeCell ref="N35:R35"/>
    <mergeCell ref="AF30:AJ30"/>
    <mergeCell ref="AF11:AJ11"/>
    <mergeCell ref="W26:AA26"/>
    <mergeCell ref="E29:I29"/>
    <mergeCell ref="E37:I37"/>
    <mergeCell ref="E23:I23"/>
    <mergeCell ref="E25:I25"/>
    <mergeCell ref="E33:I33"/>
    <mergeCell ref="B1:AK1"/>
    <mergeCell ref="AD3:AE3"/>
    <mergeCell ref="W7:AA7"/>
    <mergeCell ref="W23:AA23"/>
    <mergeCell ref="AF4:AJ4"/>
    <mergeCell ref="E4:I4"/>
    <mergeCell ref="N5:R5"/>
    <mergeCell ref="E18:I18"/>
    <mergeCell ref="N8:R8"/>
    <mergeCell ref="E10:I10"/>
    <mergeCell ref="W12:AA12"/>
    <mergeCell ref="E14:I14"/>
    <mergeCell ref="L3:Q3"/>
    <mergeCell ref="E6:I6"/>
    <mergeCell ref="C3:I3"/>
  </mergeCells>
  <phoneticPr fontId="8" type="noConversion"/>
  <pageMargins left="0.26" right="0.57999999999999996" top="0.98" bottom="0.98" header="0.5" footer="0.5"/>
  <pageSetup paperSize="9" scale="64" orientation="landscape" horizontalDpi="720" verticalDpi="720" r:id="rId1"/>
  <headerFooter alignWithMargins="0"/>
  <cellWatches>
    <cellWatch r="D5"/>
  </cellWatches>
  <ignoredErrors>
    <ignoredError sqref="AE22"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Blad4.FinalesAfdrukken">
                <anchor moveWithCells="1" sizeWithCells="1">
                  <from>
                    <xdr:col>11</xdr:col>
                    <xdr:colOff>1504950</xdr:colOff>
                    <xdr:row>40</xdr:row>
                    <xdr:rowOff>9525</xdr:rowOff>
                  </from>
                  <to>
                    <xdr:col>14</xdr:col>
                    <xdr:colOff>114300</xdr:colOff>
                    <xdr:row>41</xdr:row>
                    <xdr:rowOff>114300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Uitleg</vt:lpstr>
      <vt:lpstr>Voorronde</vt:lpstr>
      <vt:lpstr>Finale</vt:lpstr>
      <vt:lpstr>Finale!Print_Area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NHB App Support</dc:creator>
  <cp:lastModifiedBy>Ramon</cp:lastModifiedBy>
  <cp:lastPrinted>2022-03-15T10:43:33Z</cp:lastPrinted>
  <dcterms:created xsi:type="dcterms:W3CDTF">2000-03-31T19:47:32Z</dcterms:created>
  <dcterms:modified xsi:type="dcterms:W3CDTF">2022-03-19T15:58:32Z</dcterms:modified>
</cp:coreProperties>
</file>