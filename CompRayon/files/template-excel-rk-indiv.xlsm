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24226"/>
  <mc:AlternateContent xmlns:mc="http://schemas.openxmlformats.org/markup-compatibility/2006">
    <mc:Choice Requires="x15">
      <x15ac:absPath xmlns:x15ac="http://schemas.microsoft.com/office/spreadsheetml/2010/11/ac" url="H:\Projects Ramon\Websites\NHB-applicaties\Backups ontwikkelsysteem\"/>
    </mc:Choice>
  </mc:AlternateContent>
  <xr:revisionPtr revIDLastSave="0" documentId="13_ncr:1_{912A75F6-8C2B-43D8-B206-3344ED63D423}" xr6:coauthVersionLast="47" xr6:coauthVersionMax="47" xr10:uidLastSave="{00000000-0000-0000-0000-000000000000}"/>
  <bookViews>
    <workbookView xWindow="7410" yWindow="870" windowWidth="18720" windowHeight="13065" firstSheet="2" activeTab="3" xr2:uid="{00000000-000D-0000-FFFF-FFFF00000000}"/>
  </bookViews>
  <sheets>
    <sheet name="Database" sheetId="1" state="hidden" r:id="rId1"/>
    <sheet name="Vers" sheetId="2" state="hidden" r:id="rId2"/>
    <sheet name="Help" sheetId="3" r:id="rId3"/>
    <sheet name="Voorronde" sheetId="4" r:id="rId4"/>
    <sheet name="Finale" sheetId="5" r:id="rId5"/>
  </sheets>
  <definedNames>
    <definedName name="_xlnm.Print_Area" localSheetId="4">Finale!$A$1:$AK$40</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4" i="4" l="1"/>
  <c r="B1" i="5" s="1"/>
  <c r="S7" i="4"/>
  <c r="AD22" i="5"/>
  <c r="AE22" i="5"/>
  <c r="AC31" i="5"/>
  <c r="AD31" i="5"/>
  <c r="L6" i="5"/>
  <c r="U8" i="5"/>
  <c r="AD12" i="5"/>
  <c r="K6" i="5"/>
  <c r="T8" i="5"/>
  <c r="AC12" i="5"/>
  <c r="AC22" i="5"/>
  <c r="AJ31" i="5"/>
  <c r="AJ12" i="5"/>
  <c r="AA8" i="5"/>
  <c r="I38" i="5"/>
  <c r="R37" i="5"/>
  <c r="L37" i="5"/>
  <c r="K37" i="5"/>
  <c r="E37" i="5"/>
  <c r="I36" i="5"/>
  <c r="AA35" i="5"/>
  <c r="U35" i="5"/>
  <c r="T35" i="5"/>
  <c r="N35" i="5"/>
  <c r="I34" i="5"/>
  <c r="R33" i="5"/>
  <c r="L33" i="5"/>
  <c r="K33" i="5"/>
  <c r="E33" i="5"/>
  <c r="I32" i="5"/>
  <c r="W31" i="5"/>
  <c r="I30" i="5"/>
  <c r="R29" i="5"/>
  <c r="L29" i="5"/>
  <c r="K29" i="5"/>
  <c r="E29" i="5"/>
  <c r="I28" i="5"/>
  <c r="AA27" i="5"/>
  <c r="L25" i="5"/>
  <c r="U27" i="5"/>
  <c r="K25" i="5"/>
  <c r="T27" i="5"/>
  <c r="N27" i="5"/>
  <c r="I26" i="5"/>
  <c r="R25" i="5"/>
  <c r="E25" i="5"/>
  <c r="I24" i="5"/>
  <c r="I5" i="5"/>
  <c r="E6" i="5"/>
  <c r="R6" i="5"/>
  <c r="I7" i="5"/>
  <c r="N8" i="5"/>
  <c r="I9" i="5"/>
  <c r="E10" i="5"/>
  <c r="K10" i="5"/>
  <c r="L10" i="5"/>
  <c r="R10" i="5"/>
  <c r="I11" i="5"/>
  <c r="W12" i="5"/>
  <c r="I13" i="5"/>
  <c r="E14" i="5"/>
  <c r="K14" i="5"/>
  <c r="L14" i="5"/>
  <c r="R14" i="5"/>
  <c r="I15" i="5"/>
  <c r="N16" i="5"/>
  <c r="K18" i="5"/>
  <c r="T16" i="5"/>
  <c r="L18" i="5"/>
  <c r="U16" i="5"/>
  <c r="AA16" i="5"/>
  <c r="I17" i="5"/>
  <c r="E18" i="5"/>
  <c r="R18" i="5"/>
  <c r="I19" i="5"/>
</calcChain>
</file>

<file path=xl/sharedStrings.xml><?xml version="1.0" encoding="utf-8"?>
<sst xmlns="http://schemas.openxmlformats.org/spreadsheetml/2006/main" count="81" uniqueCount="60">
  <si>
    <t>Tel : 013-5400178</t>
  </si>
  <si>
    <t>Fax: 020-8735943</t>
  </si>
  <si>
    <t>E-Mail: mvroosmalen@gmx.net</t>
  </si>
  <si>
    <t>E-Mail NHB : info@handboogsport.nl</t>
  </si>
  <si>
    <t>Instellingen</t>
  </si>
  <si>
    <t xml:space="preserve">Uitnodigingslijst sorteren op </t>
  </si>
  <si>
    <t>Vereniging (Ja/Nee)</t>
  </si>
  <si>
    <t>Nee</t>
  </si>
  <si>
    <t>Lus in schutter invoer ? (Ja/Nee)</t>
  </si>
  <si>
    <t>Ja</t>
  </si>
  <si>
    <t>Afdrukken eerst op scherm ? (Ja/Nee)</t>
  </si>
  <si>
    <t>Baannummer</t>
  </si>
  <si>
    <t>Bondsnr</t>
  </si>
  <si>
    <t>Tot</t>
  </si>
  <si>
    <t>Shoot Off</t>
  </si>
  <si>
    <t>1/4 finale</t>
  </si>
  <si>
    <t>Finale</t>
  </si>
  <si>
    <t>Score</t>
  </si>
  <si>
    <t>Shoot off</t>
  </si>
  <si>
    <t>Bondsnummer</t>
  </si>
  <si>
    <t>Naam</t>
  </si>
  <si>
    <t>Vereniging</t>
  </si>
  <si>
    <t>Klasse</t>
  </si>
  <si>
    <t>LET OP: Setsysteem:</t>
  </si>
  <si>
    <r>
      <t xml:space="preserve">Om te bepalen wie er de 3de plaats behaalt moet er een aparte "bronzen" finale worden geschoten. Het programma houd hier helaas geen rekening mee. </t>
    </r>
    <r>
      <rPr>
        <sz val="10"/>
        <rFont val="Arial"/>
        <family val="2"/>
      </rPr>
      <t>Deze "bronzen" finale moet dus handmatig worden uitgevoerd.</t>
    </r>
  </si>
  <si>
    <t>1/8 finale</t>
  </si>
  <si>
    <t>1/2 Finale</t>
  </si>
  <si>
    <t>Hoeveel schutters naar finale? (1 - 16)</t>
  </si>
  <si>
    <t>Regio</t>
  </si>
  <si>
    <t>Regio score (Ja/Nee)</t>
  </si>
  <si>
    <t>Regio gem.</t>
  </si>
  <si>
    <t>Het excel werkboek is zo gemaakt dat van elke klasse een aparte kopie gemaakt dient te worden. Als dit ongewenst is kan er ook een eigen versie gemaakt / geschreven worden. Wel dien ik aan het einde van de competitie de juiste gegevens aangeleverd te hebben (zoals in voorronden met daarbij de scores (na 60pijlen) en welke schutter rayonkampioen geworden is.</t>
  </si>
  <si>
    <t>Er zijn twee vakken waar instellingen gewijzigd kunnen worden. De eerste is voor de sorteervolgorde tijdens het afdrukken van de uitnodigingslijst en de tweede voor het transporteren naar de finale (4, 8 of 16 schutters), of er tijdens schutter invoer het invoer venster moet blijven terug komen of dat er telkens na een schutter de invoer moet stoppen. De laatste optie in het tweede vak dient om aan te geven of er meteen naar de printer of eerst een preview gegeven moet worden.</t>
  </si>
  <si>
    <t>Rayon Kamp</t>
  </si>
  <si>
    <t>(N.v.t.)</t>
  </si>
  <si>
    <t>(leeglaten, in gebruik)</t>
  </si>
  <si>
    <t>2 * 30p</t>
  </si>
  <si>
    <t xml:space="preserve">Maak een kopie van het werkboek en noem ze naar de betreffende klasse bv : rayon1_recurve1.xls </t>
  </si>
  <si>
    <t>Druk op de knop &lt;Naar finale&gt; en de eerste schutters worden geplaatst in het scherm finale (afhankelijk van het getal bij instellingen 4, 8 of 16 schutters). Voer de scores in achter de betreffende schutters en eventueel ook de shoot off score (wordt aangegeven). De volgende ronde wordt automatisch ingevuld. Als het de finale is geschoten en een afdruk wordt gemaakt (knop &lt;Afdukken&gt;) dan wordt de Rayonkampioen met "Kampioen" gemarkeerd in het voorronde scherm. Het bestand kan nu naar de NHB worden verstuurd.</t>
  </si>
  <si>
    <t>regio</t>
  </si>
  <si>
    <t>Finale ronde (Niet van toepassing bij 25m1p)</t>
  </si>
  <si>
    <t>Rayonkampioenschappen worden geschoten volgens het World Archery setsysteem (zie ook de informatie hierover elders). In dit programma is hier niet speciaal rekening mee gehouden, maar het programma werkt ook voor het setsysteem. Op de plaats waar voorheen een puntenaantal (max 120 punten) moest worden ingevuld moeten er nu setpunten worden ingevuldt (bijvoorbeeld 6 voor de winnaar)</t>
  </si>
  <si>
    <t>Ver nummer</t>
  </si>
  <si>
    <t>Vereningsnaam</t>
  </si>
  <si>
    <t>Naam+ vernummer</t>
  </si>
  <si>
    <t>Algemeen</t>
  </si>
  <si>
    <t>Invoeren</t>
  </si>
  <si>
    <t xml:space="preserve">De schutters moeten ingevoerd worden met de functie &lt;Invoeren schutters&gt;. Hiermee worden de juiste gegevens opgehaald en geplaatst in het voorrronde werkblad. Na alle schutters te hebben ingevoerd kunnen scores ingevoerd worden.  </t>
  </si>
  <si>
    <t>Als alle scores zijn ingevoerd druk je op de knop afdrukken (ook na de eerste 30pijlen) de schutters worden gesorteerd en afgedrukt. Tip : Baannummers kunnen worden gebruikt door in kolom A de nummers en in B de letters in te voeren en op deze kolom te sorteren met de knop &lt;Sorteren op baannummer&gt;. Deze kolom wordt niet afgedrukt.</t>
  </si>
  <si>
    <t>Afdrukken</t>
  </si>
  <si>
    <t>Als de scores zijn ingevoerd kan er een afdruk gemaakt worden door op de knop &lt;Afdrukken&gt; te drukken. Als er 2* 30pijlen zijn ingevoerd dan wordt er bepaald bij welke schutters een shoot off geschoten dient te worden. Hiervan krijg je een melding en de betreffende schutters worden Rood gemaakt. Vul nu de shoot off scores in en druk af.</t>
  </si>
  <si>
    <t>Auteur</t>
  </si>
  <si>
    <t xml:space="preserve">Mark van Roosmalen </t>
  </si>
  <si>
    <t>De Kraan 26</t>
  </si>
  <si>
    <t>5056EB Berkel-Enschot</t>
  </si>
  <si>
    <t>gemiddelde</t>
  </si>
  <si>
    <t>Voornaam Achternaam</t>
  </si>
  <si>
    <t>Beschrijving</t>
  </si>
  <si>
    <t>1234 Naam</t>
  </si>
  <si>
    <t>versie: 2021-12-indiv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</si>
</sst>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
  </numFmts>
  <fonts count="12" x14ac:knownFonts="1">
    <font>
      <sz val="10"/>
      <name val="Arial"/>
    </font>
    <font>
      <sz val="10"/>
      <name val="Arial"/>
      <family val="2"/>
    </font>
    <font>
      <sz val="10"/>
      <color indexed="8"/>
      <name val="Arial"/>
      <family val="2"/>
    </font>
    <font>
      <sz val="9"/>
      <name val="Arial"/>
      <family val="2"/>
    </font>
    <font>
      <b/>
      <u/>
      <sz val="10"/>
      <name val="Arial"/>
      <family val="2"/>
    </font>
    <font>
      <sz val="10"/>
      <name val="Arial"/>
      <family val="2"/>
    </font>
    <font>
      <sz val="14"/>
      <name val="Arial"/>
      <family val="2"/>
    </font>
    <font>
      <sz val="10"/>
      <color indexed="22"/>
      <name val="Arial"/>
      <family val="2"/>
    </font>
    <font>
      <sz val="10"/>
      <color indexed="9"/>
      <name val="Arial"/>
      <family val="2"/>
    </font>
    <font>
      <sz val="8"/>
      <name val="Arial"/>
      <family val="2"/>
    </font>
    <font>
      <b/>
      <u/>
      <sz val="10"/>
      <color indexed="9"/>
      <name val="Arial"/>
      <family val="2"/>
    </font>
    <font>
      <b/>
      <sz val="10"/>
      <name val="Arial"/>
      <family val="2"/>
    </font>
  </fonts>
  <fills count="4">
    <fill>
      <patternFill patternType="none"/>
    </fill>
    <fill>
      <patternFill patternType="gray125"/>
    </fill>
    <fill>
      <patternFill patternType="solid">
        <fgColor indexed="22"/>
        <bgColor indexed="64"/>
      </patternFill>
    </fill>
    <fill>
      <patternFill patternType="solid">
        <fgColor indexed="9"/>
        <bgColor indexed="64"/>
      </patternFill>
    </fill>
  </fills>
  <borders count="29">
    <border>
      <left/>
      <right/>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22"/>
      </left>
      <right style="thin">
        <color indexed="22"/>
      </right>
      <top/>
      <bottom style="thin">
        <color indexed="22"/>
      </bottom>
      <diagonal/>
    </border>
    <border>
      <left/>
      <right style="thin">
        <color indexed="22"/>
      </right>
      <top/>
      <bottom style="thin">
        <color indexed="22"/>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style="medium">
        <color indexed="8"/>
      </right>
      <top/>
      <bottom style="medium">
        <color indexed="8"/>
      </bottom>
      <diagonal/>
    </border>
    <border>
      <left style="medium">
        <color indexed="8"/>
      </left>
      <right/>
      <top style="medium">
        <color indexed="64"/>
      </top>
      <bottom/>
      <diagonal/>
    </border>
    <border>
      <left/>
      <right/>
      <top/>
      <bottom style="medium">
        <color indexed="8"/>
      </bottom>
      <diagonal/>
    </border>
    <border>
      <left/>
      <right style="medium">
        <color indexed="64"/>
      </right>
      <top/>
      <bottom style="medium">
        <color indexed="8"/>
      </bottom>
      <diagonal/>
    </border>
    <border>
      <left style="medium">
        <color indexed="8"/>
      </left>
      <right/>
      <top/>
      <bottom/>
      <diagonal/>
    </border>
    <border>
      <left style="medium">
        <color indexed="8"/>
      </left>
      <right/>
      <top/>
      <bottom style="medium">
        <color indexed="64"/>
      </bottom>
      <diagonal/>
    </border>
    <border>
      <left/>
      <right style="medium">
        <color indexed="8"/>
      </right>
      <top/>
      <bottom style="medium">
        <color indexed="64"/>
      </bottom>
      <diagonal/>
    </border>
  </borders>
  <cellStyleXfs count="2">
    <xf numFmtId="0" fontId="0" fillId="0" borderId="0"/>
    <xf numFmtId="0" fontId="2" fillId="0" borderId="0"/>
  </cellStyleXfs>
  <cellXfs count="89">
    <xf numFmtId="0" fontId="0" fillId="0" borderId="0" xfId="0"/>
    <xf numFmtId="0" fontId="2" fillId="2" borderId="1" xfId="1" applyFill="1" applyBorder="1" applyAlignment="1">
      <alignment horizontal="center"/>
    </xf>
    <xf numFmtId="0" fontId="2" fillId="2" borderId="2" xfId="1" applyFill="1" applyBorder="1" applyAlignment="1">
      <alignment horizontal="center"/>
    </xf>
    <xf numFmtId="0" fontId="0" fillId="2" borderId="0" xfId="0" applyFill="1"/>
    <xf numFmtId="0" fontId="2" fillId="0" borderId="3" xfId="1" applyBorder="1" applyAlignment="1">
      <alignment horizontal="right" wrapText="1"/>
    </xf>
    <xf numFmtId="0" fontId="2" fillId="0" borderId="4" xfId="1" applyBorder="1" applyAlignment="1">
      <alignment horizontal="left" wrapText="1"/>
    </xf>
    <xf numFmtId="0" fontId="0" fillId="0" borderId="0" xfId="0" applyProtection="1">
      <protection locked="0"/>
    </xf>
    <xf numFmtId="0" fontId="4" fillId="0" borderId="0" xfId="0" applyFont="1" applyAlignment="1" applyProtection="1">
      <alignment wrapText="1"/>
    </xf>
    <xf numFmtId="0" fontId="0" fillId="0" borderId="0" xfId="0" applyAlignment="1" applyProtection="1">
      <alignment wrapText="1"/>
    </xf>
    <xf numFmtId="0" fontId="5" fillId="0" borderId="0" xfId="0" applyFont="1" applyProtection="1">
      <protection locked="0"/>
    </xf>
    <xf numFmtId="0" fontId="5" fillId="0" borderId="0" xfId="0" applyFont="1" applyAlignment="1" applyProtection="1">
      <alignment wrapText="1"/>
    </xf>
    <xf numFmtId="0" fontId="0" fillId="0" borderId="0" xfId="0" applyProtection="1"/>
    <xf numFmtId="0" fontId="0" fillId="0" borderId="0" xfId="0" applyProtection="1">
      <protection hidden="1"/>
    </xf>
    <xf numFmtId="0" fontId="0" fillId="0" borderId="0" xfId="0" applyAlignment="1" applyProtection="1">
      <alignment horizontal="center"/>
      <protection locked="0"/>
    </xf>
    <xf numFmtId="0" fontId="5" fillId="0" borderId="0" xfId="0" applyFont="1" applyProtection="1">
      <protection hidden="1"/>
    </xf>
    <xf numFmtId="0" fontId="5" fillId="0" borderId="0" xfId="0" applyFont="1" applyAlignment="1" applyProtection="1">
      <alignment horizontal="center"/>
      <protection locked="0"/>
    </xf>
    <xf numFmtId="0" fontId="0" fillId="0" borderId="0" xfId="0" applyFont="1" applyProtection="1">
      <protection hidden="1"/>
    </xf>
    <xf numFmtId="0" fontId="0" fillId="0" borderId="0" xfId="0" applyAlignment="1" applyProtection="1">
      <alignment horizontal="center" vertical="center"/>
      <protection locked="0"/>
    </xf>
    <xf numFmtId="0" fontId="0" fillId="0" borderId="5" xfId="0" applyBorder="1" applyAlignment="1" applyProtection="1">
      <alignment horizontal="center"/>
      <protection locked="0"/>
    </xf>
    <xf numFmtId="0" fontId="0" fillId="0" borderId="6" xfId="0" applyBorder="1" applyAlignment="1" applyProtection="1">
      <alignment horizontal="center"/>
      <protection locked="0"/>
    </xf>
    <xf numFmtId="0" fontId="0" fillId="0" borderId="7" xfId="0" applyFont="1" applyBorder="1" applyAlignment="1" applyProtection="1">
      <alignment horizontal="center"/>
      <protection locked="0"/>
    </xf>
    <xf numFmtId="0" fontId="0" fillId="0" borderId="8" xfId="0" applyBorder="1" applyAlignment="1" applyProtection="1">
      <alignment horizontal="center"/>
      <protection locked="0"/>
    </xf>
    <xf numFmtId="0" fontId="0" fillId="0" borderId="9" xfId="0" applyBorder="1" applyAlignment="1" applyProtection="1">
      <alignment horizontal="center"/>
      <protection locked="0"/>
    </xf>
    <xf numFmtId="0" fontId="0" fillId="0" borderId="10" xfId="0" applyFont="1" applyBorder="1" applyAlignment="1" applyProtection="1">
      <alignment horizontal="center"/>
      <protection locked="0"/>
    </xf>
    <xf numFmtId="0" fontId="0" fillId="2" borderId="0" xfId="0" applyFill="1" applyAlignment="1" applyProtection="1">
      <alignment horizontal="center"/>
      <protection locked="0"/>
    </xf>
    <xf numFmtId="0" fontId="7" fillId="2" borderId="0" xfId="0" applyFont="1" applyFill="1" applyAlignment="1" applyProtection="1">
      <alignment horizontal="left"/>
      <protection hidden="1"/>
    </xf>
    <xf numFmtId="0" fontId="0" fillId="2" borderId="0" xfId="0" applyFill="1" applyAlignment="1" applyProtection="1">
      <alignment horizontal="left"/>
      <protection locked="0"/>
    </xf>
    <xf numFmtId="0" fontId="0" fillId="2" borderId="0" xfId="0" applyFill="1" applyProtection="1">
      <protection locked="0"/>
    </xf>
    <xf numFmtId="0" fontId="0" fillId="0" borderId="11" xfId="0" applyBorder="1" applyProtection="1">
      <protection locked="0"/>
    </xf>
    <xf numFmtId="0" fontId="5" fillId="0" borderId="12" xfId="0" applyFont="1" applyBorder="1" applyProtection="1">
      <protection locked="0"/>
    </xf>
    <xf numFmtId="0" fontId="5" fillId="0" borderId="13" xfId="0" applyFont="1" applyBorder="1" applyProtection="1">
      <protection locked="0"/>
    </xf>
    <xf numFmtId="0" fontId="0" fillId="0" borderId="13" xfId="0" applyBorder="1" applyProtection="1">
      <protection locked="0"/>
    </xf>
    <xf numFmtId="0" fontId="8" fillId="3" borderId="14" xfId="0" applyFont="1" applyFill="1" applyBorder="1" applyProtection="1">
      <protection hidden="1"/>
    </xf>
    <xf numFmtId="0" fontId="0" fillId="0" borderId="0" xfId="0" applyAlignment="1" applyProtection="1">
      <alignment horizontal="center"/>
      <protection hidden="1"/>
    </xf>
    <xf numFmtId="0" fontId="0" fillId="0" borderId="12" xfId="0" applyBorder="1" applyProtection="1">
      <protection hidden="1"/>
    </xf>
    <xf numFmtId="0" fontId="0" fillId="0" borderId="13" xfId="0" applyBorder="1" applyProtection="1">
      <protection hidden="1"/>
    </xf>
    <xf numFmtId="0" fontId="8" fillId="3" borderId="15" xfId="0" applyFont="1" applyFill="1" applyBorder="1" applyProtection="1">
      <protection hidden="1"/>
    </xf>
    <xf numFmtId="0" fontId="0" fillId="0" borderId="12" xfId="0" applyBorder="1" applyProtection="1">
      <protection locked="0"/>
    </xf>
    <xf numFmtId="0" fontId="5" fillId="0" borderId="0" xfId="0" applyFont="1"/>
    <xf numFmtId="0" fontId="6" fillId="2" borderId="0" xfId="0" applyFont="1" applyFill="1" applyAlignment="1" applyProtection="1">
      <protection locked="0"/>
    </xf>
    <xf numFmtId="0" fontId="6" fillId="0" borderId="0" xfId="0" applyFont="1" applyFill="1" applyAlignment="1" applyProtection="1">
      <protection locked="0"/>
    </xf>
    <xf numFmtId="0" fontId="0" fillId="0" borderId="15" xfId="0" applyBorder="1" applyProtection="1">
      <protection locked="0"/>
    </xf>
    <xf numFmtId="0" fontId="10" fillId="0" borderId="0" xfId="0" applyFont="1" applyProtection="1"/>
    <xf numFmtId="0" fontId="8" fillId="0" borderId="0" xfId="0" applyFont="1" applyProtection="1"/>
    <xf numFmtId="164" fontId="0" fillId="0" borderId="0" xfId="0" applyNumberFormat="1"/>
    <xf numFmtId="164" fontId="3" fillId="0" borderId="0" xfId="0" applyNumberFormat="1" applyFont="1" applyAlignment="1">
      <alignment wrapText="1"/>
    </xf>
    <xf numFmtId="165" fontId="0" fillId="0" borderId="0" xfId="0" applyNumberFormat="1" applyAlignment="1" applyProtection="1">
      <alignment horizontal="center"/>
      <protection locked="0"/>
    </xf>
    <xf numFmtId="165" fontId="0" fillId="2" borderId="0" xfId="0" applyNumberFormat="1" applyFill="1" applyAlignment="1" applyProtection="1">
      <alignment horizontal="center"/>
      <protection locked="0"/>
    </xf>
    <xf numFmtId="165" fontId="5" fillId="0" borderId="0" xfId="0" applyNumberFormat="1" applyFont="1"/>
    <xf numFmtId="165" fontId="0" fillId="0" borderId="0" xfId="0" applyNumberFormat="1"/>
    <xf numFmtId="0" fontId="2" fillId="0" borderId="4" xfId="1" applyFont="1" applyBorder="1" applyAlignment="1">
      <alignment horizontal="left" wrapText="1"/>
    </xf>
    <xf numFmtId="0" fontId="0" fillId="0" borderId="0" xfId="0" applyAlignment="1" applyProtection="1">
      <protection locked="0"/>
    </xf>
    <xf numFmtId="0" fontId="1" fillId="0" borderId="0" xfId="1" applyFont="1" applyFill="1" applyBorder="1" applyAlignment="1">
      <alignment horizontal="center"/>
    </xf>
    <xf numFmtId="0" fontId="0" fillId="0" borderId="0" xfId="0" applyAlignment="1">
      <alignment wrapText="1"/>
    </xf>
    <xf numFmtId="0" fontId="11" fillId="0" borderId="0" xfId="0" applyFont="1" applyAlignment="1" applyProtection="1">
      <alignment wrapText="1"/>
    </xf>
    <xf numFmtId="0" fontId="11" fillId="0" borderId="0" xfId="0" applyFont="1" applyProtection="1">
      <protection locked="0"/>
    </xf>
    <xf numFmtId="0" fontId="1" fillId="0" borderId="16" xfId="0" applyFont="1" applyBorder="1" applyAlignment="1" applyProtection="1">
      <alignment horizontal="center"/>
      <protection locked="0"/>
    </xf>
    <xf numFmtId="0" fontId="0" fillId="0" borderId="0" xfId="0" applyFill="1" applyAlignment="1">
      <alignment wrapText="1"/>
    </xf>
    <xf numFmtId="1" fontId="0" fillId="0" borderId="0" xfId="0" applyNumberFormat="1" applyAlignment="1">
      <alignment wrapText="1"/>
    </xf>
    <xf numFmtId="1" fontId="0" fillId="0" borderId="0" xfId="0" applyNumberFormat="1"/>
    <xf numFmtId="0" fontId="0" fillId="0" borderId="0" xfId="0" applyNumberFormat="1"/>
    <xf numFmtId="0" fontId="6" fillId="2" borderId="0" xfId="0" applyFont="1" applyFill="1" applyAlignment="1" applyProtection="1">
      <alignment horizontal="center"/>
      <protection locked="0"/>
    </xf>
    <xf numFmtId="0" fontId="0" fillId="2" borderId="0" xfId="0" applyFill="1" applyAlignment="1" applyProtection="1">
      <alignment horizontal="center"/>
      <protection locked="0"/>
    </xf>
    <xf numFmtId="0" fontId="5" fillId="0" borderId="17" xfId="0" applyFont="1" applyBorder="1" applyAlignment="1" applyProtection="1">
      <alignment horizontal="center" vertical="center"/>
    </xf>
    <xf numFmtId="0" fontId="5" fillId="0" borderId="18" xfId="0" applyFont="1" applyBorder="1" applyAlignment="1" applyProtection="1">
      <alignment horizontal="center" vertical="center"/>
    </xf>
    <xf numFmtId="0" fontId="5" fillId="0" borderId="19" xfId="0" applyFont="1" applyBorder="1" applyAlignment="1" applyProtection="1">
      <alignment horizontal="center" vertical="center"/>
    </xf>
    <xf numFmtId="0" fontId="5" fillId="0" borderId="20" xfId="0" applyFont="1" applyBorder="1" applyAlignment="1" applyProtection="1">
      <alignment horizontal="center" vertical="center"/>
    </xf>
    <xf numFmtId="0" fontId="5" fillId="0" borderId="21" xfId="0" applyFont="1" applyBorder="1" applyAlignment="1" applyProtection="1">
      <alignment horizontal="center" vertical="center"/>
    </xf>
    <xf numFmtId="0" fontId="5" fillId="0" borderId="22" xfId="0" applyFont="1" applyBorder="1" applyAlignment="1" applyProtection="1">
      <alignment horizontal="center" vertical="center"/>
    </xf>
    <xf numFmtId="0" fontId="1" fillId="0" borderId="23" xfId="0" applyFont="1" applyBorder="1" applyAlignment="1" applyProtection="1">
      <alignment horizontal="left"/>
    </xf>
    <xf numFmtId="0" fontId="1" fillId="0" borderId="5" xfId="0" applyFont="1" applyBorder="1" applyAlignment="1" applyProtection="1">
      <alignment horizontal="left"/>
    </xf>
    <xf numFmtId="0" fontId="1" fillId="0" borderId="18" xfId="0" applyFont="1" applyBorder="1" applyAlignment="1" applyProtection="1">
      <alignment horizontal="left"/>
    </xf>
    <xf numFmtId="0" fontId="0" fillId="0" borderId="1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24" xfId="0" applyBorder="1" applyAlignment="1" applyProtection="1">
      <alignment horizontal="center" vertical="center"/>
      <protection locked="0"/>
    </xf>
    <xf numFmtId="0" fontId="0" fillId="0" borderId="25" xfId="0" applyBorder="1" applyAlignment="1" applyProtection="1">
      <alignment horizontal="center" vertical="center"/>
      <protection locked="0"/>
    </xf>
    <xf numFmtId="0" fontId="0" fillId="0" borderId="26" xfId="0" applyBorder="1" applyAlignment="1" applyProtection="1">
      <alignment horizontal="left"/>
    </xf>
    <xf numFmtId="0" fontId="0" fillId="0" borderId="0" xfId="0" applyAlignment="1" applyProtection="1">
      <alignment horizontal="left"/>
    </xf>
    <xf numFmtId="0" fontId="0" fillId="0" borderId="20" xfId="0" applyBorder="1" applyAlignment="1" applyProtection="1">
      <alignment horizontal="left"/>
    </xf>
    <xf numFmtId="0" fontId="0" fillId="0" borderId="27" xfId="0" applyBorder="1" applyAlignment="1" applyProtection="1">
      <alignment horizontal="left"/>
    </xf>
    <xf numFmtId="0" fontId="0" fillId="0" borderId="8" xfId="0" applyBorder="1" applyAlignment="1" applyProtection="1">
      <alignment horizontal="left"/>
    </xf>
    <xf numFmtId="0" fontId="0" fillId="0" borderId="28" xfId="0" applyBorder="1" applyAlignment="1" applyProtection="1">
      <alignment horizontal="left"/>
    </xf>
    <xf numFmtId="0" fontId="5" fillId="0" borderId="0" xfId="0" applyFont="1" applyAlignment="1" applyProtection="1">
      <alignment horizontal="center"/>
      <protection locked="0"/>
    </xf>
    <xf numFmtId="0" fontId="0" fillId="0" borderId="0" xfId="0" applyAlignment="1" applyProtection="1">
      <alignment horizontal="center"/>
      <protection hidden="1"/>
    </xf>
    <xf numFmtId="0" fontId="0" fillId="0" borderId="13" xfId="0" applyBorder="1" applyAlignment="1" applyProtection="1">
      <alignment horizontal="center"/>
      <protection hidden="1"/>
    </xf>
    <xf numFmtId="0" fontId="0" fillId="0" borderId="11" xfId="0" applyBorder="1" applyAlignment="1" applyProtection="1">
      <alignment horizontal="center"/>
      <protection locked="0"/>
    </xf>
    <xf numFmtId="0" fontId="0" fillId="0" borderId="0" xfId="0" applyAlignment="1" applyProtection="1">
      <alignment horizontal="center"/>
      <protection locked="0"/>
    </xf>
  </cellXfs>
  <cellStyles count="2">
    <cellStyle name="Normal" xfId="0" builtinId="0"/>
    <cellStyle name="Standaard_Vers"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304800</xdr:rowOff>
        </xdr:from>
        <xdr:to>
          <xdr:col>4</xdr:col>
          <xdr:colOff>752475</xdr:colOff>
          <xdr:row>0</xdr:row>
          <xdr:rowOff>619125</xdr:rowOff>
        </xdr:to>
        <xdr:sp macro="" textlink="">
          <xdr:nvSpPr>
            <xdr:cNvPr id="1041" name="CommandButton1" hidden="1">
              <a:extLst>
                <a:ext uri="{63B3BB69-23CF-44E3-9099-C40C66FF867C}">
                  <a14:compatExt spid="_x0000_s1041"/>
                </a:ext>
                <a:ext uri="{FF2B5EF4-FFF2-40B4-BE49-F238E27FC236}">
                  <a16:creationId xmlns:a16="http://schemas.microsoft.com/office/drawing/2014/main" id="{00000000-0008-0000-03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0</xdr:row>
          <xdr:rowOff>381000</xdr:rowOff>
        </xdr:from>
        <xdr:to>
          <xdr:col>5</xdr:col>
          <xdr:colOff>952500</xdr:colOff>
          <xdr:row>0</xdr:row>
          <xdr:rowOff>695325</xdr:rowOff>
        </xdr:to>
        <xdr:sp macro="" textlink="">
          <xdr:nvSpPr>
            <xdr:cNvPr id="1042" name="CommandButton2" hidden="1">
              <a:extLst>
                <a:ext uri="{63B3BB69-23CF-44E3-9099-C40C66FF867C}">
                  <a14:compatExt spid="_x0000_s1042"/>
                </a:ext>
                <a:ext uri="{FF2B5EF4-FFF2-40B4-BE49-F238E27FC236}">
                  <a16:creationId xmlns:a16="http://schemas.microsoft.com/office/drawing/2014/main" id="{00000000-0008-0000-03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0</xdr:row>
          <xdr:rowOff>266700</xdr:rowOff>
        </xdr:from>
        <xdr:to>
          <xdr:col>7</xdr:col>
          <xdr:colOff>504825</xdr:colOff>
          <xdr:row>0</xdr:row>
          <xdr:rowOff>571500</xdr:rowOff>
        </xdr:to>
        <xdr:sp macro="" textlink="">
          <xdr:nvSpPr>
            <xdr:cNvPr id="1043" name="CommandButton3" hidden="1">
              <a:extLst>
                <a:ext uri="{63B3BB69-23CF-44E3-9099-C40C66FF867C}">
                  <a14:compatExt spid="_x0000_s1043"/>
                </a:ext>
                <a:ext uri="{FF2B5EF4-FFF2-40B4-BE49-F238E27FC236}">
                  <a16:creationId xmlns:a16="http://schemas.microsoft.com/office/drawing/2014/main" id="{00000000-0008-0000-03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0</xdr:row>
          <xdr:rowOff>47625</xdr:rowOff>
        </xdr:from>
        <xdr:to>
          <xdr:col>2</xdr:col>
          <xdr:colOff>9525</xdr:colOff>
          <xdr:row>0</xdr:row>
          <xdr:rowOff>619125</xdr:rowOff>
        </xdr:to>
        <xdr:sp macro="" textlink="">
          <xdr:nvSpPr>
            <xdr:cNvPr id="1044" name="CommandButton4" hidden="1">
              <a:extLst>
                <a:ext uri="{63B3BB69-23CF-44E3-9099-C40C66FF867C}">
                  <a14:compatExt spid="_x0000_s1044"/>
                </a:ext>
                <a:ext uri="{FF2B5EF4-FFF2-40B4-BE49-F238E27FC236}">
                  <a16:creationId xmlns:a16="http://schemas.microsoft.com/office/drawing/2014/main" id="{00000000-0008-0000-03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0</xdr:row>
          <xdr:rowOff>38100</xdr:rowOff>
        </xdr:from>
        <xdr:to>
          <xdr:col>5</xdr:col>
          <xdr:colOff>1495425</xdr:colOff>
          <xdr:row>0</xdr:row>
          <xdr:rowOff>352425</xdr:rowOff>
        </xdr:to>
        <xdr:sp macro="" textlink="">
          <xdr:nvSpPr>
            <xdr:cNvPr id="1045" name="CommandButton5" hidden="1">
              <a:extLst>
                <a:ext uri="{63B3BB69-23CF-44E3-9099-C40C66FF867C}">
                  <a14:compatExt spid="_x0000_s1045"/>
                </a:ext>
                <a:ext uri="{FF2B5EF4-FFF2-40B4-BE49-F238E27FC236}">
                  <a16:creationId xmlns:a16="http://schemas.microsoft.com/office/drawing/2014/main" id="{00000000-0008-0000-03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0</xdr:row>
          <xdr:rowOff>19050</xdr:rowOff>
        </xdr:from>
        <xdr:to>
          <xdr:col>16</xdr:col>
          <xdr:colOff>781050</xdr:colOff>
          <xdr:row>0</xdr:row>
          <xdr:rowOff>333375</xdr:rowOff>
        </xdr:to>
        <xdr:sp macro="" textlink="">
          <xdr:nvSpPr>
            <xdr:cNvPr id="1046" name="CommandButton6" hidden="1">
              <a:extLst>
                <a:ext uri="{63B3BB69-23CF-44E3-9099-C40C66FF867C}">
                  <a14:compatExt spid="_x0000_s1046"/>
                </a:ext>
                <a:ext uri="{FF2B5EF4-FFF2-40B4-BE49-F238E27FC236}">
                  <a16:creationId xmlns:a16="http://schemas.microsoft.com/office/drawing/2014/main" id="{00000000-0008-0000-03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885825</xdr:colOff>
          <xdr:row>40</xdr:row>
          <xdr:rowOff>57150</xdr:rowOff>
        </xdr:from>
        <xdr:to>
          <xdr:col>13</xdr:col>
          <xdr:colOff>0</xdr:colOff>
          <xdr:row>42</xdr:row>
          <xdr:rowOff>57150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0</xdr:colOff>
      <xdr:row>16</xdr:row>
      <xdr:rowOff>85725</xdr:rowOff>
    </xdr:from>
    <xdr:to>
      <xdr:col>10</xdr:col>
      <xdr:colOff>0</xdr:colOff>
      <xdr:row>17</xdr:row>
      <xdr:rowOff>95250</xdr:rowOff>
    </xdr:to>
    <xdr:cxnSp macro="">
      <xdr:nvCxnSpPr>
        <xdr:cNvPr id="2445" name="AutoShape 4">
          <a:extLst>
            <a:ext uri="{FF2B5EF4-FFF2-40B4-BE49-F238E27FC236}">
              <a16:creationId xmlns:a16="http://schemas.microsoft.com/office/drawing/2014/main" id="{00000000-0008-0000-0400-00008D090000}"/>
            </a:ext>
          </a:extLst>
        </xdr:cNvPr>
        <xdr:cNvCxnSpPr>
          <a:cxnSpLocks noChangeShapeType="1"/>
        </xdr:cNvCxnSpPr>
      </xdr:nvCxnSpPr>
      <xdr:spPr bwMode="auto">
        <a:xfrm>
          <a:off x="3895725" y="2743200"/>
          <a:ext cx="219075" cy="17145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17</xdr:row>
      <xdr:rowOff>104775</xdr:rowOff>
    </xdr:from>
    <xdr:to>
      <xdr:col>10</xdr:col>
      <xdr:colOff>0</xdr:colOff>
      <xdr:row>18</xdr:row>
      <xdr:rowOff>85725</xdr:rowOff>
    </xdr:to>
    <xdr:cxnSp macro="">
      <xdr:nvCxnSpPr>
        <xdr:cNvPr id="2446" name="AutoShape 5">
          <a:extLst>
            <a:ext uri="{FF2B5EF4-FFF2-40B4-BE49-F238E27FC236}">
              <a16:creationId xmlns:a16="http://schemas.microsoft.com/office/drawing/2014/main" id="{00000000-0008-0000-0400-00008E090000}"/>
            </a:ext>
          </a:extLst>
        </xdr:cNvPr>
        <xdr:cNvCxnSpPr>
          <a:cxnSpLocks noChangeShapeType="1"/>
        </xdr:cNvCxnSpPr>
      </xdr:nvCxnSpPr>
      <xdr:spPr bwMode="auto">
        <a:xfrm flipV="1">
          <a:off x="3895725" y="2924175"/>
          <a:ext cx="219075" cy="142875"/>
        </a:xfrm>
        <a:prstGeom prst="bentConnector3">
          <a:avLst>
            <a:gd name="adj1" fmla="val 47824"/>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12</xdr:row>
      <xdr:rowOff>85725</xdr:rowOff>
    </xdr:from>
    <xdr:to>
      <xdr:col>10</xdr:col>
      <xdr:colOff>0</xdr:colOff>
      <xdr:row>13</xdr:row>
      <xdr:rowOff>95250</xdr:rowOff>
    </xdr:to>
    <xdr:cxnSp macro="">
      <xdr:nvCxnSpPr>
        <xdr:cNvPr id="2447" name="AutoShape 6">
          <a:extLst>
            <a:ext uri="{FF2B5EF4-FFF2-40B4-BE49-F238E27FC236}">
              <a16:creationId xmlns:a16="http://schemas.microsoft.com/office/drawing/2014/main" id="{00000000-0008-0000-0400-00008F090000}"/>
            </a:ext>
          </a:extLst>
        </xdr:cNvPr>
        <xdr:cNvCxnSpPr>
          <a:cxnSpLocks noChangeShapeType="1"/>
        </xdr:cNvCxnSpPr>
      </xdr:nvCxnSpPr>
      <xdr:spPr bwMode="auto">
        <a:xfrm>
          <a:off x="3895725" y="2095500"/>
          <a:ext cx="219075" cy="17145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13</xdr:row>
      <xdr:rowOff>104775</xdr:rowOff>
    </xdr:from>
    <xdr:to>
      <xdr:col>10</xdr:col>
      <xdr:colOff>0</xdr:colOff>
      <xdr:row>14</xdr:row>
      <xdr:rowOff>85725</xdr:rowOff>
    </xdr:to>
    <xdr:cxnSp macro="">
      <xdr:nvCxnSpPr>
        <xdr:cNvPr id="2448" name="AutoShape 7">
          <a:extLst>
            <a:ext uri="{FF2B5EF4-FFF2-40B4-BE49-F238E27FC236}">
              <a16:creationId xmlns:a16="http://schemas.microsoft.com/office/drawing/2014/main" id="{00000000-0008-0000-0400-000090090000}"/>
            </a:ext>
          </a:extLst>
        </xdr:cNvPr>
        <xdr:cNvCxnSpPr>
          <a:cxnSpLocks noChangeShapeType="1"/>
        </xdr:cNvCxnSpPr>
      </xdr:nvCxnSpPr>
      <xdr:spPr bwMode="auto">
        <a:xfrm flipV="1">
          <a:off x="3895725" y="2276475"/>
          <a:ext cx="219075" cy="142875"/>
        </a:xfrm>
        <a:prstGeom prst="bentConnector3">
          <a:avLst>
            <a:gd name="adj1" fmla="val 47824"/>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8</xdr:row>
      <xdr:rowOff>85725</xdr:rowOff>
    </xdr:from>
    <xdr:to>
      <xdr:col>10</xdr:col>
      <xdr:colOff>0</xdr:colOff>
      <xdr:row>9</xdr:row>
      <xdr:rowOff>95250</xdr:rowOff>
    </xdr:to>
    <xdr:cxnSp macro="">
      <xdr:nvCxnSpPr>
        <xdr:cNvPr id="2449" name="AutoShape 8">
          <a:extLst>
            <a:ext uri="{FF2B5EF4-FFF2-40B4-BE49-F238E27FC236}">
              <a16:creationId xmlns:a16="http://schemas.microsoft.com/office/drawing/2014/main" id="{00000000-0008-0000-0400-000091090000}"/>
            </a:ext>
          </a:extLst>
        </xdr:cNvPr>
        <xdr:cNvCxnSpPr>
          <a:cxnSpLocks noChangeShapeType="1"/>
        </xdr:cNvCxnSpPr>
      </xdr:nvCxnSpPr>
      <xdr:spPr bwMode="auto">
        <a:xfrm>
          <a:off x="3895725" y="1447800"/>
          <a:ext cx="219075" cy="17145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9</xdr:row>
      <xdr:rowOff>104775</xdr:rowOff>
    </xdr:from>
    <xdr:to>
      <xdr:col>10</xdr:col>
      <xdr:colOff>0</xdr:colOff>
      <xdr:row>10</xdr:row>
      <xdr:rowOff>85725</xdr:rowOff>
    </xdr:to>
    <xdr:cxnSp macro="">
      <xdr:nvCxnSpPr>
        <xdr:cNvPr id="2450" name="AutoShape 9">
          <a:extLst>
            <a:ext uri="{FF2B5EF4-FFF2-40B4-BE49-F238E27FC236}">
              <a16:creationId xmlns:a16="http://schemas.microsoft.com/office/drawing/2014/main" id="{00000000-0008-0000-0400-000092090000}"/>
            </a:ext>
          </a:extLst>
        </xdr:cNvPr>
        <xdr:cNvCxnSpPr>
          <a:cxnSpLocks noChangeShapeType="1"/>
        </xdr:cNvCxnSpPr>
      </xdr:nvCxnSpPr>
      <xdr:spPr bwMode="auto">
        <a:xfrm flipV="1">
          <a:off x="3895725" y="1628775"/>
          <a:ext cx="219075" cy="142875"/>
        </a:xfrm>
        <a:prstGeom prst="bentConnector3">
          <a:avLst>
            <a:gd name="adj1" fmla="val 47824"/>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4</xdr:row>
      <xdr:rowOff>85725</xdr:rowOff>
    </xdr:from>
    <xdr:to>
      <xdr:col>10</xdr:col>
      <xdr:colOff>0</xdr:colOff>
      <xdr:row>5</xdr:row>
      <xdr:rowOff>95250</xdr:rowOff>
    </xdr:to>
    <xdr:cxnSp macro="">
      <xdr:nvCxnSpPr>
        <xdr:cNvPr id="2451" name="AutoShape 10">
          <a:extLst>
            <a:ext uri="{FF2B5EF4-FFF2-40B4-BE49-F238E27FC236}">
              <a16:creationId xmlns:a16="http://schemas.microsoft.com/office/drawing/2014/main" id="{00000000-0008-0000-0400-000093090000}"/>
            </a:ext>
          </a:extLst>
        </xdr:cNvPr>
        <xdr:cNvCxnSpPr>
          <a:cxnSpLocks noChangeShapeType="1"/>
        </xdr:cNvCxnSpPr>
      </xdr:nvCxnSpPr>
      <xdr:spPr bwMode="auto">
        <a:xfrm>
          <a:off x="3895725" y="800100"/>
          <a:ext cx="219075" cy="17145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5</xdr:row>
      <xdr:rowOff>104775</xdr:rowOff>
    </xdr:from>
    <xdr:to>
      <xdr:col>10</xdr:col>
      <xdr:colOff>0</xdr:colOff>
      <xdr:row>6</xdr:row>
      <xdr:rowOff>85725</xdr:rowOff>
    </xdr:to>
    <xdr:cxnSp macro="">
      <xdr:nvCxnSpPr>
        <xdr:cNvPr id="2452" name="AutoShape 11">
          <a:extLst>
            <a:ext uri="{FF2B5EF4-FFF2-40B4-BE49-F238E27FC236}">
              <a16:creationId xmlns:a16="http://schemas.microsoft.com/office/drawing/2014/main" id="{00000000-0008-0000-0400-000094090000}"/>
            </a:ext>
          </a:extLst>
        </xdr:cNvPr>
        <xdr:cNvCxnSpPr>
          <a:cxnSpLocks noChangeShapeType="1"/>
        </xdr:cNvCxnSpPr>
      </xdr:nvCxnSpPr>
      <xdr:spPr bwMode="auto">
        <a:xfrm flipV="1">
          <a:off x="3895725" y="981075"/>
          <a:ext cx="219075" cy="142875"/>
        </a:xfrm>
        <a:prstGeom prst="bentConnector3">
          <a:avLst>
            <a:gd name="adj1" fmla="val 47824"/>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5</xdr:row>
      <xdr:rowOff>95250</xdr:rowOff>
    </xdr:from>
    <xdr:to>
      <xdr:col>19</xdr:col>
      <xdr:colOff>0</xdr:colOff>
      <xdr:row>7</xdr:row>
      <xdr:rowOff>66675</xdr:rowOff>
    </xdr:to>
    <xdr:cxnSp macro="">
      <xdr:nvCxnSpPr>
        <xdr:cNvPr id="2453" name="AutoShape 15">
          <a:extLst>
            <a:ext uri="{FF2B5EF4-FFF2-40B4-BE49-F238E27FC236}">
              <a16:creationId xmlns:a16="http://schemas.microsoft.com/office/drawing/2014/main" id="{00000000-0008-0000-0400-000095090000}"/>
            </a:ext>
          </a:extLst>
        </xdr:cNvPr>
        <xdr:cNvCxnSpPr>
          <a:cxnSpLocks noChangeShapeType="1"/>
        </xdr:cNvCxnSpPr>
      </xdr:nvCxnSpPr>
      <xdr:spPr bwMode="auto">
        <a:xfrm>
          <a:off x="7400925" y="971550"/>
          <a:ext cx="200025" cy="295275"/>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7</xdr:row>
      <xdr:rowOff>66675</xdr:rowOff>
    </xdr:from>
    <xdr:to>
      <xdr:col>19</xdr:col>
      <xdr:colOff>0</xdr:colOff>
      <xdr:row>9</xdr:row>
      <xdr:rowOff>85725</xdr:rowOff>
    </xdr:to>
    <xdr:cxnSp macro="">
      <xdr:nvCxnSpPr>
        <xdr:cNvPr id="2454" name="AutoShape 16">
          <a:extLst>
            <a:ext uri="{FF2B5EF4-FFF2-40B4-BE49-F238E27FC236}">
              <a16:creationId xmlns:a16="http://schemas.microsoft.com/office/drawing/2014/main" id="{00000000-0008-0000-0400-000096090000}"/>
            </a:ext>
          </a:extLst>
        </xdr:cNvPr>
        <xdr:cNvCxnSpPr>
          <a:cxnSpLocks noChangeShapeType="1"/>
        </xdr:cNvCxnSpPr>
      </xdr:nvCxnSpPr>
      <xdr:spPr bwMode="auto">
        <a:xfrm flipV="1">
          <a:off x="7400925" y="1266825"/>
          <a:ext cx="200025" cy="34290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13</xdr:row>
      <xdr:rowOff>95250</xdr:rowOff>
    </xdr:from>
    <xdr:to>
      <xdr:col>19</xdr:col>
      <xdr:colOff>0</xdr:colOff>
      <xdr:row>15</xdr:row>
      <xdr:rowOff>66675</xdr:rowOff>
    </xdr:to>
    <xdr:cxnSp macro="">
      <xdr:nvCxnSpPr>
        <xdr:cNvPr id="2455" name="AutoShape 19">
          <a:extLst>
            <a:ext uri="{FF2B5EF4-FFF2-40B4-BE49-F238E27FC236}">
              <a16:creationId xmlns:a16="http://schemas.microsoft.com/office/drawing/2014/main" id="{00000000-0008-0000-0400-000097090000}"/>
            </a:ext>
          </a:extLst>
        </xdr:cNvPr>
        <xdr:cNvCxnSpPr>
          <a:cxnSpLocks noChangeShapeType="1"/>
        </xdr:cNvCxnSpPr>
      </xdr:nvCxnSpPr>
      <xdr:spPr bwMode="auto">
        <a:xfrm>
          <a:off x="7400925" y="2266950"/>
          <a:ext cx="200025" cy="295275"/>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15</xdr:row>
      <xdr:rowOff>66675</xdr:rowOff>
    </xdr:from>
    <xdr:to>
      <xdr:col>19</xdr:col>
      <xdr:colOff>0</xdr:colOff>
      <xdr:row>17</xdr:row>
      <xdr:rowOff>85725</xdr:rowOff>
    </xdr:to>
    <xdr:cxnSp macro="">
      <xdr:nvCxnSpPr>
        <xdr:cNvPr id="2456" name="AutoShape 20">
          <a:extLst>
            <a:ext uri="{FF2B5EF4-FFF2-40B4-BE49-F238E27FC236}">
              <a16:creationId xmlns:a16="http://schemas.microsoft.com/office/drawing/2014/main" id="{00000000-0008-0000-0400-000098090000}"/>
            </a:ext>
          </a:extLst>
        </xdr:cNvPr>
        <xdr:cNvCxnSpPr>
          <a:cxnSpLocks noChangeShapeType="1"/>
        </xdr:cNvCxnSpPr>
      </xdr:nvCxnSpPr>
      <xdr:spPr bwMode="auto">
        <a:xfrm flipV="1">
          <a:off x="7400925" y="2562225"/>
          <a:ext cx="200025" cy="34290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27</xdr:col>
      <xdr:colOff>0</xdr:colOff>
      <xdr:row>7</xdr:row>
      <xdr:rowOff>85725</xdr:rowOff>
    </xdr:from>
    <xdr:to>
      <xdr:col>28</xdr:col>
      <xdr:colOff>0</xdr:colOff>
      <xdr:row>11</xdr:row>
      <xdr:rowOff>85725</xdr:rowOff>
    </xdr:to>
    <xdr:cxnSp macro="">
      <xdr:nvCxnSpPr>
        <xdr:cNvPr id="2457" name="AutoShape 21">
          <a:extLst>
            <a:ext uri="{FF2B5EF4-FFF2-40B4-BE49-F238E27FC236}">
              <a16:creationId xmlns:a16="http://schemas.microsoft.com/office/drawing/2014/main" id="{00000000-0008-0000-0400-000099090000}"/>
            </a:ext>
          </a:extLst>
        </xdr:cNvPr>
        <xdr:cNvCxnSpPr>
          <a:cxnSpLocks noChangeShapeType="1"/>
        </xdr:cNvCxnSpPr>
      </xdr:nvCxnSpPr>
      <xdr:spPr bwMode="auto">
        <a:xfrm>
          <a:off x="11106150" y="1285875"/>
          <a:ext cx="161925" cy="64770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fLocksWithSheet="0"/>
  </xdr:twoCellAnchor>
  <xdr:twoCellAnchor>
    <xdr:from>
      <xdr:col>27</xdr:col>
      <xdr:colOff>0</xdr:colOff>
      <xdr:row>11</xdr:row>
      <xdr:rowOff>95250</xdr:rowOff>
    </xdr:from>
    <xdr:to>
      <xdr:col>28</xdr:col>
      <xdr:colOff>0</xdr:colOff>
      <xdr:row>15</xdr:row>
      <xdr:rowOff>76200</xdr:rowOff>
    </xdr:to>
    <xdr:cxnSp macro="">
      <xdr:nvCxnSpPr>
        <xdr:cNvPr id="2458" name="AutoShape 22">
          <a:extLst>
            <a:ext uri="{FF2B5EF4-FFF2-40B4-BE49-F238E27FC236}">
              <a16:creationId xmlns:a16="http://schemas.microsoft.com/office/drawing/2014/main" id="{00000000-0008-0000-0400-00009A090000}"/>
            </a:ext>
          </a:extLst>
        </xdr:cNvPr>
        <xdr:cNvCxnSpPr>
          <a:cxnSpLocks noChangeShapeType="1"/>
        </xdr:cNvCxnSpPr>
      </xdr:nvCxnSpPr>
      <xdr:spPr bwMode="auto">
        <a:xfrm flipV="1">
          <a:off x="11106150" y="1943100"/>
          <a:ext cx="161925" cy="62865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35</xdr:row>
      <xdr:rowOff>85725</xdr:rowOff>
    </xdr:from>
    <xdr:to>
      <xdr:col>10</xdr:col>
      <xdr:colOff>0</xdr:colOff>
      <xdr:row>36</xdr:row>
      <xdr:rowOff>95250</xdr:rowOff>
    </xdr:to>
    <xdr:cxnSp macro="">
      <xdr:nvCxnSpPr>
        <xdr:cNvPr id="2459" name="AutoShape 23">
          <a:extLst>
            <a:ext uri="{FF2B5EF4-FFF2-40B4-BE49-F238E27FC236}">
              <a16:creationId xmlns:a16="http://schemas.microsoft.com/office/drawing/2014/main" id="{00000000-0008-0000-0400-00009B090000}"/>
            </a:ext>
          </a:extLst>
        </xdr:cNvPr>
        <xdr:cNvCxnSpPr>
          <a:cxnSpLocks noChangeShapeType="1"/>
        </xdr:cNvCxnSpPr>
      </xdr:nvCxnSpPr>
      <xdr:spPr bwMode="auto">
        <a:xfrm>
          <a:off x="3895725" y="5819775"/>
          <a:ext cx="219075" cy="17145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36</xdr:row>
      <xdr:rowOff>104775</xdr:rowOff>
    </xdr:from>
    <xdr:to>
      <xdr:col>10</xdr:col>
      <xdr:colOff>0</xdr:colOff>
      <xdr:row>37</xdr:row>
      <xdr:rowOff>85725</xdr:rowOff>
    </xdr:to>
    <xdr:cxnSp macro="">
      <xdr:nvCxnSpPr>
        <xdr:cNvPr id="2460" name="AutoShape 24">
          <a:extLst>
            <a:ext uri="{FF2B5EF4-FFF2-40B4-BE49-F238E27FC236}">
              <a16:creationId xmlns:a16="http://schemas.microsoft.com/office/drawing/2014/main" id="{00000000-0008-0000-0400-00009C090000}"/>
            </a:ext>
          </a:extLst>
        </xdr:cNvPr>
        <xdr:cNvCxnSpPr>
          <a:cxnSpLocks noChangeShapeType="1"/>
        </xdr:cNvCxnSpPr>
      </xdr:nvCxnSpPr>
      <xdr:spPr bwMode="auto">
        <a:xfrm flipV="1">
          <a:off x="3895725" y="6000750"/>
          <a:ext cx="219075" cy="142875"/>
        </a:xfrm>
        <a:prstGeom prst="bentConnector3">
          <a:avLst>
            <a:gd name="adj1" fmla="val 47824"/>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31</xdr:row>
      <xdr:rowOff>85725</xdr:rowOff>
    </xdr:from>
    <xdr:to>
      <xdr:col>10</xdr:col>
      <xdr:colOff>0</xdr:colOff>
      <xdr:row>32</xdr:row>
      <xdr:rowOff>95250</xdr:rowOff>
    </xdr:to>
    <xdr:cxnSp macro="">
      <xdr:nvCxnSpPr>
        <xdr:cNvPr id="2461" name="AutoShape 25">
          <a:extLst>
            <a:ext uri="{FF2B5EF4-FFF2-40B4-BE49-F238E27FC236}">
              <a16:creationId xmlns:a16="http://schemas.microsoft.com/office/drawing/2014/main" id="{00000000-0008-0000-0400-00009D090000}"/>
            </a:ext>
          </a:extLst>
        </xdr:cNvPr>
        <xdr:cNvCxnSpPr>
          <a:cxnSpLocks noChangeShapeType="1"/>
        </xdr:cNvCxnSpPr>
      </xdr:nvCxnSpPr>
      <xdr:spPr bwMode="auto">
        <a:xfrm>
          <a:off x="3895725" y="5172075"/>
          <a:ext cx="219075" cy="17145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32</xdr:row>
      <xdr:rowOff>104775</xdr:rowOff>
    </xdr:from>
    <xdr:to>
      <xdr:col>10</xdr:col>
      <xdr:colOff>0</xdr:colOff>
      <xdr:row>33</xdr:row>
      <xdr:rowOff>85725</xdr:rowOff>
    </xdr:to>
    <xdr:cxnSp macro="">
      <xdr:nvCxnSpPr>
        <xdr:cNvPr id="2462" name="AutoShape 26">
          <a:extLst>
            <a:ext uri="{FF2B5EF4-FFF2-40B4-BE49-F238E27FC236}">
              <a16:creationId xmlns:a16="http://schemas.microsoft.com/office/drawing/2014/main" id="{00000000-0008-0000-0400-00009E090000}"/>
            </a:ext>
          </a:extLst>
        </xdr:cNvPr>
        <xdr:cNvCxnSpPr>
          <a:cxnSpLocks noChangeShapeType="1"/>
        </xdr:cNvCxnSpPr>
      </xdr:nvCxnSpPr>
      <xdr:spPr bwMode="auto">
        <a:xfrm flipV="1">
          <a:off x="3895725" y="5353050"/>
          <a:ext cx="219075" cy="142875"/>
        </a:xfrm>
        <a:prstGeom prst="bentConnector3">
          <a:avLst>
            <a:gd name="adj1" fmla="val 47824"/>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27</xdr:row>
      <xdr:rowOff>85725</xdr:rowOff>
    </xdr:from>
    <xdr:to>
      <xdr:col>10</xdr:col>
      <xdr:colOff>0</xdr:colOff>
      <xdr:row>28</xdr:row>
      <xdr:rowOff>95250</xdr:rowOff>
    </xdr:to>
    <xdr:cxnSp macro="">
      <xdr:nvCxnSpPr>
        <xdr:cNvPr id="2463" name="AutoShape 27">
          <a:extLst>
            <a:ext uri="{FF2B5EF4-FFF2-40B4-BE49-F238E27FC236}">
              <a16:creationId xmlns:a16="http://schemas.microsoft.com/office/drawing/2014/main" id="{00000000-0008-0000-0400-00009F090000}"/>
            </a:ext>
          </a:extLst>
        </xdr:cNvPr>
        <xdr:cNvCxnSpPr>
          <a:cxnSpLocks noChangeShapeType="1"/>
        </xdr:cNvCxnSpPr>
      </xdr:nvCxnSpPr>
      <xdr:spPr bwMode="auto">
        <a:xfrm>
          <a:off x="3895725" y="4524375"/>
          <a:ext cx="219075" cy="17145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28</xdr:row>
      <xdr:rowOff>104775</xdr:rowOff>
    </xdr:from>
    <xdr:to>
      <xdr:col>10</xdr:col>
      <xdr:colOff>0</xdr:colOff>
      <xdr:row>29</xdr:row>
      <xdr:rowOff>85725</xdr:rowOff>
    </xdr:to>
    <xdr:cxnSp macro="">
      <xdr:nvCxnSpPr>
        <xdr:cNvPr id="2464" name="AutoShape 28">
          <a:extLst>
            <a:ext uri="{FF2B5EF4-FFF2-40B4-BE49-F238E27FC236}">
              <a16:creationId xmlns:a16="http://schemas.microsoft.com/office/drawing/2014/main" id="{00000000-0008-0000-0400-0000A0090000}"/>
            </a:ext>
          </a:extLst>
        </xdr:cNvPr>
        <xdr:cNvCxnSpPr>
          <a:cxnSpLocks noChangeShapeType="1"/>
        </xdr:cNvCxnSpPr>
      </xdr:nvCxnSpPr>
      <xdr:spPr bwMode="auto">
        <a:xfrm flipV="1">
          <a:off x="3895725" y="4705350"/>
          <a:ext cx="219075" cy="142875"/>
        </a:xfrm>
        <a:prstGeom prst="bentConnector3">
          <a:avLst>
            <a:gd name="adj1" fmla="val 47824"/>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23</xdr:row>
      <xdr:rowOff>85725</xdr:rowOff>
    </xdr:from>
    <xdr:to>
      <xdr:col>10</xdr:col>
      <xdr:colOff>0</xdr:colOff>
      <xdr:row>24</xdr:row>
      <xdr:rowOff>95250</xdr:rowOff>
    </xdr:to>
    <xdr:cxnSp macro="">
      <xdr:nvCxnSpPr>
        <xdr:cNvPr id="2465" name="AutoShape 29">
          <a:extLst>
            <a:ext uri="{FF2B5EF4-FFF2-40B4-BE49-F238E27FC236}">
              <a16:creationId xmlns:a16="http://schemas.microsoft.com/office/drawing/2014/main" id="{00000000-0008-0000-0400-0000A1090000}"/>
            </a:ext>
          </a:extLst>
        </xdr:cNvPr>
        <xdr:cNvCxnSpPr>
          <a:cxnSpLocks noChangeShapeType="1"/>
        </xdr:cNvCxnSpPr>
      </xdr:nvCxnSpPr>
      <xdr:spPr bwMode="auto">
        <a:xfrm>
          <a:off x="3895725" y="3876675"/>
          <a:ext cx="219075" cy="17145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24</xdr:row>
      <xdr:rowOff>104775</xdr:rowOff>
    </xdr:from>
    <xdr:to>
      <xdr:col>10</xdr:col>
      <xdr:colOff>0</xdr:colOff>
      <xdr:row>25</xdr:row>
      <xdr:rowOff>85725</xdr:rowOff>
    </xdr:to>
    <xdr:cxnSp macro="">
      <xdr:nvCxnSpPr>
        <xdr:cNvPr id="2466" name="AutoShape 30">
          <a:extLst>
            <a:ext uri="{FF2B5EF4-FFF2-40B4-BE49-F238E27FC236}">
              <a16:creationId xmlns:a16="http://schemas.microsoft.com/office/drawing/2014/main" id="{00000000-0008-0000-0400-0000A2090000}"/>
            </a:ext>
          </a:extLst>
        </xdr:cNvPr>
        <xdr:cNvCxnSpPr>
          <a:cxnSpLocks noChangeShapeType="1"/>
        </xdr:cNvCxnSpPr>
      </xdr:nvCxnSpPr>
      <xdr:spPr bwMode="auto">
        <a:xfrm flipV="1">
          <a:off x="3895725" y="4057650"/>
          <a:ext cx="219075" cy="142875"/>
        </a:xfrm>
        <a:prstGeom prst="bentConnector3">
          <a:avLst>
            <a:gd name="adj1" fmla="val 47824"/>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24</xdr:row>
      <xdr:rowOff>95250</xdr:rowOff>
    </xdr:from>
    <xdr:to>
      <xdr:col>19</xdr:col>
      <xdr:colOff>0</xdr:colOff>
      <xdr:row>26</xdr:row>
      <xdr:rowOff>66675</xdr:rowOff>
    </xdr:to>
    <xdr:cxnSp macro="">
      <xdr:nvCxnSpPr>
        <xdr:cNvPr id="2467" name="AutoShape 31">
          <a:extLst>
            <a:ext uri="{FF2B5EF4-FFF2-40B4-BE49-F238E27FC236}">
              <a16:creationId xmlns:a16="http://schemas.microsoft.com/office/drawing/2014/main" id="{00000000-0008-0000-0400-0000A3090000}"/>
            </a:ext>
          </a:extLst>
        </xdr:cNvPr>
        <xdr:cNvCxnSpPr>
          <a:cxnSpLocks noChangeShapeType="1"/>
        </xdr:cNvCxnSpPr>
      </xdr:nvCxnSpPr>
      <xdr:spPr bwMode="auto">
        <a:xfrm>
          <a:off x="7400925" y="4048125"/>
          <a:ext cx="200025" cy="295275"/>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26</xdr:row>
      <xdr:rowOff>66675</xdr:rowOff>
    </xdr:from>
    <xdr:to>
      <xdr:col>19</xdr:col>
      <xdr:colOff>0</xdr:colOff>
      <xdr:row>28</xdr:row>
      <xdr:rowOff>85725</xdr:rowOff>
    </xdr:to>
    <xdr:cxnSp macro="">
      <xdr:nvCxnSpPr>
        <xdr:cNvPr id="2468" name="AutoShape 32">
          <a:extLst>
            <a:ext uri="{FF2B5EF4-FFF2-40B4-BE49-F238E27FC236}">
              <a16:creationId xmlns:a16="http://schemas.microsoft.com/office/drawing/2014/main" id="{00000000-0008-0000-0400-0000A4090000}"/>
            </a:ext>
          </a:extLst>
        </xdr:cNvPr>
        <xdr:cNvCxnSpPr>
          <a:cxnSpLocks noChangeShapeType="1"/>
        </xdr:cNvCxnSpPr>
      </xdr:nvCxnSpPr>
      <xdr:spPr bwMode="auto">
        <a:xfrm flipV="1">
          <a:off x="7400925" y="4343400"/>
          <a:ext cx="200025" cy="34290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32</xdr:row>
      <xdr:rowOff>95250</xdr:rowOff>
    </xdr:from>
    <xdr:to>
      <xdr:col>19</xdr:col>
      <xdr:colOff>0</xdr:colOff>
      <xdr:row>34</xdr:row>
      <xdr:rowOff>66675</xdr:rowOff>
    </xdr:to>
    <xdr:cxnSp macro="">
      <xdr:nvCxnSpPr>
        <xdr:cNvPr id="2469" name="AutoShape 33">
          <a:extLst>
            <a:ext uri="{FF2B5EF4-FFF2-40B4-BE49-F238E27FC236}">
              <a16:creationId xmlns:a16="http://schemas.microsoft.com/office/drawing/2014/main" id="{00000000-0008-0000-0400-0000A5090000}"/>
            </a:ext>
          </a:extLst>
        </xdr:cNvPr>
        <xdr:cNvCxnSpPr>
          <a:cxnSpLocks noChangeShapeType="1"/>
        </xdr:cNvCxnSpPr>
      </xdr:nvCxnSpPr>
      <xdr:spPr bwMode="auto">
        <a:xfrm>
          <a:off x="7400925" y="5343525"/>
          <a:ext cx="200025" cy="295275"/>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34</xdr:row>
      <xdr:rowOff>66675</xdr:rowOff>
    </xdr:from>
    <xdr:to>
      <xdr:col>19</xdr:col>
      <xdr:colOff>0</xdr:colOff>
      <xdr:row>36</xdr:row>
      <xdr:rowOff>85725</xdr:rowOff>
    </xdr:to>
    <xdr:cxnSp macro="">
      <xdr:nvCxnSpPr>
        <xdr:cNvPr id="2470" name="AutoShape 34">
          <a:extLst>
            <a:ext uri="{FF2B5EF4-FFF2-40B4-BE49-F238E27FC236}">
              <a16:creationId xmlns:a16="http://schemas.microsoft.com/office/drawing/2014/main" id="{00000000-0008-0000-0400-0000A6090000}"/>
            </a:ext>
          </a:extLst>
        </xdr:cNvPr>
        <xdr:cNvCxnSpPr>
          <a:cxnSpLocks noChangeShapeType="1"/>
        </xdr:cNvCxnSpPr>
      </xdr:nvCxnSpPr>
      <xdr:spPr bwMode="auto">
        <a:xfrm flipV="1">
          <a:off x="7400925" y="5638800"/>
          <a:ext cx="200025" cy="34290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27</xdr:col>
      <xdr:colOff>0</xdr:colOff>
      <xdr:row>26</xdr:row>
      <xdr:rowOff>85725</xdr:rowOff>
    </xdr:from>
    <xdr:to>
      <xdr:col>28</xdr:col>
      <xdr:colOff>0</xdr:colOff>
      <xdr:row>30</xdr:row>
      <xdr:rowOff>85725</xdr:rowOff>
    </xdr:to>
    <xdr:cxnSp macro="">
      <xdr:nvCxnSpPr>
        <xdr:cNvPr id="2471" name="AutoShape 35">
          <a:extLst>
            <a:ext uri="{FF2B5EF4-FFF2-40B4-BE49-F238E27FC236}">
              <a16:creationId xmlns:a16="http://schemas.microsoft.com/office/drawing/2014/main" id="{00000000-0008-0000-0400-0000A7090000}"/>
            </a:ext>
          </a:extLst>
        </xdr:cNvPr>
        <xdr:cNvCxnSpPr>
          <a:cxnSpLocks noChangeShapeType="1"/>
        </xdr:cNvCxnSpPr>
      </xdr:nvCxnSpPr>
      <xdr:spPr bwMode="auto">
        <a:xfrm>
          <a:off x="11106150" y="4362450"/>
          <a:ext cx="161925" cy="64770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fLocksWithSheet="0"/>
  </xdr:twoCellAnchor>
  <xdr:twoCellAnchor>
    <xdr:from>
      <xdr:col>27</xdr:col>
      <xdr:colOff>0</xdr:colOff>
      <xdr:row>30</xdr:row>
      <xdr:rowOff>95250</xdr:rowOff>
    </xdr:from>
    <xdr:to>
      <xdr:col>28</xdr:col>
      <xdr:colOff>0</xdr:colOff>
      <xdr:row>34</xdr:row>
      <xdr:rowOff>76200</xdr:rowOff>
    </xdr:to>
    <xdr:cxnSp macro="">
      <xdr:nvCxnSpPr>
        <xdr:cNvPr id="2472" name="AutoShape 36">
          <a:extLst>
            <a:ext uri="{FF2B5EF4-FFF2-40B4-BE49-F238E27FC236}">
              <a16:creationId xmlns:a16="http://schemas.microsoft.com/office/drawing/2014/main" id="{00000000-0008-0000-0400-0000A8090000}"/>
            </a:ext>
          </a:extLst>
        </xdr:cNvPr>
        <xdr:cNvCxnSpPr>
          <a:cxnSpLocks noChangeShapeType="1"/>
        </xdr:cNvCxnSpPr>
      </xdr:nvCxnSpPr>
      <xdr:spPr bwMode="auto">
        <a:xfrm flipV="1">
          <a:off x="11106150" y="5019675"/>
          <a:ext cx="161925" cy="62865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36</xdr:col>
      <xdr:colOff>152400</xdr:colOff>
      <xdr:row>11</xdr:row>
      <xdr:rowOff>76200</xdr:rowOff>
    </xdr:from>
    <xdr:to>
      <xdr:col>36</xdr:col>
      <xdr:colOff>152400</xdr:colOff>
      <xdr:row>30</xdr:row>
      <xdr:rowOff>95250</xdr:rowOff>
    </xdr:to>
    <xdr:cxnSp macro="">
      <xdr:nvCxnSpPr>
        <xdr:cNvPr id="2473" name="AutoShape 40">
          <a:extLst>
            <a:ext uri="{FF2B5EF4-FFF2-40B4-BE49-F238E27FC236}">
              <a16:creationId xmlns:a16="http://schemas.microsoft.com/office/drawing/2014/main" id="{00000000-0008-0000-0400-0000A9090000}"/>
            </a:ext>
          </a:extLst>
        </xdr:cNvPr>
        <xdr:cNvCxnSpPr>
          <a:cxnSpLocks noChangeShapeType="1"/>
        </xdr:cNvCxnSpPr>
      </xdr:nvCxnSpPr>
      <xdr:spPr bwMode="auto">
        <a:xfrm>
          <a:off x="14925675" y="1924050"/>
          <a:ext cx="0" cy="3095625"/>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fLocksWithSheet="0"/>
  </xdr:twoCellAnchor>
  <xdr:twoCellAnchor>
    <xdr:from>
      <xdr:col>36</xdr:col>
      <xdr:colOff>9525</xdr:colOff>
      <xdr:row>11</xdr:row>
      <xdr:rowOff>76200</xdr:rowOff>
    </xdr:from>
    <xdr:to>
      <xdr:col>36</xdr:col>
      <xdr:colOff>142875</xdr:colOff>
      <xdr:row>11</xdr:row>
      <xdr:rowOff>76200</xdr:rowOff>
    </xdr:to>
    <xdr:sp macro="" textlink="">
      <xdr:nvSpPr>
        <xdr:cNvPr id="2474" name="Line 42">
          <a:extLst>
            <a:ext uri="{FF2B5EF4-FFF2-40B4-BE49-F238E27FC236}">
              <a16:creationId xmlns:a16="http://schemas.microsoft.com/office/drawing/2014/main" id="{00000000-0008-0000-0400-0000AA090000}"/>
            </a:ext>
          </a:extLst>
        </xdr:cNvPr>
        <xdr:cNvSpPr>
          <a:spLocks noChangeShapeType="1"/>
        </xdr:cNvSpPr>
      </xdr:nvSpPr>
      <xdr:spPr bwMode="auto">
        <a:xfrm>
          <a:off x="14782800" y="1924050"/>
          <a:ext cx="133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9525</xdr:colOff>
      <xdr:row>30</xdr:row>
      <xdr:rowOff>85725</xdr:rowOff>
    </xdr:from>
    <xdr:to>
      <xdr:col>36</xdr:col>
      <xdr:colOff>142875</xdr:colOff>
      <xdr:row>30</xdr:row>
      <xdr:rowOff>85725</xdr:rowOff>
    </xdr:to>
    <xdr:sp macro="" textlink="">
      <xdr:nvSpPr>
        <xdr:cNvPr id="2475" name="Line 43">
          <a:extLst>
            <a:ext uri="{FF2B5EF4-FFF2-40B4-BE49-F238E27FC236}">
              <a16:creationId xmlns:a16="http://schemas.microsoft.com/office/drawing/2014/main" id="{00000000-0008-0000-0400-0000AB090000}"/>
            </a:ext>
          </a:extLst>
        </xdr:cNvPr>
        <xdr:cNvSpPr>
          <a:spLocks noChangeShapeType="1"/>
        </xdr:cNvSpPr>
      </xdr:nvSpPr>
      <xdr:spPr bwMode="auto">
        <a:xfrm>
          <a:off x="14782800" y="5010150"/>
          <a:ext cx="133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9525</xdr:colOff>
      <xdr:row>21</xdr:row>
      <xdr:rowOff>76200</xdr:rowOff>
    </xdr:from>
    <xdr:to>
      <xdr:col>36</xdr:col>
      <xdr:colOff>142875</xdr:colOff>
      <xdr:row>21</xdr:row>
      <xdr:rowOff>76200</xdr:rowOff>
    </xdr:to>
    <xdr:sp macro="" textlink="">
      <xdr:nvSpPr>
        <xdr:cNvPr id="2476" name="Line 44">
          <a:extLst>
            <a:ext uri="{FF2B5EF4-FFF2-40B4-BE49-F238E27FC236}">
              <a16:creationId xmlns:a16="http://schemas.microsoft.com/office/drawing/2014/main" id="{00000000-0008-0000-0400-0000AC090000}"/>
            </a:ext>
          </a:extLst>
        </xdr:cNvPr>
        <xdr:cNvSpPr>
          <a:spLocks noChangeShapeType="1"/>
        </xdr:cNvSpPr>
      </xdr:nvSpPr>
      <xdr:spPr bwMode="auto">
        <a:xfrm>
          <a:off x="14782800" y="3543300"/>
          <a:ext cx="133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2"/>
  <dimension ref="A1:I2"/>
  <sheetViews>
    <sheetView workbookViewId="0">
      <selection activeCell="A5" sqref="A5"/>
    </sheetView>
  </sheetViews>
  <sheetFormatPr defaultColWidth="32.7109375" defaultRowHeight="12.75" x14ac:dyDescent="0.2"/>
  <cols>
    <col min="1" max="1" width="13.140625" customWidth="1"/>
    <col min="2" max="2" width="30.5703125" customWidth="1"/>
    <col min="3" max="3" width="9.7109375" style="59" customWidth="1"/>
    <col min="4" max="4" width="11.28515625" customWidth="1"/>
    <col min="5" max="5" width="7.5703125" style="59" customWidth="1"/>
    <col min="6" max="6" width="12.28515625" customWidth="1"/>
    <col min="7" max="7" width="35.42578125" customWidth="1"/>
    <col min="8" max="8" width="19.85546875" bestFit="1" customWidth="1"/>
    <col min="9" max="9" width="15.5703125" style="44" customWidth="1"/>
  </cols>
  <sheetData>
    <row r="1" spans="1:9" x14ac:dyDescent="0.2">
      <c r="A1" s="53" t="s">
        <v>19</v>
      </c>
      <c r="B1" s="53" t="s">
        <v>20</v>
      </c>
      <c r="C1" s="58" t="s">
        <v>21</v>
      </c>
      <c r="D1" s="53" t="s">
        <v>55</v>
      </c>
      <c r="E1" s="58" t="s">
        <v>39</v>
      </c>
      <c r="F1" s="53" t="s">
        <v>34</v>
      </c>
      <c r="G1" s="53" t="s">
        <v>22</v>
      </c>
      <c r="H1" s="53" t="s">
        <v>35</v>
      </c>
    </row>
    <row r="2" spans="1:9" x14ac:dyDescent="0.2">
      <c r="A2" s="57">
        <v>123456</v>
      </c>
      <c r="B2" s="57" t="s">
        <v>56</v>
      </c>
      <c r="C2" s="60">
        <v>1234</v>
      </c>
      <c r="D2" s="49">
        <v>5.6779999999999999</v>
      </c>
      <c r="E2" s="60">
        <v>101</v>
      </c>
      <c r="G2" s="57" t="s">
        <v>57</v>
      </c>
      <c r="I2" s="45"/>
    </row>
  </sheetData>
  <phoneticPr fontId="9" type="noConversion"/>
  <pageMargins left="0.79" right="0.79" top="0.98" bottom="0.98"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3"/>
  <dimension ref="A1:F315"/>
  <sheetViews>
    <sheetView workbookViewId="0">
      <selection activeCell="A2" sqref="A2"/>
    </sheetView>
  </sheetViews>
  <sheetFormatPr defaultRowHeight="12.75" x14ac:dyDescent="0.2"/>
  <cols>
    <col min="1" max="1" width="11.140625" customWidth="1"/>
    <col min="2" max="2" width="41.140625" bestFit="1" customWidth="1"/>
    <col min="3" max="3" width="45.85546875" bestFit="1" customWidth="1"/>
  </cols>
  <sheetData>
    <row r="1" spans="1:6" x14ac:dyDescent="0.2">
      <c r="A1" s="1" t="s">
        <v>42</v>
      </c>
      <c r="B1" s="2" t="s">
        <v>43</v>
      </c>
      <c r="C1" s="3" t="s">
        <v>44</v>
      </c>
    </row>
    <row r="2" spans="1:6" x14ac:dyDescent="0.2">
      <c r="A2">
        <v>1234</v>
      </c>
      <c r="B2" t="s">
        <v>20</v>
      </c>
      <c r="C2" t="s">
        <v>58</v>
      </c>
      <c r="E2" s="52"/>
      <c r="F2" s="52"/>
    </row>
    <row r="3" spans="1:6" x14ac:dyDescent="0.2">
      <c r="E3" s="4"/>
      <c r="F3" s="5"/>
    </row>
    <row r="4" spans="1:6" x14ac:dyDescent="0.2">
      <c r="E4" s="4"/>
      <c r="F4" s="5"/>
    </row>
    <row r="5" spans="1:6" x14ac:dyDescent="0.2">
      <c r="E5" s="4"/>
      <c r="F5" s="5"/>
    </row>
    <row r="6" spans="1:6" x14ac:dyDescent="0.2">
      <c r="E6" s="4"/>
      <c r="F6" s="5"/>
    </row>
    <row r="7" spans="1:6" x14ac:dyDescent="0.2">
      <c r="E7" s="4"/>
      <c r="F7" s="5"/>
    </row>
    <row r="8" spans="1:6" x14ac:dyDescent="0.2">
      <c r="E8" s="4"/>
      <c r="F8" s="5"/>
    </row>
    <row r="9" spans="1:6" x14ac:dyDescent="0.2">
      <c r="E9" s="4"/>
      <c r="F9" s="5"/>
    </row>
    <row r="10" spans="1:6" x14ac:dyDescent="0.2">
      <c r="E10" s="4"/>
      <c r="F10" s="5"/>
    </row>
    <row r="11" spans="1:6" x14ac:dyDescent="0.2">
      <c r="E11" s="4"/>
      <c r="F11" s="5"/>
    </row>
    <row r="12" spans="1:6" x14ac:dyDescent="0.2">
      <c r="E12" s="4"/>
      <c r="F12" s="5"/>
    </row>
    <row r="13" spans="1:6" x14ac:dyDescent="0.2">
      <c r="E13" s="4"/>
      <c r="F13" s="5"/>
    </row>
    <row r="14" spans="1:6" x14ac:dyDescent="0.2">
      <c r="E14" s="4"/>
      <c r="F14" s="5"/>
    </row>
    <row r="15" spans="1:6" x14ac:dyDescent="0.2">
      <c r="E15" s="4"/>
      <c r="F15" s="5"/>
    </row>
    <row r="16" spans="1:6" x14ac:dyDescent="0.2">
      <c r="E16" s="4"/>
      <c r="F16" s="5"/>
    </row>
    <row r="17" spans="5:6" x14ac:dyDescent="0.2">
      <c r="E17" s="4"/>
      <c r="F17" s="5"/>
    </row>
    <row r="18" spans="5:6" x14ac:dyDescent="0.2">
      <c r="E18" s="4"/>
      <c r="F18" s="5"/>
    </row>
    <row r="19" spans="5:6" x14ac:dyDescent="0.2">
      <c r="E19" s="4"/>
      <c r="F19" s="5"/>
    </row>
    <row r="20" spans="5:6" x14ac:dyDescent="0.2">
      <c r="E20" s="4"/>
      <c r="F20" s="5"/>
    </row>
    <row r="21" spans="5:6" x14ac:dyDescent="0.2">
      <c r="E21" s="4"/>
      <c r="F21" s="5"/>
    </row>
    <row r="22" spans="5:6" x14ac:dyDescent="0.2">
      <c r="E22" s="4"/>
      <c r="F22" s="5"/>
    </row>
    <row r="23" spans="5:6" x14ac:dyDescent="0.2">
      <c r="E23" s="4"/>
      <c r="F23" s="5"/>
    </row>
    <row r="24" spans="5:6" x14ac:dyDescent="0.2">
      <c r="E24" s="4"/>
      <c r="F24" s="5"/>
    </row>
    <row r="25" spans="5:6" x14ac:dyDescent="0.2">
      <c r="E25" s="4"/>
      <c r="F25" s="5"/>
    </row>
    <row r="26" spans="5:6" x14ac:dyDescent="0.2">
      <c r="E26" s="4"/>
      <c r="F26" s="5"/>
    </row>
    <row r="27" spans="5:6" x14ac:dyDescent="0.2">
      <c r="E27" s="4"/>
      <c r="F27" s="5"/>
    </row>
    <row r="28" spans="5:6" x14ac:dyDescent="0.2">
      <c r="E28" s="4"/>
      <c r="F28" s="5"/>
    </row>
    <row r="29" spans="5:6" x14ac:dyDescent="0.2">
      <c r="E29" s="4"/>
      <c r="F29" s="5"/>
    </row>
    <row r="30" spans="5:6" x14ac:dyDescent="0.2">
      <c r="E30" s="4"/>
      <c r="F30" s="5"/>
    </row>
    <row r="31" spans="5:6" x14ac:dyDescent="0.2">
      <c r="E31" s="4"/>
      <c r="F31" s="5"/>
    </row>
    <row r="32" spans="5:6" x14ac:dyDescent="0.2">
      <c r="E32" s="4"/>
      <c r="F32" s="5"/>
    </row>
    <row r="33" spans="5:6" x14ac:dyDescent="0.2">
      <c r="E33" s="4"/>
      <c r="F33" s="5"/>
    </row>
    <row r="34" spans="5:6" x14ac:dyDescent="0.2">
      <c r="E34" s="4"/>
      <c r="F34" s="5"/>
    </row>
    <row r="35" spans="5:6" x14ac:dyDescent="0.2">
      <c r="E35" s="4"/>
      <c r="F35" s="5"/>
    </row>
    <row r="36" spans="5:6" x14ac:dyDescent="0.2">
      <c r="E36" s="4"/>
      <c r="F36" s="5"/>
    </row>
    <row r="37" spans="5:6" x14ac:dyDescent="0.2">
      <c r="E37" s="4"/>
      <c r="F37" s="5"/>
    </row>
    <row r="38" spans="5:6" x14ac:dyDescent="0.2">
      <c r="E38" s="4"/>
      <c r="F38" s="5"/>
    </row>
    <row r="39" spans="5:6" x14ac:dyDescent="0.2">
      <c r="E39" s="4"/>
      <c r="F39" s="5"/>
    </row>
    <row r="40" spans="5:6" x14ac:dyDescent="0.2">
      <c r="E40" s="4"/>
      <c r="F40" s="5"/>
    </row>
    <row r="41" spans="5:6" x14ac:dyDescent="0.2">
      <c r="E41" s="4"/>
      <c r="F41" s="5"/>
    </row>
    <row r="42" spans="5:6" x14ac:dyDescent="0.2">
      <c r="E42" s="4"/>
      <c r="F42" s="5"/>
    </row>
    <row r="43" spans="5:6" x14ac:dyDescent="0.2">
      <c r="E43" s="4"/>
      <c r="F43" s="5"/>
    </row>
    <row r="44" spans="5:6" x14ac:dyDescent="0.2">
      <c r="E44" s="4"/>
      <c r="F44" s="5"/>
    </row>
    <row r="45" spans="5:6" x14ac:dyDescent="0.2">
      <c r="E45" s="4"/>
      <c r="F45" s="5"/>
    </row>
    <row r="46" spans="5:6" x14ac:dyDescent="0.2">
      <c r="E46" s="4"/>
      <c r="F46" s="5"/>
    </row>
    <row r="47" spans="5:6" x14ac:dyDescent="0.2">
      <c r="E47" s="4"/>
      <c r="F47" s="5"/>
    </row>
    <row r="48" spans="5:6" x14ac:dyDescent="0.2">
      <c r="E48" s="4"/>
      <c r="F48" s="5"/>
    </row>
    <row r="49" spans="5:6" x14ac:dyDescent="0.2">
      <c r="E49" s="4"/>
      <c r="F49" s="5"/>
    </row>
    <row r="50" spans="5:6" x14ac:dyDescent="0.2">
      <c r="E50" s="4"/>
      <c r="F50" s="5"/>
    </row>
    <row r="51" spans="5:6" x14ac:dyDescent="0.2">
      <c r="E51" s="4"/>
      <c r="F51" s="5"/>
    </row>
    <row r="52" spans="5:6" x14ac:dyDescent="0.2">
      <c r="E52" s="4"/>
      <c r="F52" s="5"/>
    </row>
    <row r="53" spans="5:6" x14ac:dyDescent="0.2">
      <c r="E53" s="4"/>
      <c r="F53" s="5"/>
    </row>
    <row r="54" spans="5:6" x14ac:dyDescent="0.2">
      <c r="E54" s="4"/>
      <c r="F54" s="5"/>
    </row>
    <row r="55" spans="5:6" x14ac:dyDescent="0.2">
      <c r="E55" s="4"/>
      <c r="F55" s="5"/>
    </row>
    <row r="56" spans="5:6" x14ac:dyDescent="0.2">
      <c r="E56" s="4"/>
      <c r="F56" s="5"/>
    </row>
    <row r="57" spans="5:6" x14ac:dyDescent="0.2">
      <c r="E57" s="4"/>
      <c r="F57" s="5"/>
    </row>
    <row r="58" spans="5:6" x14ac:dyDescent="0.2">
      <c r="E58" s="4"/>
      <c r="F58" s="5"/>
    </row>
    <row r="59" spans="5:6" x14ac:dyDescent="0.2">
      <c r="E59" s="4"/>
      <c r="F59" s="5"/>
    </row>
    <row r="60" spans="5:6" x14ac:dyDescent="0.2">
      <c r="E60" s="4"/>
      <c r="F60" s="5"/>
    </row>
    <row r="61" spans="5:6" x14ac:dyDescent="0.2">
      <c r="E61" s="4"/>
      <c r="F61" s="5"/>
    </row>
    <row r="62" spans="5:6" x14ac:dyDescent="0.2">
      <c r="E62" s="4"/>
      <c r="F62" s="5"/>
    </row>
    <row r="63" spans="5:6" x14ac:dyDescent="0.2">
      <c r="E63" s="4"/>
      <c r="F63" s="5"/>
    </row>
    <row r="64" spans="5:6" x14ac:dyDescent="0.2">
      <c r="E64" s="4"/>
      <c r="F64" s="5"/>
    </row>
    <row r="65" spans="5:6" x14ac:dyDescent="0.2">
      <c r="E65" s="4"/>
      <c r="F65" s="5"/>
    </row>
    <row r="66" spans="5:6" x14ac:dyDescent="0.2">
      <c r="E66" s="4"/>
      <c r="F66" s="5"/>
    </row>
    <row r="67" spans="5:6" x14ac:dyDescent="0.2">
      <c r="E67" s="4"/>
      <c r="F67" s="5"/>
    </row>
    <row r="68" spans="5:6" x14ac:dyDescent="0.2">
      <c r="E68" s="4"/>
      <c r="F68" s="5"/>
    </row>
    <row r="69" spans="5:6" x14ac:dyDescent="0.2">
      <c r="E69" s="4"/>
      <c r="F69" s="5"/>
    </row>
    <row r="70" spans="5:6" x14ac:dyDescent="0.2">
      <c r="E70" s="4"/>
      <c r="F70" s="5"/>
    </row>
    <row r="71" spans="5:6" x14ac:dyDescent="0.2">
      <c r="E71" s="4"/>
      <c r="F71" s="5"/>
    </row>
    <row r="72" spans="5:6" x14ac:dyDescent="0.2">
      <c r="E72" s="4"/>
      <c r="F72" s="5"/>
    </row>
    <row r="73" spans="5:6" x14ac:dyDescent="0.2">
      <c r="E73" s="4"/>
      <c r="F73" s="5"/>
    </row>
    <row r="74" spans="5:6" x14ac:dyDescent="0.2">
      <c r="E74" s="4"/>
      <c r="F74" s="5"/>
    </row>
    <row r="75" spans="5:6" x14ac:dyDescent="0.2">
      <c r="E75" s="4"/>
      <c r="F75" s="5"/>
    </row>
    <row r="76" spans="5:6" x14ac:dyDescent="0.2">
      <c r="E76" s="4"/>
      <c r="F76" s="5"/>
    </row>
    <row r="77" spans="5:6" x14ac:dyDescent="0.2">
      <c r="E77" s="4"/>
      <c r="F77" s="5"/>
    </row>
    <row r="78" spans="5:6" x14ac:dyDescent="0.2">
      <c r="E78" s="4"/>
      <c r="F78" s="5"/>
    </row>
    <row r="79" spans="5:6" x14ac:dyDescent="0.2">
      <c r="E79" s="4"/>
      <c r="F79" s="5"/>
    </row>
    <row r="80" spans="5:6" x14ac:dyDescent="0.2">
      <c r="E80" s="4"/>
      <c r="F80" s="5"/>
    </row>
    <row r="81" spans="5:6" x14ac:dyDescent="0.2">
      <c r="E81" s="4"/>
      <c r="F81" s="5"/>
    </row>
    <row r="82" spans="5:6" x14ac:dyDescent="0.2">
      <c r="E82" s="4"/>
      <c r="F82" s="5"/>
    </row>
    <row r="83" spans="5:6" x14ac:dyDescent="0.2">
      <c r="E83" s="4"/>
      <c r="F83" s="5"/>
    </row>
    <row r="84" spans="5:6" x14ac:dyDescent="0.2">
      <c r="E84" s="4"/>
      <c r="F84" s="5"/>
    </row>
    <row r="85" spans="5:6" x14ac:dyDescent="0.2">
      <c r="E85" s="4"/>
      <c r="F85" s="5"/>
    </row>
    <row r="86" spans="5:6" x14ac:dyDescent="0.2">
      <c r="E86" s="4"/>
      <c r="F86" s="5"/>
    </row>
    <row r="87" spans="5:6" x14ac:dyDescent="0.2">
      <c r="E87" s="4"/>
      <c r="F87" s="5"/>
    </row>
    <row r="88" spans="5:6" x14ac:dyDescent="0.2">
      <c r="E88" s="4"/>
      <c r="F88" s="5"/>
    </row>
    <row r="89" spans="5:6" x14ac:dyDescent="0.2">
      <c r="E89" s="4"/>
      <c r="F89" s="5"/>
    </row>
    <row r="90" spans="5:6" x14ac:dyDescent="0.2">
      <c r="E90" s="4"/>
      <c r="F90" s="5"/>
    </row>
    <row r="91" spans="5:6" x14ac:dyDescent="0.2">
      <c r="E91" s="4"/>
      <c r="F91" s="5"/>
    </row>
    <row r="92" spans="5:6" x14ac:dyDescent="0.2">
      <c r="E92" s="4"/>
      <c r="F92" s="5"/>
    </row>
    <row r="93" spans="5:6" x14ac:dyDescent="0.2">
      <c r="E93" s="4"/>
      <c r="F93" s="5"/>
    </row>
    <row r="94" spans="5:6" x14ac:dyDescent="0.2">
      <c r="E94" s="4"/>
      <c r="F94" s="5"/>
    </row>
    <row r="95" spans="5:6" x14ac:dyDescent="0.2">
      <c r="E95" s="4"/>
      <c r="F95" s="5"/>
    </row>
    <row r="96" spans="5:6" x14ac:dyDescent="0.2">
      <c r="E96" s="4"/>
      <c r="F96" s="5"/>
    </row>
    <row r="97" spans="5:6" x14ac:dyDescent="0.2">
      <c r="E97" s="4"/>
      <c r="F97" s="5"/>
    </row>
    <row r="98" spans="5:6" x14ac:dyDescent="0.2">
      <c r="E98" s="4"/>
      <c r="F98" s="5"/>
    </row>
    <row r="99" spans="5:6" x14ac:dyDescent="0.2">
      <c r="E99" s="4"/>
      <c r="F99" s="5"/>
    </row>
    <row r="100" spans="5:6" x14ac:dyDescent="0.2">
      <c r="E100" s="4"/>
      <c r="F100" s="5"/>
    </row>
    <row r="101" spans="5:6" x14ac:dyDescent="0.2">
      <c r="E101" s="4"/>
      <c r="F101" s="5"/>
    </row>
    <row r="102" spans="5:6" x14ac:dyDescent="0.2">
      <c r="E102" s="4"/>
      <c r="F102" s="5"/>
    </row>
    <row r="103" spans="5:6" x14ac:dyDescent="0.2">
      <c r="E103" s="4"/>
      <c r="F103" s="5"/>
    </row>
    <row r="104" spans="5:6" x14ac:dyDescent="0.2">
      <c r="E104" s="4"/>
      <c r="F104" s="5"/>
    </row>
    <row r="105" spans="5:6" x14ac:dyDescent="0.2">
      <c r="E105" s="4"/>
      <c r="F105" s="5"/>
    </row>
    <row r="106" spans="5:6" x14ac:dyDescent="0.2">
      <c r="E106" s="4"/>
      <c r="F106" s="5"/>
    </row>
    <row r="107" spans="5:6" x14ac:dyDescent="0.2">
      <c r="E107" s="4"/>
      <c r="F107" s="5"/>
    </row>
    <row r="108" spans="5:6" x14ac:dyDescent="0.2">
      <c r="E108" s="4"/>
      <c r="F108" s="5"/>
    </row>
    <row r="109" spans="5:6" x14ac:dyDescent="0.2">
      <c r="E109" s="4"/>
      <c r="F109" s="5"/>
    </row>
    <row r="110" spans="5:6" x14ac:dyDescent="0.2">
      <c r="E110" s="4"/>
      <c r="F110" s="5"/>
    </row>
    <row r="111" spans="5:6" x14ac:dyDescent="0.2">
      <c r="E111" s="4"/>
      <c r="F111" s="5"/>
    </row>
    <row r="112" spans="5:6" x14ac:dyDescent="0.2">
      <c r="E112" s="4"/>
      <c r="F112" s="5"/>
    </row>
    <row r="113" spans="5:6" x14ac:dyDescent="0.2">
      <c r="E113" s="4"/>
      <c r="F113" s="5"/>
    </row>
    <row r="114" spans="5:6" x14ac:dyDescent="0.2">
      <c r="E114" s="4"/>
      <c r="F114" s="5"/>
    </row>
    <row r="115" spans="5:6" x14ac:dyDescent="0.2">
      <c r="E115" s="4"/>
      <c r="F115" s="5"/>
    </row>
    <row r="116" spans="5:6" x14ac:dyDescent="0.2">
      <c r="E116" s="4"/>
      <c r="F116" s="5"/>
    </row>
    <row r="117" spans="5:6" x14ac:dyDescent="0.2">
      <c r="E117" s="4"/>
      <c r="F117" s="5"/>
    </row>
    <row r="118" spans="5:6" x14ac:dyDescent="0.2">
      <c r="E118" s="4"/>
      <c r="F118" s="5"/>
    </row>
    <row r="119" spans="5:6" x14ac:dyDescent="0.2">
      <c r="E119" s="4"/>
      <c r="F119" s="5"/>
    </row>
    <row r="120" spans="5:6" x14ac:dyDescent="0.2">
      <c r="E120" s="4"/>
      <c r="F120" s="5"/>
    </row>
    <row r="121" spans="5:6" x14ac:dyDescent="0.2">
      <c r="E121" s="4"/>
      <c r="F121" s="5"/>
    </row>
    <row r="122" spans="5:6" x14ac:dyDescent="0.2">
      <c r="E122" s="4"/>
      <c r="F122" s="5"/>
    </row>
    <row r="123" spans="5:6" x14ac:dyDescent="0.2">
      <c r="E123" s="4"/>
      <c r="F123" s="5"/>
    </row>
    <row r="124" spans="5:6" x14ac:dyDescent="0.2">
      <c r="E124" s="4"/>
      <c r="F124" s="5"/>
    </row>
    <row r="125" spans="5:6" x14ac:dyDescent="0.2">
      <c r="E125" s="4"/>
      <c r="F125" s="5"/>
    </row>
    <row r="126" spans="5:6" x14ac:dyDescent="0.2">
      <c r="E126" s="4"/>
      <c r="F126" s="5"/>
    </row>
    <row r="127" spans="5:6" x14ac:dyDescent="0.2">
      <c r="E127" s="4"/>
      <c r="F127" s="5"/>
    </row>
    <row r="128" spans="5:6" x14ac:dyDescent="0.2">
      <c r="E128" s="4"/>
      <c r="F128" s="5"/>
    </row>
    <row r="129" spans="5:6" x14ac:dyDescent="0.2">
      <c r="E129" s="4"/>
      <c r="F129" s="5"/>
    </row>
    <row r="130" spans="5:6" x14ac:dyDescent="0.2">
      <c r="E130" s="4"/>
      <c r="F130" s="5"/>
    </row>
    <row r="131" spans="5:6" x14ac:dyDescent="0.2">
      <c r="E131" s="4"/>
      <c r="F131" s="5"/>
    </row>
    <row r="132" spans="5:6" x14ac:dyDescent="0.2">
      <c r="E132" s="4"/>
      <c r="F132" s="5"/>
    </row>
    <row r="133" spans="5:6" x14ac:dyDescent="0.2">
      <c r="E133" s="4"/>
      <c r="F133" s="5"/>
    </row>
    <row r="134" spans="5:6" x14ac:dyDescent="0.2">
      <c r="E134" s="4"/>
      <c r="F134" s="5"/>
    </row>
    <row r="135" spans="5:6" x14ac:dyDescent="0.2">
      <c r="E135" s="4"/>
      <c r="F135" s="5"/>
    </row>
    <row r="136" spans="5:6" x14ac:dyDescent="0.2">
      <c r="E136" s="4"/>
      <c r="F136" s="5"/>
    </row>
    <row r="137" spans="5:6" x14ac:dyDescent="0.2">
      <c r="E137" s="4"/>
      <c r="F137" s="5"/>
    </row>
    <row r="138" spans="5:6" x14ac:dyDescent="0.2">
      <c r="E138" s="4"/>
      <c r="F138" s="5"/>
    </row>
    <row r="139" spans="5:6" x14ac:dyDescent="0.2">
      <c r="E139" s="4"/>
      <c r="F139" s="5"/>
    </row>
    <row r="140" spans="5:6" x14ac:dyDescent="0.2">
      <c r="E140" s="4"/>
      <c r="F140" s="5"/>
    </row>
    <row r="141" spans="5:6" x14ac:dyDescent="0.2">
      <c r="E141" s="4"/>
      <c r="F141" s="5"/>
    </row>
    <row r="142" spans="5:6" x14ac:dyDescent="0.2">
      <c r="E142" s="4"/>
      <c r="F142" s="5"/>
    </row>
    <row r="143" spans="5:6" x14ac:dyDescent="0.2">
      <c r="E143" s="4"/>
      <c r="F143" s="5"/>
    </row>
    <row r="144" spans="5:6" x14ac:dyDescent="0.2">
      <c r="E144" s="4"/>
      <c r="F144" s="5"/>
    </row>
    <row r="145" spans="5:6" x14ac:dyDescent="0.2">
      <c r="E145" s="4"/>
      <c r="F145" s="5"/>
    </row>
    <row r="146" spans="5:6" x14ac:dyDescent="0.2">
      <c r="E146" s="4"/>
      <c r="F146" s="5"/>
    </row>
    <row r="147" spans="5:6" x14ac:dyDescent="0.2">
      <c r="E147" s="4"/>
      <c r="F147" s="5"/>
    </row>
    <row r="148" spans="5:6" x14ac:dyDescent="0.2">
      <c r="E148" s="4"/>
      <c r="F148" s="5"/>
    </row>
    <row r="149" spans="5:6" x14ac:dyDescent="0.2">
      <c r="E149" s="4"/>
      <c r="F149" s="5"/>
    </row>
    <row r="150" spans="5:6" x14ac:dyDescent="0.2">
      <c r="E150" s="4"/>
      <c r="F150" s="5"/>
    </row>
    <row r="151" spans="5:6" x14ac:dyDescent="0.2">
      <c r="E151" s="4"/>
      <c r="F151" s="5"/>
    </row>
    <row r="152" spans="5:6" x14ac:dyDescent="0.2">
      <c r="E152" s="4"/>
      <c r="F152" s="5"/>
    </row>
    <row r="153" spans="5:6" x14ac:dyDescent="0.2">
      <c r="E153" s="4"/>
      <c r="F153" s="5"/>
    </row>
    <row r="154" spans="5:6" x14ac:dyDescent="0.2">
      <c r="E154" s="4"/>
      <c r="F154" s="5"/>
    </row>
    <row r="155" spans="5:6" x14ac:dyDescent="0.2">
      <c r="E155" s="4"/>
      <c r="F155" s="5"/>
    </row>
    <row r="156" spans="5:6" x14ac:dyDescent="0.2">
      <c r="E156" s="4"/>
      <c r="F156" s="5"/>
    </row>
    <row r="157" spans="5:6" x14ac:dyDescent="0.2">
      <c r="E157" s="4"/>
      <c r="F157" s="5"/>
    </row>
    <row r="158" spans="5:6" x14ac:dyDescent="0.2">
      <c r="E158" s="4"/>
      <c r="F158" s="5"/>
    </row>
    <row r="159" spans="5:6" x14ac:dyDescent="0.2">
      <c r="E159" s="4"/>
      <c r="F159" s="5"/>
    </row>
    <row r="160" spans="5:6" x14ac:dyDescent="0.2">
      <c r="E160" s="4"/>
      <c r="F160" s="5"/>
    </row>
    <row r="161" spans="5:6" x14ac:dyDescent="0.2">
      <c r="E161" s="4"/>
      <c r="F161" s="5"/>
    </row>
    <row r="162" spans="5:6" x14ac:dyDescent="0.2">
      <c r="E162" s="4"/>
      <c r="F162" s="5"/>
    </row>
    <row r="163" spans="5:6" x14ac:dyDescent="0.2">
      <c r="E163" s="4"/>
      <c r="F163" s="5"/>
    </row>
    <row r="164" spans="5:6" x14ac:dyDescent="0.2">
      <c r="E164" s="4"/>
      <c r="F164" s="5"/>
    </row>
    <row r="165" spans="5:6" x14ac:dyDescent="0.2">
      <c r="E165" s="4"/>
      <c r="F165" s="5"/>
    </row>
    <row r="166" spans="5:6" x14ac:dyDescent="0.2">
      <c r="E166" s="4"/>
      <c r="F166" s="5"/>
    </row>
    <row r="167" spans="5:6" x14ac:dyDescent="0.2">
      <c r="E167" s="4"/>
      <c r="F167" s="5"/>
    </row>
    <row r="168" spans="5:6" x14ac:dyDescent="0.2">
      <c r="E168" s="4"/>
      <c r="F168" s="5"/>
    </row>
    <row r="169" spans="5:6" x14ac:dyDescent="0.2">
      <c r="E169" s="4"/>
      <c r="F169" s="5"/>
    </row>
    <row r="170" spans="5:6" x14ac:dyDescent="0.2">
      <c r="E170" s="4"/>
      <c r="F170" s="5"/>
    </row>
    <row r="171" spans="5:6" x14ac:dyDescent="0.2">
      <c r="E171" s="4"/>
      <c r="F171" s="5"/>
    </row>
    <row r="172" spans="5:6" x14ac:dyDescent="0.2">
      <c r="E172" s="4"/>
      <c r="F172" s="5"/>
    </row>
    <row r="173" spans="5:6" x14ac:dyDescent="0.2">
      <c r="E173" s="4"/>
      <c r="F173" s="5"/>
    </row>
    <row r="174" spans="5:6" x14ac:dyDescent="0.2">
      <c r="E174" s="4"/>
      <c r="F174" s="5"/>
    </row>
    <row r="175" spans="5:6" x14ac:dyDescent="0.2">
      <c r="E175" s="4"/>
      <c r="F175" s="5"/>
    </row>
    <row r="176" spans="5:6" x14ac:dyDescent="0.2">
      <c r="E176" s="4"/>
      <c r="F176" s="5"/>
    </row>
    <row r="177" spans="5:6" x14ac:dyDescent="0.2">
      <c r="E177" s="4"/>
      <c r="F177" s="5"/>
    </row>
    <row r="178" spans="5:6" x14ac:dyDescent="0.2">
      <c r="E178" s="4"/>
      <c r="F178" s="5"/>
    </row>
    <row r="179" spans="5:6" x14ac:dyDescent="0.2">
      <c r="E179" s="4"/>
      <c r="F179" s="5"/>
    </row>
    <row r="180" spans="5:6" x14ac:dyDescent="0.2">
      <c r="E180" s="4"/>
      <c r="F180" s="5"/>
    </row>
    <row r="181" spans="5:6" x14ac:dyDescent="0.2">
      <c r="E181" s="4"/>
      <c r="F181" s="5"/>
    </row>
    <row r="182" spans="5:6" x14ac:dyDescent="0.2">
      <c r="E182" s="4"/>
      <c r="F182" s="5"/>
    </row>
    <row r="183" spans="5:6" x14ac:dyDescent="0.2">
      <c r="E183" s="4"/>
      <c r="F183" s="5"/>
    </row>
    <row r="184" spans="5:6" x14ac:dyDescent="0.2">
      <c r="E184" s="4"/>
      <c r="F184" s="5"/>
    </row>
    <row r="185" spans="5:6" x14ac:dyDescent="0.2">
      <c r="E185" s="4"/>
      <c r="F185" s="5"/>
    </row>
    <row r="186" spans="5:6" x14ac:dyDescent="0.2">
      <c r="E186" s="4"/>
      <c r="F186" s="5"/>
    </row>
    <row r="187" spans="5:6" x14ac:dyDescent="0.2">
      <c r="E187" s="4"/>
      <c r="F187" s="5"/>
    </row>
    <row r="188" spans="5:6" x14ac:dyDescent="0.2">
      <c r="E188" s="4"/>
      <c r="F188" s="5"/>
    </row>
    <row r="189" spans="5:6" x14ac:dyDescent="0.2">
      <c r="E189" s="4"/>
      <c r="F189" s="5"/>
    </row>
    <row r="190" spans="5:6" x14ac:dyDescent="0.2">
      <c r="E190" s="4"/>
      <c r="F190" s="5"/>
    </row>
    <row r="191" spans="5:6" x14ac:dyDescent="0.2">
      <c r="E191" s="4"/>
      <c r="F191" s="5"/>
    </row>
    <row r="192" spans="5:6" x14ac:dyDescent="0.2">
      <c r="E192" s="4"/>
      <c r="F192" s="5"/>
    </row>
    <row r="193" spans="5:6" x14ac:dyDescent="0.2">
      <c r="E193" s="4"/>
      <c r="F193" s="5"/>
    </row>
    <row r="194" spans="5:6" x14ac:dyDescent="0.2">
      <c r="E194" s="4"/>
      <c r="F194" s="5"/>
    </row>
    <row r="195" spans="5:6" x14ac:dyDescent="0.2">
      <c r="E195" s="4"/>
      <c r="F195" s="5"/>
    </row>
    <row r="196" spans="5:6" x14ac:dyDescent="0.2">
      <c r="E196" s="4"/>
      <c r="F196" s="5"/>
    </row>
    <row r="197" spans="5:6" x14ac:dyDescent="0.2">
      <c r="E197" s="4"/>
      <c r="F197" s="5"/>
    </row>
    <row r="198" spans="5:6" x14ac:dyDescent="0.2">
      <c r="E198" s="4"/>
      <c r="F198" s="5"/>
    </row>
    <row r="199" spans="5:6" x14ac:dyDescent="0.2">
      <c r="E199" s="4"/>
      <c r="F199" s="5"/>
    </row>
    <row r="200" spans="5:6" x14ac:dyDescent="0.2">
      <c r="E200" s="4"/>
      <c r="F200" s="5"/>
    </row>
    <row r="201" spans="5:6" x14ac:dyDescent="0.2">
      <c r="E201" s="4"/>
      <c r="F201" s="5"/>
    </row>
    <row r="202" spans="5:6" x14ac:dyDescent="0.2">
      <c r="E202" s="4"/>
      <c r="F202" s="5"/>
    </row>
    <row r="203" spans="5:6" x14ac:dyDescent="0.2">
      <c r="E203" s="4"/>
      <c r="F203" s="5"/>
    </row>
    <row r="204" spans="5:6" x14ac:dyDescent="0.2">
      <c r="E204" s="4"/>
      <c r="F204" s="5"/>
    </row>
    <row r="205" spans="5:6" x14ac:dyDescent="0.2">
      <c r="E205" s="4"/>
      <c r="F205" s="5"/>
    </row>
    <row r="206" spans="5:6" x14ac:dyDescent="0.2">
      <c r="E206" s="4"/>
      <c r="F206" s="5"/>
    </row>
    <row r="207" spans="5:6" x14ac:dyDescent="0.2">
      <c r="E207" s="4"/>
      <c r="F207" s="5"/>
    </row>
    <row r="208" spans="5:6" x14ac:dyDescent="0.2">
      <c r="E208" s="4"/>
      <c r="F208" s="5"/>
    </row>
    <row r="209" spans="5:6" x14ac:dyDescent="0.2">
      <c r="E209" s="4"/>
      <c r="F209" s="5"/>
    </row>
    <row r="210" spans="5:6" x14ac:dyDescent="0.2">
      <c r="E210" s="4"/>
      <c r="F210" s="5"/>
    </row>
    <row r="211" spans="5:6" x14ac:dyDescent="0.2">
      <c r="E211" s="4"/>
      <c r="F211" s="5"/>
    </row>
    <row r="212" spans="5:6" x14ac:dyDescent="0.2">
      <c r="E212" s="4"/>
      <c r="F212" s="5"/>
    </row>
    <row r="213" spans="5:6" x14ac:dyDescent="0.2">
      <c r="E213" s="4"/>
      <c r="F213" s="5"/>
    </row>
    <row r="214" spans="5:6" x14ac:dyDescent="0.2">
      <c r="E214" s="4"/>
      <c r="F214" s="5"/>
    </row>
    <row r="215" spans="5:6" x14ac:dyDescent="0.2">
      <c r="E215" s="4"/>
      <c r="F215" s="5"/>
    </row>
    <row r="216" spans="5:6" x14ac:dyDescent="0.2">
      <c r="E216" s="4"/>
      <c r="F216" s="5"/>
    </row>
    <row r="217" spans="5:6" x14ac:dyDescent="0.2">
      <c r="E217" s="4"/>
      <c r="F217" s="5"/>
    </row>
    <row r="218" spans="5:6" x14ac:dyDescent="0.2">
      <c r="E218" s="4"/>
      <c r="F218" s="5"/>
    </row>
    <row r="219" spans="5:6" x14ac:dyDescent="0.2">
      <c r="E219" s="4"/>
      <c r="F219" s="5"/>
    </row>
    <row r="220" spans="5:6" x14ac:dyDescent="0.2">
      <c r="E220" s="4"/>
      <c r="F220" s="5"/>
    </row>
    <row r="221" spans="5:6" x14ac:dyDescent="0.2">
      <c r="E221" s="4"/>
      <c r="F221" s="5"/>
    </row>
    <row r="222" spans="5:6" x14ac:dyDescent="0.2">
      <c r="E222" s="4"/>
      <c r="F222" s="5"/>
    </row>
    <row r="223" spans="5:6" x14ac:dyDescent="0.2">
      <c r="E223" s="4"/>
      <c r="F223" s="5"/>
    </row>
    <row r="224" spans="5:6" x14ac:dyDescent="0.2">
      <c r="E224" s="4"/>
      <c r="F224" s="5"/>
    </row>
    <row r="225" spans="1:6" x14ac:dyDescent="0.2">
      <c r="E225" s="4"/>
      <c r="F225" s="5"/>
    </row>
    <row r="226" spans="1:6" x14ac:dyDescent="0.2">
      <c r="E226" s="4"/>
      <c r="F226" s="5"/>
    </row>
    <row r="227" spans="1:6" x14ac:dyDescent="0.2">
      <c r="E227" s="4"/>
      <c r="F227" s="5"/>
    </row>
    <row r="228" spans="1:6" x14ac:dyDescent="0.2">
      <c r="E228" s="4"/>
      <c r="F228" s="5"/>
    </row>
    <row r="229" spans="1:6" x14ac:dyDescent="0.2">
      <c r="E229" s="4"/>
      <c r="F229" s="5"/>
    </row>
    <row r="230" spans="1:6" x14ac:dyDescent="0.2">
      <c r="E230" s="4"/>
      <c r="F230" s="5"/>
    </row>
    <row r="231" spans="1:6" x14ac:dyDescent="0.2">
      <c r="E231" s="4"/>
      <c r="F231" s="5"/>
    </row>
    <row r="232" spans="1:6" x14ac:dyDescent="0.2">
      <c r="E232" s="4"/>
      <c r="F232" s="5"/>
    </row>
    <row r="233" spans="1:6" x14ac:dyDescent="0.2">
      <c r="E233" s="4"/>
      <c r="F233" s="5"/>
    </row>
    <row r="234" spans="1:6" x14ac:dyDescent="0.2">
      <c r="E234" s="4"/>
      <c r="F234" s="5"/>
    </row>
    <row r="235" spans="1:6" x14ac:dyDescent="0.2">
      <c r="E235" s="4"/>
      <c r="F235" s="5"/>
    </row>
    <row r="236" spans="1:6" x14ac:dyDescent="0.2">
      <c r="E236" s="4"/>
      <c r="F236" s="5"/>
    </row>
    <row r="237" spans="1:6" x14ac:dyDescent="0.2">
      <c r="E237" s="4"/>
      <c r="F237" s="5"/>
    </row>
    <row r="238" spans="1:6" x14ac:dyDescent="0.2">
      <c r="E238" s="4"/>
      <c r="F238" s="5"/>
    </row>
    <row r="239" spans="1:6" x14ac:dyDescent="0.2">
      <c r="E239" s="4"/>
      <c r="F239" s="5"/>
    </row>
    <row r="240" spans="1:6" x14ac:dyDescent="0.2">
      <c r="A240" s="4"/>
      <c r="B240" s="50"/>
      <c r="E240" s="4"/>
      <c r="F240" s="5"/>
    </row>
    <row r="241" spans="5:6" x14ac:dyDescent="0.2">
      <c r="E241" s="4"/>
      <c r="F241" s="5"/>
    </row>
    <row r="242" spans="5:6" x14ac:dyDescent="0.2">
      <c r="E242" s="4"/>
      <c r="F242" s="5"/>
    </row>
    <row r="243" spans="5:6" x14ac:dyDescent="0.2">
      <c r="E243" s="4"/>
      <c r="F243" s="5"/>
    </row>
    <row r="244" spans="5:6" x14ac:dyDescent="0.2">
      <c r="E244" s="4"/>
      <c r="F244" s="5"/>
    </row>
    <row r="245" spans="5:6" x14ac:dyDescent="0.2">
      <c r="E245" s="4"/>
      <c r="F245" s="5"/>
    </row>
    <row r="246" spans="5:6" x14ac:dyDescent="0.2">
      <c r="E246" s="4"/>
      <c r="F246" s="5"/>
    </row>
    <row r="247" spans="5:6" x14ac:dyDescent="0.2">
      <c r="E247" s="4"/>
      <c r="F247" s="5"/>
    </row>
    <row r="248" spans="5:6" x14ac:dyDescent="0.2">
      <c r="E248" s="4"/>
      <c r="F248" s="5"/>
    </row>
    <row r="249" spans="5:6" x14ac:dyDescent="0.2">
      <c r="E249" s="4"/>
      <c r="F249" s="5"/>
    </row>
    <row r="250" spans="5:6" x14ac:dyDescent="0.2">
      <c r="E250" s="4"/>
      <c r="F250" s="5"/>
    </row>
    <row r="251" spans="5:6" x14ac:dyDescent="0.2">
      <c r="E251" s="4"/>
      <c r="F251" s="5"/>
    </row>
    <row r="252" spans="5:6" x14ac:dyDescent="0.2">
      <c r="E252" s="4"/>
      <c r="F252" s="5"/>
    </row>
    <row r="253" spans="5:6" x14ac:dyDescent="0.2">
      <c r="E253" s="4"/>
      <c r="F253" s="5"/>
    </row>
    <row r="254" spans="5:6" x14ac:dyDescent="0.2">
      <c r="E254" s="4"/>
      <c r="F254" s="5"/>
    </row>
    <row r="255" spans="5:6" x14ac:dyDescent="0.2">
      <c r="E255" s="4"/>
      <c r="F255" s="5"/>
    </row>
    <row r="256" spans="5:6" x14ac:dyDescent="0.2">
      <c r="E256" s="4"/>
      <c r="F256" s="5"/>
    </row>
    <row r="257" spans="1:6" x14ac:dyDescent="0.2">
      <c r="E257" s="4"/>
      <c r="F257" s="5"/>
    </row>
    <row r="265" spans="1:6" x14ac:dyDescent="0.2">
      <c r="A265" s="4"/>
      <c r="B265" s="50"/>
      <c r="E265" s="4"/>
      <c r="F265" s="5"/>
    </row>
    <row r="266" spans="1:6" x14ac:dyDescent="0.2">
      <c r="A266" s="4"/>
      <c r="B266" s="5"/>
      <c r="E266" s="4"/>
      <c r="F266" s="5"/>
    </row>
    <row r="267" spans="1:6" x14ac:dyDescent="0.2">
      <c r="A267" s="4"/>
      <c r="B267" s="5"/>
      <c r="E267" s="4"/>
      <c r="F267" s="5"/>
    </row>
    <row r="268" spans="1:6" x14ac:dyDescent="0.2">
      <c r="A268" s="4"/>
      <c r="B268" s="5"/>
      <c r="E268" s="4"/>
      <c r="F268" s="5"/>
    </row>
    <row r="269" spans="1:6" x14ac:dyDescent="0.2">
      <c r="A269" s="4"/>
      <c r="B269" s="5"/>
      <c r="E269" s="4"/>
      <c r="F269" s="5"/>
    </row>
    <row r="270" spans="1:6" x14ac:dyDescent="0.2">
      <c r="A270" s="4"/>
      <c r="B270" s="5"/>
      <c r="E270" s="4"/>
      <c r="F270" s="5"/>
    </row>
    <row r="271" spans="1:6" x14ac:dyDescent="0.2">
      <c r="A271" s="4"/>
      <c r="B271" s="5"/>
      <c r="E271" s="4"/>
      <c r="F271" s="5"/>
    </row>
    <row r="272" spans="1:6" x14ac:dyDescent="0.2">
      <c r="A272" s="4"/>
      <c r="B272" s="5"/>
      <c r="E272" s="4"/>
      <c r="F272" s="5"/>
    </row>
    <row r="273" spans="1:6" x14ac:dyDescent="0.2">
      <c r="A273" s="4"/>
      <c r="B273" s="5"/>
      <c r="E273" s="4"/>
      <c r="F273" s="5"/>
    </row>
    <row r="274" spans="1:6" x14ac:dyDescent="0.2">
      <c r="A274" s="4"/>
      <c r="B274" s="5"/>
      <c r="E274" s="4"/>
      <c r="F274" s="5"/>
    </row>
    <row r="275" spans="1:6" x14ac:dyDescent="0.2">
      <c r="A275" s="4"/>
      <c r="B275" s="5"/>
      <c r="E275" s="4"/>
      <c r="F275" s="5"/>
    </row>
    <row r="276" spans="1:6" x14ac:dyDescent="0.2">
      <c r="A276" s="4"/>
      <c r="B276" s="5"/>
      <c r="E276" s="4"/>
      <c r="F276" s="5"/>
    </row>
    <row r="277" spans="1:6" x14ac:dyDescent="0.2">
      <c r="A277" s="4"/>
      <c r="B277" s="5"/>
      <c r="E277" s="4"/>
      <c r="F277" s="5"/>
    </row>
    <row r="278" spans="1:6" x14ac:dyDescent="0.2">
      <c r="A278" s="4"/>
      <c r="B278" s="5"/>
      <c r="E278" s="4"/>
      <c r="F278" s="5"/>
    </row>
    <row r="279" spans="1:6" x14ac:dyDescent="0.2">
      <c r="A279" s="4"/>
      <c r="B279" s="5"/>
      <c r="E279" s="4"/>
      <c r="F279" s="5"/>
    </row>
    <row r="280" spans="1:6" x14ac:dyDescent="0.2">
      <c r="A280" s="4"/>
      <c r="B280" s="5"/>
      <c r="E280" s="4"/>
      <c r="F280" s="5"/>
    </row>
    <row r="281" spans="1:6" x14ac:dyDescent="0.2">
      <c r="A281" s="4"/>
      <c r="B281" s="5"/>
      <c r="E281" s="4"/>
      <c r="F281" s="5"/>
    </row>
    <row r="282" spans="1:6" x14ac:dyDescent="0.2">
      <c r="A282" s="4"/>
      <c r="B282" s="5"/>
      <c r="E282" s="4"/>
      <c r="F282" s="5"/>
    </row>
    <row r="283" spans="1:6" x14ac:dyDescent="0.2">
      <c r="A283" s="4"/>
      <c r="B283" s="5"/>
      <c r="E283" s="4"/>
      <c r="F283" s="5"/>
    </row>
    <row r="284" spans="1:6" x14ac:dyDescent="0.2">
      <c r="A284" s="4"/>
      <c r="B284" s="5"/>
      <c r="E284" s="4"/>
      <c r="F284" s="5"/>
    </row>
    <row r="285" spans="1:6" x14ac:dyDescent="0.2">
      <c r="A285" s="4"/>
      <c r="B285" s="5"/>
      <c r="E285" s="4"/>
      <c r="F285" s="5"/>
    </row>
    <row r="286" spans="1:6" x14ac:dyDescent="0.2">
      <c r="A286" s="4"/>
      <c r="B286" s="5"/>
      <c r="E286" s="4"/>
      <c r="F286" s="5"/>
    </row>
    <row r="287" spans="1:6" x14ac:dyDescent="0.2">
      <c r="A287" s="4"/>
      <c r="B287" s="5"/>
      <c r="E287" s="4"/>
      <c r="F287" s="5"/>
    </row>
    <row r="288" spans="1:6" x14ac:dyDescent="0.2">
      <c r="A288" s="4"/>
      <c r="B288" s="5"/>
      <c r="E288" s="4"/>
      <c r="F288" s="5"/>
    </row>
    <row r="289" spans="1:6" x14ac:dyDescent="0.2">
      <c r="A289" s="4"/>
      <c r="B289" s="5"/>
      <c r="E289" s="4"/>
      <c r="F289" s="5"/>
    </row>
    <row r="290" spans="1:6" x14ac:dyDescent="0.2">
      <c r="A290" s="4"/>
      <c r="B290" s="5"/>
      <c r="E290" s="4"/>
      <c r="F290" s="5"/>
    </row>
    <row r="291" spans="1:6" x14ac:dyDescent="0.2">
      <c r="A291" s="4"/>
      <c r="B291" s="5"/>
      <c r="E291" s="4"/>
      <c r="F291" s="5"/>
    </row>
    <row r="292" spans="1:6" x14ac:dyDescent="0.2">
      <c r="A292" s="4"/>
      <c r="B292" s="5"/>
      <c r="E292" s="4"/>
      <c r="F292" s="5"/>
    </row>
    <row r="293" spans="1:6" x14ac:dyDescent="0.2">
      <c r="A293" s="4"/>
      <c r="B293" s="5"/>
      <c r="E293" s="4"/>
      <c r="F293" s="5"/>
    </row>
    <row r="294" spans="1:6" x14ac:dyDescent="0.2">
      <c r="A294" s="4"/>
      <c r="B294" s="5"/>
      <c r="E294" s="4"/>
      <c r="F294" s="5"/>
    </row>
    <row r="295" spans="1:6" x14ac:dyDescent="0.2">
      <c r="A295" s="4"/>
      <c r="B295" s="5"/>
      <c r="E295" s="4"/>
      <c r="F295" s="5"/>
    </row>
    <row r="296" spans="1:6" x14ac:dyDescent="0.2">
      <c r="A296" s="4"/>
      <c r="B296" s="5"/>
      <c r="E296" s="4"/>
      <c r="F296" s="5"/>
    </row>
    <row r="297" spans="1:6" x14ac:dyDescent="0.2">
      <c r="A297" s="4"/>
      <c r="B297" s="5"/>
      <c r="E297" s="4"/>
      <c r="F297" s="5"/>
    </row>
    <row r="298" spans="1:6" x14ac:dyDescent="0.2">
      <c r="A298" s="4"/>
      <c r="B298" s="5"/>
      <c r="E298" s="4"/>
      <c r="F298" s="5"/>
    </row>
    <row r="299" spans="1:6" x14ac:dyDescent="0.2">
      <c r="A299" s="4"/>
      <c r="B299" s="5"/>
      <c r="E299" s="4"/>
      <c r="F299" s="5"/>
    </row>
    <row r="300" spans="1:6" x14ac:dyDescent="0.2">
      <c r="A300" s="4"/>
      <c r="B300" s="5"/>
      <c r="E300" s="4"/>
      <c r="F300" s="5"/>
    </row>
    <row r="301" spans="1:6" x14ac:dyDescent="0.2">
      <c r="A301" s="4"/>
      <c r="B301" s="5"/>
      <c r="E301" s="4"/>
      <c r="F301" s="5"/>
    </row>
    <row r="302" spans="1:6" x14ac:dyDescent="0.2">
      <c r="A302" s="4"/>
      <c r="B302" s="5"/>
      <c r="E302" s="4"/>
      <c r="F302" s="5"/>
    </row>
    <row r="303" spans="1:6" x14ac:dyDescent="0.2">
      <c r="A303" s="4"/>
      <c r="B303" s="5"/>
      <c r="E303" s="4"/>
      <c r="F303" s="5"/>
    </row>
    <row r="304" spans="1:6" x14ac:dyDescent="0.2">
      <c r="A304" s="4"/>
      <c r="B304" s="5"/>
      <c r="E304" s="4"/>
      <c r="F304" s="5"/>
    </row>
    <row r="305" spans="1:6" x14ac:dyDescent="0.2">
      <c r="A305" s="4"/>
      <c r="B305" s="5"/>
      <c r="E305" s="4"/>
      <c r="F305" s="5"/>
    </row>
    <row r="306" spans="1:6" x14ac:dyDescent="0.2">
      <c r="A306" s="4"/>
      <c r="B306" s="5"/>
      <c r="E306" s="4"/>
      <c r="F306" s="5"/>
    </row>
    <row r="307" spans="1:6" x14ac:dyDescent="0.2">
      <c r="A307" s="4"/>
      <c r="B307" s="5"/>
      <c r="E307" s="4"/>
      <c r="F307" s="5"/>
    </row>
    <row r="308" spans="1:6" x14ac:dyDescent="0.2">
      <c r="A308" s="4"/>
      <c r="B308" s="5"/>
      <c r="E308" s="4"/>
      <c r="F308" s="5"/>
    </row>
    <row r="309" spans="1:6" x14ac:dyDescent="0.2">
      <c r="A309" s="4"/>
      <c r="B309" s="5"/>
      <c r="E309" s="4"/>
      <c r="F309" s="5"/>
    </row>
    <row r="310" spans="1:6" x14ac:dyDescent="0.2">
      <c r="A310" s="4"/>
      <c r="B310" s="5"/>
      <c r="E310" s="4"/>
      <c r="F310" s="5"/>
    </row>
    <row r="311" spans="1:6" x14ac:dyDescent="0.2">
      <c r="A311" s="4"/>
      <c r="B311" s="5"/>
      <c r="E311" s="4"/>
      <c r="F311" s="5"/>
    </row>
    <row r="312" spans="1:6" x14ac:dyDescent="0.2">
      <c r="A312" s="4"/>
      <c r="B312" s="5"/>
      <c r="E312" s="4"/>
      <c r="F312" s="5"/>
    </row>
    <row r="313" spans="1:6" x14ac:dyDescent="0.2">
      <c r="A313" s="4"/>
      <c r="B313" s="5"/>
      <c r="E313" s="4"/>
      <c r="F313" s="5"/>
    </row>
    <row r="314" spans="1:6" x14ac:dyDescent="0.2">
      <c r="A314" s="4"/>
      <c r="B314" s="5"/>
      <c r="E314" s="4"/>
      <c r="F314" s="5"/>
    </row>
    <row r="315" spans="1:6" x14ac:dyDescent="0.2">
      <c r="E315" s="4"/>
      <c r="F315" s="5"/>
    </row>
  </sheetData>
  <phoneticPr fontId="9" type="noConversion"/>
  <pageMargins left="0.79" right="0.79" top="0.98" bottom="0.98"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dimension ref="A1:A30"/>
  <sheetViews>
    <sheetView workbookViewId="0">
      <selection activeCell="A4" sqref="A4"/>
    </sheetView>
  </sheetViews>
  <sheetFormatPr defaultRowHeight="12.75" x14ac:dyDescent="0.2"/>
  <cols>
    <col min="1" max="1" width="94.85546875" style="6" customWidth="1"/>
    <col min="2" max="16384" width="9.140625" style="6"/>
  </cols>
  <sheetData>
    <row r="1" spans="1:1" x14ac:dyDescent="0.2">
      <c r="A1" s="7" t="s">
        <v>45</v>
      </c>
    </row>
    <row r="2" spans="1:1" ht="51" x14ac:dyDescent="0.2">
      <c r="A2" s="8" t="s">
        <v>31</v>
      </c>
    </row>
    <row r="3" spans="1:1" x14ac:dyDescent="0.2">
      <c r="A3" s="8" t="s">
        <v>37</v>
      </c>
    </row>
    <row r="4" spans="1:1" x14ac:dyDescent="0.2">
      <c r="A4" s="8"/>
    </row>
    <row r="5" spans="1:1" x14ac:dyDescent="0.2">
      <c r="A5" s="7" t="s">
        <v>46</v>
      </c>
    </row>
    <row r="6" spans="1:1" ht="63.75" x14ac:dyDescent="0.2">
      <c r="A6" s="10" t="s">
        <v>32</v>
      </c>
    </row>
    <row r="7" spans="1:1" ht="38.25" x14ac:dyDescent="0.2">
      <c r="A7" s="8" t="s">
        <v>47</v>
      </c>
    </row>
    <row r="8" spans="1:1" ht="51" x14ac:dyDescent="0.2">
      <c r="A8" s="8" t="s">
        <v>48</v>
      </c>
    </row>
    <row r="9" spans="1:1" x14ac:dyDescent="0.2">
      <c r="A9" s="8"/>
    </row>
    <row r="10" spans="1:1" x14ac:dyDescent="0.2">
      <c r="A10" s="7" t="s">
        <v>49</v>
      </c>
    </row>
    <row r="11" spans="1:1" ht="51" x14ac:dyDescent="0.2">
      <c r="A11" s="8" t="s">
        <v>50</v>
      </c>
    </row>
    <row r="12" spans="1:1" x14ac:dyDescent="0.2">
      <c r="A12" s="8"/>
    </row>
    <row r="13" spans="1:1" x14ac:dyDescent="0.2">
      <c r="A13" s="7" t="s">
        <v>40</v>
      </c>
    </row>
    <row r="14" spans="1:1" ht="63.75" x14ac:dyDescent="0.2">
      <c r="A14" s="8" t="s">
        <v>38</v>
      </c>
    </row>
    <row r="15" spans="1:1" x14ac:dyDescent="0.2">
      <c r="A15" s="8"/>
    </row>
    <row r="16" spans="1:1" x14ac:dyDescent="0.2">
      <c r="A16" s="54" t="s">
        <v>23</v>
      </c>
    </row>
    <row r="17" spans="1:1" ht="53.25" customHeight="1" x14ac:dyDescent="0.2">
      <c r="A17" s="8" t="s">
        <v>41</v>
      </c>
    </row>
    <row r="18" spans="1:1" s="55" customFormat="1" ht="38.25" x14ac:dyDescent="0.2">
      <c r="A18" s="54" t="s">
        <v>24</v>
      </c>
    </row>
    <row r="19" spans="1:1" s="55" customFormat="1" x14ac:dyDescent="0.2">
      <c r="A19" s="54"/>
    </row>
    <row r="20" spans="1:1" x14ac:dyDescent="0.2">
      <c r="A20" s="11" t="s">
        <v>3</v>
      </c>
    </row>
    <row r="21" spans="1:1" x14ac:dyDescent="0.2">
      <c r="A21" s="11"/>
    </row>
    <row r="22" spans="1:1" x14ac:dyDescent="0.2">
      <c r="A22" s="11" t="s">
        <v>59</v>
      </c>
    </row>
    <row r="23" spans="1:1" x14ac:dyDescent="0.2">
      <c r="A23" s="42" t="s">
        <v>51</v>
      </c>
    </row>
    <row r="24" spans="1:1" x14ac:dyDescent="0.2">
      <c r="A24" s="43" t="s">
        <v>52</v>
      </c>
    </row>
    <row r="25" spans="1:1" x14ac:dyDescent="0.2">
      <c r="A25" s="43" t="s">
        <v>53</v>
      </c>
    </row>
    <row r="26" spans="1:1" x14ac:dyDescent="0.2">
      <c r="A26" s="43" t="s">
        <v>54</v>
      </c>
    </row>
    <row r="27" spans="1:1" x14ac:dyDescent="0.2">
      <c r="A27" s="43" t="s">
        <v>0</v>
      </c>
    </row>
    <row r="28" spans="1:1" x14ac:dyDescent="0.2">
      <c r="A28" s="43" t="s">
        <v>1</v>
      </c>
    </row>
    <row r="29" spans="1:1" x14ac:dyDescent="0.2">
      <c r="A29" s="43" t="s">
        <v>2</v>
      </c>
    </row>
    <row r="30" spans="1:1" x14ac:dyDescent="0.2">
      <c r="A30" s="11"/>
    </row>
  </sheetData>
  <phoneticPr fontId="9" type="noConversion"/>
  <pageMargins left="0.79" right="0.79" top="0.98" bottom="0.98"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pageSetUpPr fitToPage="1"/>
  </sheetPr>
  <dimension ref="A1:V148"/>
  <sheetViews>
    <sheetView tabSelected="1" zoomScale="95" zoomScaleNormal="95" workbookViewId="0">
      <selection activeCell="C5" sqref="C5"/>
    </sheetView>
  </sheetViews>
  <sheetFormatPr defaultRowHeight="12.75" x14ac:dyDescent="0.2"/>
  <cols>
    <col min="1" max="1" width="8.5703125" style="6" customWidth="1"/>
    <col min="2" max="2" width="4.28515625" style="6" customWidth="1"/>
    <col min="3" max="3" width="2.140625" style="12" bestFit="1" customWidth="1"/>
    <col min="4" max="4" width="7.85546875" style="6" customWidth="1"/>
    <col min="5" max="5" width="26.140625" style="6" bestFit="1" customWidth="1"/>
    <col min="6" max="6" width="26.85546875" style="6" customWidth="1"/>
    <col min="7" max="7" width="6.5703125" style="6" bestFit="1" customWidth="1"/>
    <col min="8" max="8" width="27.28515625" style="6" customWidth="1"/>
    <col min="9" max="9" width="11.5703125" style="46" bestFit="1" customWidth="1"/>
    <col min="10" max="11" width="5" style="6" customWidth="1"/>
    <col min="12" max="12" width="4.7109375" style="6" customWidth="1"/>
    <col min="13" max="15" width="3.7109375" style="6" bestFit="1" customWidth="1"/>
    <col min="16" max="16" width="3" style="6" customWidth="1"/>
    <col min="17" max="17" width="15.7109375" style="6" customWidth="1"/>
    <col min="18" max="18" width="5.140625" style="14" customWidth="1"/>
    <col min="19" max="19" width="9.140625" style="6" hidden="1" customWidth="1"/>
    <col min="20" max="16384" width="9.140625" style="6"/>
  </cols>
  <sheetData>
    <row r="1" spans="1:22" ht="58.7" customHeight="1" thickBot="1" x14ac:dyDescent="0.25">
      <c r="C1" s="6"/>
      <c r="I1" s="63" t="s">
        <v>4</v>
      </c>
      <c r="J1" s="64"/>
      <c r="K1" s="69" t="s">
        <v>27</v>
      </c>
      <c r="L1" s="70"/>
      <c r="M1" s="70"/>
      <c r="N1" s="70"/>
      <c r="O1" s="70"/>
      <c r="P1" s="70"/>
      <c r="Q1" s="71"/>
      <c r="R1" s="56">
        <v>16</v>
      </c>
    </row>
    <row r="2" spans="1:22" ht="12.75" customHeight="1" x14ac:dyDescent="0.2">
      <c r="A2" s="17"/>
      <c r="B2" s="72" t="s">
        <v>4</v>
      </c>
      <c r="C2" s="73"/>
      <c r="D2" s="74"/>
      <c r="E2" s="72" t="s">
        <v>5</v>
      </c>
      <c r="F2" s="18" t="s">
        <v>6</v>
      </c>
      <c r="G2" s="19" t="s">
        <v>7</v>
      </c>
      <c r="I2" s="65"/>
      <c r="J2" s="66"/>
      <c r="K2" s="78" t="s">
        <v>8</v>
      </c>
      <c r="L2" s="79"/>
      <c r="M2" s="79"/>
      <c r="N2" s="79"/>
      <c r="O2" s="79"/>
      <c r="P2" s="79"/>
      <c r="Q2" s="80"/>
      <c r="R2" s="20" t="s">
        <v>9</v>
      </c>
    </row>
    <row r="3" spans="1:22" ht="13.5" thickBot="1" x14ac:dyDescent="0.25">
      <c r="A3" s="17"/>
      <c r="B3" s="75"/>
      <c r="C3" s="76"/>
      <c r="D3" s="77"/>
      <c r="E3" s="75"/>
      <c r="F3" s="21" t="s">
        <v>29</v>
      </c>
      <c r="G3" s="22" t="s">
        <v>9</v>
      </c>
      <c r="I3" s="67"/>
      <c r="J3" s="68"/>
      <c r="K3" s="81" t="s">
        <v>10</v>
      </c>
      <c r="L3" s="82"/>
      <c r="M3" s="82"/>
      <c r="N3" s="82"/>
      <c r="O3" s="82"/>
      <c r="P3" s="82"/>
      <c r="Q3" s="83"/>
      <c r="R3" s="23" t="s">
        <v>9</v>
      </c>
    </row>
    <row r="4" spans="1:22" ht="18" x14ac:dyDescent="0.25">
      <c r="C4" s="61" t="str">
        <f ca="1">"Rayonkampioenschappen Indoor " &amp;YEAR(NOW()) &amp; ", " &amp; IF(H7 &lt;&gt; "",H7, "Recurve")</f>
        <v>Rayonkampioenschappen Indoor 2021, Recurve</v>
      </c>
      <c r="D4" s="61"/>
      <c r="E4" s="61"/>
      <c r="F4" s="61"/>
      <c r="G4" s="61"/>
      <c r="H4" s="61"/>
      <c r="I4" s="61"/>
      <c r="J4" s="61"/>
      <c r="K4" s="61"/>
      <c r="L4" s="61"/>
      <c r="M4" s="61"/>
      <c r="N4" s="61"/>
      <c r="O4" s="61"/>
      <c r="P4" s="61"/>
      <c r="Q4" s="61"/>
      <c r="R4" s="16"/>
    </row>
    <row r="5" spans="1:22" x14ac:dyDescent="0.2">
      <c r="C5" s="6"/>
      <c r="R5" s="16"/>
    </row>
    <row r="6" spans="1:22" x14ac:dyDescent="0.2">
      <c r="A6" s="62" t="s">
        <v>11</v>
      </c>
      <c r="B6" s="62"/>
      <c r="C6" s="25">
        <v>0</v>
      </c>
      <c r="D6" s="26" t="s">
        <v>12</v>
      </c>
      <c r="E6" s="27" t="s">
        <v>20</v>
      </c>
      <c r="F6" s="27" t="s">
        <v>21</v>
      </c>
      <c r="G6" s="27" t="s">
        <v>28</v>
      </c>
      <c r="H6" s="27" t="s">
        <v>22</v>
      </c>
      <c r="I6" s="47" t="s">
        <v>30</v>
      </c>
      <c r="J6" s="62" t="s">
        <v>36</v>
      </c>
      <c r="K6" s="62"/>
      <c r="L6" s="24" t="s">
        <v>13</v>
      </c>
      <c r="M6" s="62" t="s">
        <v>14</v>
      </c>
      <c r="N6" s="62"/>
      <c r="O6" s="62"/>
      <c r="P6" s="62"/>
      <c r="Q6" s="27" t="s">
        <v>33</v>
      </c>
    </row>
    <row r="7" spans="1:22" x14ac:dyDescent="0.2">
      <c r="A7" s="9"/>
      <c r="B7" s="9"/>
      <c r="C7" s="38"/>
      <c r="D7" s="38"/>
      <c r="E7" s="38"/>
      <c r="F7" s="38"/>
      <c r="G7" s="38"/>
      <c r="H7" s="38"/>
      <c r="I7" s="48"/>
      <c r="J7" s="38"/>
      <c r="K7" s="38"/>
      <c r="L7" s="38"/>
      <c r="M7" s="38"/>
      <c r="N7" s="38"/>
      <c r="O7" s="38"/>
      <c r="P7" s="38"/>
      <c r="Q7" s="38"/>
      <c r="R7"/>
      <c r="S7">
        <f>M7/100+N7/10000+O7/1000000+P7/100000000</f>
        <v>0</v>
      </c>
      <c r="T7"/>
      <c r="U7"/>
      <c r="V7"/>
    </row>
    <row r="8" spans="1:22" x14ac:dyDescent="0.2">
      <c r="A8" s="9"/>
      <c r="B8" s="9"/>
      <c r="C8" s="38"/>
      <c r="D8" s="38"/>
      <c r="E8" s="38"/>
      <c r="F8" s="38"/>
      <c r="G8" s="38"/>
      <c r="H8" s="38"/>
      <c r="I8" s="48"/>
      <c r="J8" s="38"/>
      <c r="K8" s="38"/>
      <c r="L8" s="38"/>
      <c r="M8" s="38"/>
      <c r="N8" s="38"/>
      <c r="O8" s="38"/>
      <c r="P8" s="38"/>
      <c r="Q8" s="38"/>
      <c r="R8"/>
      <c r="S8"/>
      <c r="T8"/>
      <c r="U8"/>
      <c r="V8"/>
    </row>
    <row r="9" spans="1:22" x14ac:dyDescent="0.2">
      <c r="A9" s="9"/>
      <c r="B9" s="9"/>
      <c r="C9"/>
      <c r="D9"/>
      <c r="E9"/>
      <c r="F9"/>
      <c r="G9"/>
      <c r="H9"/>
      <c r="I9" s="49"/>
      <c r="J9"/>
      <c r="K9"/>
      <c r="L9"/>
      <c r="M9"/>
      <c r="N9"/>
      <c r="O9"/>
      <c r="P9"/>
      <c r="Q9"/>
      <c r="R9"/>
      <c r="S9"/>
      <c r="T9"/>
      <c r="U9"/>
      <c r="V9"/>
    </row>
    <row r="10" spans="1:22" x14ac:dyDescent="0.2">
      <c r="A10" s="9"/>
      <c r="B10" s="9"/>
      <c r="C10"/>
      <c r="D10"/>
      <c r="E10"/>
      <c r="F10"/>
      <c r="G10"/>
      <c r="H10"/>
      <c r="I10" s="49"/>
      <c r="J10"/>
      <c r="K10"/>
      <c r="L10"/>
      <c r="M10"/>
      <c r="N10"/>
      <c r="O10"/>
      <c r="P10"/>
      <c r="Q10"/>
      <c r="R10"/>
      <c r="S10"/>
      <c r="T10"/>
      <c r="U10"/>
      <c r="V10"/>
    </row>
    <row r="11" spans="1:22" x14ac:dyDescent="0.2">
      <c r="A11" s="9"/>
      <c r="B11" s="9"/>
      <c r="C11"/>
      <c r="D11"/>
      <c r="E11"/>
      <c r="F11"/>
      <c r="G11"/>
      <c r="H11"/>
      <c r="I11" s="49"/>
      <c r="J11"/>
      <c r="K11"/>
      <c r="L11"/>
      <c r="M11"/>
      <c r="N11"/>
      <c r="O11"/>
      <c r="P11"/>
      <c r="Q11"/>
      <c r="R11"/>
      <c r="S11"/>
      <c r="T11"/>
      <c r="U11"/>
      <c r="V11"/>
    </row>
    <row r="12" spans="1:22" x14ac:dyDescent="0.2">
      <c r="A12" s="9"/>
      <c r="B12" s="9"/>
      <c r="C12"/>
      <c r="D12"/>
      <c r="E12"/>
      <c r="F12"/>
      <c r="G12"/>
      <c r="H12"/>
      <c r="I12" s="49"/>
      <c r="J12"/>
      <c r="K12"/>
      <c r="L12"/>
      <c r="M12"/>
      <c r="N12"/>
      <c r="O12"/>
      <c r="P12"/>
      <c r="Q12"/>
      <c r="R12"/>
      <c r="S12"/>
      <c r="T12"/>
      <c r="U12"/>
      <c r="V12"/>
    </row>
    <row r="13" spans="1:22" x14ac:dyDescent="0.2">
      <c r="A13" s="9"/>
      <c r="B13" s="9"/>
      <c r="C13"/>
      <c r="D13"/>
      <c r="E13"/>
      <c r="F13"/>
      <c r="G13"/>
      <c r="H13"/>
      <c r="I13" s="49"/>
      <c r="J13"/>
      <c r="K13"/>
      <c r="L13"/>
      <c r="M13"/>
      <c r="N13"/>
      <c r="O13"/>
      <c r="P13"/>
      <c r="Q13"/>
      <c r="R13"/>
      <c r="S13"/>
      <c r="T13"/>
      <c r="U13"/>
      <c r="V13"/>
    </row>
    <row r="14" spans="1:22" x14ac:dyDescent="0.2">
      <c r="A14" s="9"/>
      <c r="B14" s="9"/>
      <c r="C14"/>
      <c r="D14"/>
      <c r="E14"/>
      <c r="F14"/>
      <c r="G14"/>
      <c r="H14"/>
      <c r="I14" s="49"/>
      <c r="J14"/>
      <c r="K14"/>
      <c r="L14"/>
      <c r="M14"/>
      <c r="N14"/>
      <c r="O14"/>
      <c r="P14"/>
      <c r="Q14"/>
      <c r="R14"/>
      <c r="S14"/>
      <c r="T14"/>
      <c r="U14"/>
      <c r="V14"/>
    </row>
    <row r="15" spans="1:22" x14ac:dyDescent="0.2">
      <c r="A15" s="9"/>
      <c r="B15" s="9"/>
      <c r="C15"/>
      <c r="D15"/>
      <c r="E15"/>
      <c r="F15"/>
      <c r="G15"/>
      <c r="H15"/>
      <c r="I15" s="49"/>
      <c r="J15"/>
      <c r="K15"/>
      <c r="L15"/>
      <c r="M15"/>
      <c r="N15"/>
      <c r="O15"/>
      <c r="P15"/>
      <c r="Q15"/>
      <c r="R15"/>
      <c r="S15"/>
      <c r="T15"/>
      <c r="U15"/>
      <c r="V15"/>
    </row>
    <row r="16" spans="1:22" x14ac:dyDescent="0.2">
      <c r="A16" s="9"/>
      <c r="B16" s="9"/>
      <c r="C16"/>
      <c r="D16"/>
      <c r="E16"/>
      <c r="F16"/>
      <c r="G16"/>
      <c r="H16"/>
      <c r="I16" s="49"/>
      <c r="J16"/>
      <c r="K16"/>
      <c r="L16"/>
      <c r="M16"/>
      <c r="N16"/>
      <c r="O16"/>
      <c r="P16"/>
      <c r="Q16"/>
      <c r="R16"/>
      <c r="S16"/>
      <c r="T16"/>
      <c r="U16"/>
      <c r="V16"/>
    </row>
    <row r="17" spans="1:22" x14ac:dyDescent="0.2">
      <c r="A17" s="9"/>
      <c r="B17" s="9"/>
      <c r="C17"/>
      <c r="D17"/>
      <c r="E17"/>
      <c r="F17"/>
      <c r="G17"/>
      <c r="H17"/>
      <c r="I17" s="49"/>
      <c r="J17"/>
      <c r="K17"/>
      <c r="L17"/>
      <c r="M17"/>
      <c r="N17"/>
      <c r="O17"/>
      <c r="P17"/>
      <c r="Q17"/>
      <c r="R17"/>
      <c r="S17"/>
      <c r="T17"/>
      <c r="U17"/>
      <c r="V17"/>
    </row>
    <row r="18" spans="1:22" x14ac:dyDescent="0.2">
      <c r="A18" s="9"/>
      <c r="B18" s="9"/>
      <c r="C18"/>
      <c r="D18"/>
      <c r="E18"/>
      <c r="F18"/>
      <c r="G18"/>
      <c r="H18"/>
      <c r="I18" s="49"/>
      <c r="J18"/>
      <c r="K18"/>
      <c r="L18"/>
      <c r="M18"/>
      <c r="N18"/>
      <c r="O18"/>
      <c r="P18"/>
      <c r="Q18"/>
      <c r="R18"/>
      <c r="S18"/>
      <c r="T18"/>
      <c r="U18"/>
      <c r="V18"/>
    </row>
    <row r="19" spans="1:22" x14ac:dyDescent="0.2">
      <c r="A19" s="9"/>
      <c r="B19" s="9"/>
      <c r="C19"/>
      <c r="D19"/>
      <c r="E19"/>
      <c r="F19"/>
      <c r="G19"/>
      <c r="H19"/>
      <c r="I19" s="49"/>
      <c r="J19"/>
      <c r="K19"/>
      <c r="L19"/>
      <c r="M19"/>
      <c r="N19"/>
      <c r="O19"/>
      <c r="P19"/>
      <c r="Q19"/>
      <c r="R19"/>
      <c r="S19"/>
      <c r="T19"/>
      <c r="U19"/>
      <c r="V19"/>
    </row>
    <row r="20" spans="1:22" x14ac:dyDescent="0.2">
      <c r="A20" s="9"/>
      <c r="B20" s="9"/>
      <c r="C20"/>
      <c r="D20"/>
      <c r="E20"/>
      <c r="F20"/>
      <c r="G20"/>
      <c r="H20"/>
      <c r="I20" s="49"/>
      <c r="J20"/>
      <c r="K20"/>
      <c r="L20"/>
      <c r="M20"/>
      <c r="N20"/>
      <c r="O20"/>
      <c r="P20"/>
      <c r="Q20"/>
      <c r="R20"/>
      <c r="S20"/>
      <c r="T20"/>
      <c r="U20"/>
      <c r="V20"/>
    </row>
    <row r="21" spans="1:22" x14ac:dyDescent="0.2">
      <c r="A21" s="9"/>
      <c r="B21" s="9"/>
      <c r="C21"/>
      <c r="D21"/>
      <c r="E21"/>
      <c r="F21"/>
      <c r="G21"/>
      <c r="H21"/>
      <c r="I21" s="49"/>
      <c r="J21"/>
      <c r="K21"/>
      <c r="L21"/>
      <c r="M21"/>
      <c r="N21"/>
      <c r="O21"/>
      <c r="P21"/>
      <c r="Q21"/>
      <c r="R21"/>
      <c r="S21"/>
      <c r="T21"/>
      <c r="U21"/>
      <c r="V21"/>
    </row>
    <row r="22" spans="1:22" x14ac:dyDescent="0.2">
      <c r="A22" s="9"/>
      <c r="B22" s="9"/>
      <c r="C22"/>
      <c r="D22"/>
      <c r="E22"/>
      <c r="F22"/>
      <c r="G22"/>
      <c r="H22"/>
      <c r="I22" s="49"/>
      <c r="J22"/>
      <c r="K22"/>
      <c r="L22"/>
      <c r="M22"/>
      <c r="N22"/>
      <c r="O22"/>
      <c r="P22"/>
      <c r="Q22"/>
      <c r="R22"/>
      <c r="S22"/>
      <c r="T22"/>
      <c r="U22"/>
      <c r="V22"/>
    </row>
    <row r="23" spans="1:22" x14ac:dyDescent="0.2">
      <c r="A23" s="9"/>
      <c r="B23" s="9"/>
      <c r="C23"/>
      <c r="D23"/>
      <c r="E23"/>
      <c r="F23"/>
      <c r="G23"/>
      <c r="H23"/>
      <c r="I23" s="49"/>
      <c r="J23"/>
      <c r="K23"/>
      <c r="L23"/>
      <c r="M23"/>
      <c r="N23"/>
      <c r="O23"/>
      <c r="P23"/>
      <c r="Q23"/>
      <c r="R23"/>
      <c r="S23"/>
      <c r="T23"/>
      <c r="U23"/>
      <c r="V23"/>
    </row>
    <row r="24" spans="1:22" x14ac:dyDescent="0.2">
      <c r="A24" s="9"/>
      <c r="B24" s="9"/>
      <c r="C24"/>
      <c r="D24"/>
      <c r="E24"/>
      <c r="F24"/>
      <c r="G24"/>
      <c r="H24"/>
      <c r="I24" s="49"/>
      <c r="J24"/>
      <c r="K24"/>
      <c r="L24"/>
      <c r="M24"/>
      <c r="N24"/>
      <c r="O24"/>
      <c r="P24"/>
      <c r="Q24"/>
      <c r="R24"/>
      <c r="S24"/>
      <c r="T24"/>
      <c r="U24"/>
      <c r="V24"/>
    </row>
    <row r="25" spans="1:22" x14ac:dyDescent="0.2">
      <c r="A25" s="9"/>
      <c r="B25" s="9"/>
      <c r="C25"/>
      <c r="D25"/>
      <c r="E25"/>
      <c r="F25"/>
      <c r="G25"/>
      <c r="H25"/>
      <c r="I25" s="49"/>
      <c r="J25"/>
      <c r="K25"/>
      <c r="L25"/>
      <c r="M25"/>
      <c r="N25"/>
      <c r="O25"/>
      <c r="P25"/>
      <c r="Q25"/>
      <c r="R25"/>
      <c r="S25"/>
      <c r="T25"/>
      <c r="U25"/>
      <c r="V25"/>
    </row>
    <row r="26" spans="1:22" x14ac:dyDescent="0.2">
      <c r="A26" s="9"/>
      <c r="B26" s="9"/>
      <c r="C26"/>
      <c r="D26"/>
      <c r="E26"/>
      <c r="F26"/>
      <c r="G26"/>
      <c r="H26"/>
      <c r="I26" s="49"/>
      <c r="J26"/>
      <c r="K26"/>
      <c r="L26"/>
      <c r="M26"/>
      <c r="N26"/>
      <c r="O26"/>
      <c r="P26"/>
      <c r="Q26"/>
      <c r="R26"/>
      <c r="S26"/>
      <c r="T26"/>
      <c r="U26"/>
      <c r="V26"/>
    </row>
    <row r="27" spans="1:22" x14ac:dyDescent="0.2">
      <c r="A27" s="9"/>
      <c r="B27" s="9"/>
      <c r="C27"/>
      <c r="D27"/>
      <c r="E27"/>
      <c r="F27"/>
      <c r="G27"/>
      <c r="H27"/>
      <c r="I27" s="49"/>
      <c r="J27"/>
      <c r="K27"/>
      <c r="L27"/>
      <c r="M27"/>
      <c r="N27"/>
      <c r="O27"/>
      <c r="P27"/>
      <c r="Q27"/>
      <c r="R27"/>
      <c r="S27"/>
      <c r="T27"/>
      <c r="U27"/>
      <c r="V27"/>
    </row>
    <row r="28" spans="1:22" x14ac:dyDescent="0.2">
      <c r="A28" s="9"/>
      <c r="B28" s="9"/>
      <c r="C28"/>
      <c r="D28"/>
      <c r="E28"/>
      <c r="F28"/>
      <c r="G28"/>
      <c r="H28"/>
      <c r="I28" s="49"/>
      <c r="J28"/>
      <c r="K28"/>
      <c r="L28"/>
      <c r="M28"/>
      <c r="N28"/>
      <c r="O28"/>
      <c r="P28"/>
      <c r="Q28"/>
      <c r="R28"/>
      <c r="S28"/>
      <c r="T28"/>
      <c r="U28"/>
      <c r="V28"/>
    </row>
    <row r="29" spans="1:22" x14ac:dyDescent="0.2">
      <c r="A29" s="9"/>
      <c r="B29" s="9"/>
      <c r="C29"/>
      <c r="D29"/>
      <c r="E29"/>
      <c r="F29"/>
      <c r="G29"/>
      <c r="H29"/>
      <c r="I29" s="49"/>
      <c r="J29"/>
      <c r="K29"/>
      <c r="L29"/>
      <c r="M29"/>
      <c r="N29"/>
      <c r="O29"/>
      <c r="P29"/>
      <c r="Q29"/>
      <c r="R29"/>
      <c r="S29"/>
      <c r="T29"/>
      <c r="U29"/>
      <c r="V29"/>
    </row>
    <row r="30" spans="1:22" x14ac:dyDescent="0.2">
      <c r="A30" s="9"/>
      <c r="B30" s="9"/>
      <c r="C30"/>
      <c r="D30"/>
      <c r="E30"/>
      <c r="F30"/>
      <c r="G30"/>
      <c r="H30"/>
      <c r="I30" s="49"/>
      <c r="J30"/>
      <c r="K30"/>
      <c r="L30"/>
      <c r="M30"/>
      <c r="N30"/>
      <c r="O30"/>
      <c r="P30"/>
      <c r="Q30"/>
      <c r="R30"/>
      <c r="S30"/>
      <c r="T30"/>
      <c r="U30"/>
      <c r="V30"/>
    </row>
    <row r="31" spans="1:22" x14ac:dyDescent="0.2">
      <c r="A31" s="9"/>
      <c r="B31" s="9"/>
      <c r="C31"/>
      <c r="D31"/>
      <c r="E31"/>
      <c r="F31"/>
      <c r="G31"/>
      <c r="H31"/>
      <c r="I31" s="49"/>
      <c r="J31"/>
      <c r="K31"/>
      <c r="L31"/>
      <c r="M31"/>
      <c r="N31"/>
      <c r="O31"/>
      <c r="P31"/>
      <c r="Q31"/>
      <c r="R31"/>
      <c r="S31"/>
      <c r="T31"/>
      <c r="U31"/>
      <c r="V31"/>
    </row>
    <row r="32" spans="1:22" x14ac:dyDescent="0.2">
      <c r="A32" s="9"/>
      <c r="B32" s="9"/>
      <c r="C32"/>
      <c r="D32"/>
      <c r="E32"/>
      <c r="F32"/>
      <c r="G32"/>
      <c r="H32"/>
      <c r="I32" s="49"/>
      <c r="J32"/>
      <c r="K32"/>
      <c r="L32"/>
      <c r="M32"/>
      <c r="N32"/>
      <c r="O32"/>
      <c r="P32"/>
      <c r="Q32"/>
      <c r="R32"/>
      <c r="S32"/>
      <c r="T32"/>
      <c r="U32"/>
      <c r="V32"/>
    </row>
    <row r="33" spans="1:22" x14ac:dyDescent="0.2">
      <c r="A33" s="9"/>
      <c r="B33" s="9"/>
      <c r="C33"/>
      <c r="D33"/>
      <c r="E33"/>
      <c r="F33"/>
      <c r="G33"/>
      <c r="H33"/>
      <c r="I33" s="49"/>
      <c r="J33"/>
      <c r="K33"/>
      <c r="L33"/>
      <c r="M33"/>
      <c r="N33"/>
      <c r="O33"/>
      <c r="P33"/>
      <c r="Q33"/>
      <c r="R33"/>
      <c r="S33"/>
      <c r="T33"/>
      <c r="U33"/>
      <c r="V33"/>
    </row>
    <row r="34" spans="1:22" x14ac:dyDescent="0.2">
      <c r="A34" s="9"/>
      <c r="B34" s="9"/>
      <c r="C34"/>
      <c r="D34"/>
      <c r="E34"/>
      <c r="F34"/>
      <c r="G34"/>
      <c r="H34"/>
      <c r="I34" s="49"/>
      <c r="J34"/>
      <c r="K34"/>
      <c r="L34"/>
      <c r="M34"/>
      <c r="N34"/>
      <c r="O34"/>
      <c r="P34"/>
      <c r="Q34"/>
      <c r="R34"/>
      <c r="S34"/>
      <c r="T34"/>
      <c r="U34"/>
      <c r="V34"/>
    </row>
    <row r="35" spans="1:22" x14ac:dyDescent="0.2">
      <c r="A35" s="9"/>
      <c r="B35" s="9"/>
      <c r="C35"/>
      <c r="D35"/>
      <c r="E35"/>
      <c r="F35"/>
      <c r="G35"/>
      <c r="H35"/>
      <c r="I35" s="49"/>
      <c r="J35"/>
      <c r="K35"/>
      <c r="L35"/>
      <c r="M35"/>
      <c r="N35"/>
      <c r="O35"/>
      <c r="P35"/>
      <c r="Q35"/>
      <c r="R35"/>
      <c r="S35"/>
      <c r="T35"/>
      <c r="U35"/>
      <c r="V35"/>
    </row>
    <row r="36" spans="1:22" x14ac:dyDescent="0.2">
      <c r="A36" s="9"/>
      <c r="B36" s="9"/>
      <c r="C36"/>
      <c r="D36"/>
      <c r="E36"/>
      <c r="F36"/>
      <c r="G36"/>
      <c r="H36"/>
      <c r="I36" s="49"/>
      <c r="J36"/>
      <c r="K36"/>
      <c r="L36"/>
      <c r="M36"/>
      <c r="N36"/>
      <c r="O36"/>
      <c r="P36"/>
      <c r="Q36"/>
      <c r="R36"/>
      <c r="S36"/>
      <c r="T36"/>
      <c r="U36"/>
      <c r="V36"/>
    </row>
    <row r="37" spans="1:22" x14ac:dyDescent="0.2">
      <c r="A37" s="9"/>
      <c r="B37" s="9"/>
      <c r="C37"/>
      <c r="D37"/>
      <c r="E37"/>
      <c r="F37"/>
      <c r="G37"/>
      <c r="H37"/>
      <c r="I37" s="49"/>
      <c r="J37"/>
      <c r="K37"/>
      <c r="L37"/>
      <c r="M37"/>
      <c r="N37"/>
      <c r="O37"/>
      <c r="P37"/>
      <c r="Q37"/>
      <c r="R37"/>
      <c r="S37"/>
      <c r="T37"/>
      <c r="U37"/>
      <c r="V37"/>
    </row>
    <row r="38" spans="1:22" x14ac:dyDescent="0.2">
      <c r="A38" s="9"/>
      <c r="B38" s="9"/>
      <c r="C38"/>
      <c r="D38"/>
      <c r="E38"/>
      <c r="F38"/>
      <c r="G38"/>
      <c r="H38"/>
      <c r="I38" s="49"/>
      <c r="J38"/>
      <c r="K38"/>
      <c r="L38"/>
      <c r="M38"/>
      <c r="N38"/>
      <c r="O38"/>
      <c r="P38"/>
      <c r="Q38"/>
      <c r="R38"/>
      <c r="S38"/>
      <c r="T38"/>
      <c r="U38"/>
      <c r="V38"/>
    </row>
    <row r="39" spans="1:22" x14ac:dyDescent="0.2">
      <c r="A39" s="9"/>
      <c r="B39" s="9"/>
      <c r="C39"/>
      <c r="D39"/>
      <c r="E39"/>
      <c r="F39"/>
      <c r="G39"/>
      <c r="H39"/>
      <c r="I39" s="49"/>
      <c r="J39"/>
      <c r="K39"/>
      <c r="L39"/>
      <c r="M39"/>
      <c r="N39"/>
      <c r="O39"/>
      <c r="P39"/>
      <c r="Q39"/>
      <c r="R39"/>
      <c r="S39"/>
      <c r="T39"/>
      <c r="U39"/>
      <c r="V39"/>
    </row>
    <row r="40" spans="1:22" x14ac:dyDescent="0.2">
      <c r="A40" s="9"/>
      <c r="B40" s="9"/>
      <c r="C40"/>
      <c r="D40"/>
      <c r="E40"/>
      <c r="F40"/>
      <c r="G40"/>
      <c r="H40"/>
      <c r="I40" s="49"/>
      <c r="J40"/>
      <c r="K40"/>
      <c r="L40"/>
      <c r="M40"/>
      <c r="N40"/>
      <c r="O40"/>
      <c r="P40"/>
      <c r="Q40"/>
      <c r="R40"/>
      <c r="S40"/>
      <c r="T40"/>
      <c r="U40"/>
      <c r="V40"/>
    </row>
    <row r="41" spans="1:22" x14ac:dyDescent="0.2">
      <c r="A41" s="9"/>
      <c r="B41" s="9"/>
      <c r="C41"/>
      <c r="D41"/>
      <c r="E41"/>
      <c r="F41"/>
      <c r="G41"/>
      <c r="H41"/>
      <c r="I41" s="49"/>
      <c r="J41"/>
      <c r="K41"/>
      <c r="L41"/>
      <c r="M41"/>
      <c r="N41"/>
      <c r="O41"/>
      <c r="P41"/>
      <c r="Q41"/>
      <c r="R41"/>
      <c r="S41"/>
      <c r="T41"/>
      <c r="U41"/>
      <c r="V41"/>
    </row>
    <row r="42" spans="1:22" x14ac:dyDescent="0.2">
      <c r="A42" s="9"/>
      <c r="B42" s="9"/>
      <c r="C42"/>
      <c r="D42"/>
      <c r="E42"/>
      <c r="F42"/>
      <c r="G42"/>
      <c r="H42"/>
      <c r="I42" s="49"/>
      <c r="J42"/>
      <c r="K42"/>
      <c r="L42"/>
      <c r="M42"/>
      <c r="N42"/>
      <c r="O42"/>
      <c r="P42"/>
      <c r="Q42"/>
      <c r="R42"/>
      <c r="S42"/>
      <c r="T42"/>
      <c r="U42"/>
      <c r="V42"/>
    </row>
    <row r="43" spans="1:22" x14ac:dyDescent="0.2">
      <c r="A43" s="9"/>
      <c r="B43" s="9"/>
      <c r="C43"/>
      <c r="D43"/>
      <c r="E43"/>
      <c r="F43"/>
      <c r="G43"/>
      <c r="H43"/>
      <c r="I43" s="49"/>
      <c r="J43"/>
      <c r="K43"/>
      <c r="L43"/>
      <c r="M43"/>
      <c r="N43"/>
      <c r="O43"/>
      <c r="P43"/>
      <c r="Q43"/>
      <c r="R43"/>
      <c r="S43"/>
      <c r="T43"/>
      <c r="U43"/>
      <c r="V43"/>
    </row>
    <row r="44" spans="1:22" x14ac:dyDescent="0.2">
      <c r="A44" s="9"/>
      <c r="B44" s="9"/>
      <c r="C44"/>
      <c r="D44"/>
      <c r="E44"/>
      <c r="F44"/>
      <c r="G44"/>
      <c r="H44"/>
      <c r="I44" s="49"/>
      <c r="J44"/>
      <c r="K44"/>
      <c r="L44"/>
      <c r="M44"/>
      <c r="N44"/>
      <c r="O44"/>
      <c r="P44"/>
      <c r="Q44"/>
      <c r="R44"/>
      <c r="S44"/>
      <c r="T44"/>
      <c r="U44"/>
      <c r="V44"/>
    </row>
    <row r="45" spans="1:22" x14ac:dyDescent="0.2">
      <c r="A45" s="9"/>
      <c r="B45" s="9"/>
      <c r="C45"/>
      <c r="D45"/>
      <c r="E45"/>
      <c r="F45"/>
      <c r="G45"/>
      <c r="H45"/>
      <c r="I45" s="49"/>
      <c r="J45"/>
      <c r="K45"/>
      <c r="L45"/>
      <c r="M45"/>
      <c r="N45"/>
      <c r="O45"/>
      <c r="P45"/>
      <c r="Q45"/>
      <c r="R45"/>
      <c r="S45"/>
      <c r="T45"/>
      <c r="U45"/>
      <c r="V45"/>
    </row>
    <row r="46" spans="1:22" x14ac:dyDescent="0.2">
      <c r="A46" s="9"/>
      <c r="B46" s="9"/>
      <c r="C46"/>
      <c r="D46"/>
      <c r="E46"/>
      <c r="F46"/>
      <c r="G46"/>
      <c r="H46"/>
      <c r="I46" s="49"/>
      <c r="J46"/>
      <c r="K46"/>
      <c r="L46"/>
      <c r="M46"/>
      <c r="N46"/>
      <c r="O46"/>
      <c r="P46"/>
      <c r="Q46"/>
      <c r="R46"/>
      <c r="S46"/>
      <c r="T46"/>
      <c r="U46"/>
      <c r="V46"/>
    </row>
    <row r="47" spans="1:22" x14ac:dyDescent="0.2">
      <c r="A47" s="9"/>
      <c r="B47" s="9"/>
      <c r="C47"/>
      <c r="D47"/>
      <c r="E47"/>
      <c r="F47"/>
      <c r="G47"/>
      <c r="H47"/>
      <c r="I47" s="49"/>
      <c r="J47"/>
      <c r="K47"/>
      <c r="L47"/>
      <c r="M47"/>
      <c r="N47"/>
      <c r="O47"/>
      <c r="P47"/>
      <c r="Q47"/>
      <c r="R47"/>
      <c r="S47"/>
      <c r="T47"/>
      <c r="U47"/>
      <c r="V47"/>
    </row>
    <row r="48" spans="1:22" x14ac:dyDescent="0.2">
      <c r="A48" s="9"/>
      <c r="B48" s="9"/>
      <c r="C48"/>
      <c r="D48"/>
      <c r="E48"/>
      <c r="F48"/>
      <c r="G48"/>
      <c r="H48"/>
      <c r="I48" s="49"/>
      <c r="J48"/>
      <c r="K48"/>
      <c r="L48"/>
      <c r="M48"/>
      <c r="N48"/>
      <c r="O48"/>
      <c r="P48"/>
      <c r="Q48"/>
      <c r="R48"/>
      <c r="S48"/>
      <c r="T48"/>
      <c r="U48"/>
      <c r="V48"/>
    </row>
    <row r="49" spans="1:22" x14ac:dyDescent="0.2">
      <c r="A49" s="9"/>
      <c r="B49" s="9"/>
      <c r="C49"/>
      <c r="D49"/>
      <c r="E49"/>
      <c r="F49"/>
      <c r="G49"/>
      <c r="H49"/>
      <c r="I49" s="49"/>
      <c r="J49"/>
      <c r="K49"/>
      <c r="L49"/>
      <c r="M49"/>
      <c r="N49"/>
      <c r="O49"/>
      <c r="P49"/>
      <c r="Q49"/>
      <c r="R49"/>
      <c r="S49"/>
      <c r="T49"/>
      <c r="U49"/>
      <c r="V49"/>
    </row>
    <row r="50" spans="1:22" x14ac:dyDescent="0.2">
      <c r="A50" s="9"/>
      <c r="B50" s="9"/>
      <c r="C50"/>
      <c r="D50"/>
      <c r="E50"/>
      <c r="F50"/>
      <c r="G50"/>
      <c r="H50"/>
      <c r="I50" s="49"/>
      <c r="J50"/>
      <c r="K50"/>
      <c r="L50"/>
      <c r="M50"/>
      <c r="N50"/>
      <c r="O50"/>
      <c r="P50"/>
      <c r="Q50"/>
      <c r="R50"/>
      <c r="S50"/>
      <c r="T50"/>
      <c r="U50"/>
      <c r="V50"/>
    </row>
    <row r="51" spans="1:22" x14ac:dyDescent="0.2">
      <c r="A51" s="9"/>
      <c r="B51" s="9"/>
      <c r="C51"/>
      <c r="D51"/>
      <c r="E51"/>
      <c r="F51"/>
      <c r="G51"/>
      <c r="H51"/>
      <c r="I51" s="49"/>
      <c r="J51"/>
      <c r="K51"/>
      <c r="L51"/>
      <c r="M51"/>
      <c r="N51"/>
      <c r="O51"/>
      <c r="P51"/>
      <c r="Q51"/>
      <c r="R51"/>
      <c r="S51"/>
      <c r="T51"/>
      <c r="U51"/>
      <c r="V51"/>
    </row>
    <row r="52" spans="1:22" x14ac:dyDescent="0.2">
      <c r="A52" s="9"/>
      <c r="B52" s="9"/>
      <c r="C52"/>
      <c r="D52"/>
      <c r="E52"/>
      <c r="F52"/>
      <c r="G52"/>
      <c r="H52"/>
      <c r="I52" s="49"/>
      <c r="J52"/>
      <c r="K52"/>
      <c r="L52"/>
      <c r="M52"/>
      <c r="N52"/>
      <c r="O52"/>
      <c r="P52"/>
      <c r="Q52"/>
      <c r="R52"/>
      <c r="S52"/>
      <c r="T52"/>
      <c r="U52"/>
      <c r="V52"/>
    </row>
    <row r="53" spans="1:22" x14ac:dyDescent="0.2">
      <c r="A53" s="9"/>
      <c r="B53" s="9"/>
      <c r="C53"/>
      <c r="D53"/>
      <c r="E53"/>
      <c r="F53"/>
      <c r="G53"/>
      <c r="H53"/>
      <c r="I53" s="49"/>
      <c r="J53"/>
      <c r="K53"/>
      <c r="L53"/>
      <c r="M53"/>
      <c r="N53"/>
      <c r="O53"/>
      <c r="P53"/>
      <c r="Q53"/>
      <c r="R53"/>
      <c r="S53"/>
      <c r="T53"/>
      <c r="U53"/>
      <c r="V53"/>
    </row>
    <row r="54" spans="1:22" x14ac:dyDescent="0.2">
      <c r="A54" s="9"/>
      <c r="B54" s="9"/>
      <c r="C54"/>
      <c r="D54"/>
      <c r="E54"/>
      <c r="F54"/>
      <c r="G54"/>
      <c r="H54"/>
      <c r="I54" s="49"/>
      <c r="J54"/>
      <c r="K54"/>
      <c r="L54"/>
      <c r="M54"/>
      <c r="N54"/>
      <c r="O54"/>
      <c r="P54"/>
      <c r="Q54"/>
      <c r="R54"/>
      <c r="S54"/>
      <c r="T54"/>
      <c r="U54"/>
      <c r="V54"/>
    </row>
    <row r="55" spans="1:22" x14ac:dyDescent="0.2">
      <c r="A55" s="9"/>
      <c r="B55" s="9"/>
      <c r="C55"/>
      <c r="D55"/>
      <c r="E55"/>
      <c r="F55"/>
      <c r="G55"/>
      <c r="H55"/>
      <c r="I55" s="49"/>
      <c r="J55"/>
      <c r="K55"/>
      <c r="L55"/>
      <c r="M55"/>
      <c r="N55"/>
      <c r="O55"/>
      <c r="P55"/>
      <c r="Q55"/>
      <c r="R55"/>
      <c r="S55"/>
      <c r="T55"/>
      <c r="U55"/>
      <c r="V55"/>
    </row>
    <row r="56" spans="1:22" x14ac:dyDescent="0.2">
      <c r="A56" s="9"/>
      <c r="B56" s="9"/>
      <c r="C56"/>
      <c r="D56"/>
      <c r="E56"/>
      <c r="F56"/>
      <c r="G56"/>
      <c r="H56"/>
      <c r="I56" s="49"/>
      <c r="J56"/>
      <c r="K56"/>
      <c r="L56"/>
      <c r="M56"/>
      <c r="N56"/>
      <c r="O56"/>
      <c r="P56"/>
      <c r="Q56"/>
      <c r="R56"/>
      <c r="S56"/>
      <c r="T56"/>
      <c r="U56"/>
      <c r="V56"/>
    </row>
    <row r="57" spans="1:22" x14ac:dyDescent="0.2">
      <c r="A57" s="9"/>
      <c r="B57" s="9"/>
      <c r="C57"/>
      <c r="D57"/>
      <c r="E57"/>
      <c r="F57"/>
      <c r="G57"/>
      <c r="H57"/>
      <c r="I57" s="49"/>
      <c r="J57"/>
      <c r="K57"/>
      <c r="L57"/>
      <c r="M57"/>
      <c r="N57"/>
      <c r="O57"/>
      <c r="P57"/>
      <c r="Q57"/>
      <c r="R57"/>
      <c r="S57"/>
      <c r="T57"/>
      <c r="U57"/>
      <c r="V57"/>
    </row>
    <row r="58" spans="1:22" x14ac:dyDescent="0.2">
      <c r="A58" s="9"/>
      <c r="B58" s="9"/>
      <c r="C58"/>
      <c r="D58"/>
      <c r="E58"/>
      <c r="F58"/>
      <c r="G58"/>
      <c r="H58"/>
      <c r="I58" s="49"/>
      <c r="J58"/>
      <c r="K58"/>
      <c r="L58"/>
      <c r="M58"/>
      <c r="N58"/>
      <c r="O58"/>
      <c r="P58"/>
      <c r="Q58"/>
      <c r="R58"/>
      <c r="S58"/>
      <c r="T58"/>
      <c r="U58"/>
      <c r="V58"/>
    </row>
    <row r="59" spans="1:22" x14ac:dyDescent="0.2">
      <c r="A59" s="9"/>
      <c r="B59" s="9"/>
      <c r="C59"/>
      <c r="D59"/>
      <c r="E59"/>
      <c r="F59"/>
      <c r="G59"/>
      <c r="H59"/>
      <c r="I59" s="49"/>
      <c r="J59"/>
      <c r="K59"/>
      <c r="L59"/>
      <c r="M59"/>
      <c r="N59"/>
      <c r="O59"/>
      <c r="P59"/>
      <c r="Q59"/>
      <c r="R59"/>
      <c r="S59"/>
      <c r="T59"/>
      <c r="U59"/>
      <c r="V59"/>
    </row>
    <row r="60" spans="1:22" x14ac:dyDescent="0.2">
      <c r="A60" s="9"/>
      <c r="B60" s="9"/>
      <c r="C60"/>
      <c r="D60"/>
      <c r="E60"/>
      <c r="F60"/>
      <c r="G60"/>
      <c r="H60"/>
      <c r="I60" s="49"/>
      <c r="J60"/>
      <c r="K60"/>
      <c r="L60"/>
      <c r="M60"/>
      <c r="N60"/>
      <c r="O60"/>
      <c r="P60"/>
      <c r="Q60"/>
      <c r="R60"/>
      <c r="S60"/>
      <c r="T60"/>
      <c r="U60"/>
      <c r="V60"/>
    </row>
    <row r="61" spans="1:22" x14ac:dyDescent="0.2">
      <c r="A61" s="9"/>
      <c r="B61" s="9"/>
      <c r="C61"/>
      <c r="D61"/>
      <c r="E61"/>
      <c r="F61"/>
      <c r="G61"/>
      <c r="H61"/>
      <c r="I61" s="49"/>
      <c r="J61"/>
      <c r="K61"/>
      <c r="L61"/>
      <c r="M61"/>
      <c r="N61"/>
      <c r="O61"/>
      <c r="P61"/>
      <c r="Q61"/>
      <c r="R61"/>
      <c r="S61"/>
      <c r="T61"/>
      <c r="U61"/>
      <c r="V61"/>
    </row>
    <row r="62" spans="1:22" x14ac:dyDescent="0.2">
      <c r="A62" s="9"/>
      <c r="B62" s="9"/>
      <c r="C62"/>
      <c r="D62"/>
      <c r="E62"/>
      <c r="F62"/>
      <c r="G62"/>
      <c r="H62"/>
      <c r="I62" s="49"/>
      <c r="J62"/>
      <c r="K62"/>
      <c r="L62"/>
      <c r="M62"/>
      <c r="N62"/>
      <c r="O62"/>
      <c r="P62"/>
      <c r="Q62"/>
      <c r="R62"/>
      <c r="S62"/>
      <c r="T62"/>
      <c r="U62"/>
      <c r="V62"/>
    </row>
    <row r="63" spans="1:22" x14ac:dyDescent="0.2">
      <c r="A63" s="9"/>
      <c r="B63" s="9"/>
      <c r="C63"/>
      <c r="D63"/>
      <c r="E63"/>
      <c r="F63"/>
      <c r="G63"/>
      <c r="H63"/>
      <c r="I63" s="49"/>
      <c r="J63"/>
      <c r="K63"/>
      <c r="L63"/>
      <c r="M63"/>
      <c r="N63"/>
      <c r="O63"/>
      <c r="P63"/>
      <c r="Q63"/>
      <c r="R63"/>
      <c r="S63"/>
      <c r="T63"/>
      <c r="U63"/>
      <c r="V63"/>
    </row>
    <row r="64" spans="1:22" x14ac:dyDescent="0.2">
      <c r="A64" s="9"/>
      <c r="B64" s="9"/>
      <c r="C64"/>
      <c r="D64"/>
      <c r="E64"/>
      <c r="F64"/>
      <c r="G64"/>
      <c r="H64"/>
      <c r="I64" s="49"/>
      <c r="J64"/>
      <c r="K64"/>
      <c r="L64"/>
      <c r="M64"/>
      <c r="N64"/>
      <c r="O64"/>
      <c r="P64"/>
      <c r="Q64"/>
      <c r="R64"/>
      <c r="S64"/>
      <c r="T64"/>
      <c r="U64"/>
      <c r="V64"/>
    </row>
    <row r="65" spans="1:22" x14ac:dyDescent="0.2">
      <c r="A65" s="9"/>
      <c r="B65" s="9"/>
      <c r="C65"/>
      <c r="D65"/>
      <c r="E65"/>
      <c r="F65"/>
      <c r="G65"/>
      <c r="H65"/>
      <c r="I65" s="49"/>
      <c r="J65"/>
      <c r="K65"/>
      <c r="L65"/>
      <c r="M65"/>
      <c r="N65"/>
      <c r="O65"/>
      <c r="P65"/>
      <c r="Q65"/>
      <c r="R65"/>
      <c r="S65"/>
      <c r="T65"/>
      <c r="U65"/>
      <c r="V65"/>
    </row>
    <row r="66" spans="1:22" x14ac:dyDescent="0.2">
      <c r="A66" s="9"/>
      <c r="B66" s="9"/>
      <c r="C66"/>
      <c r="D66"/>
      <c r="E66"/>
      <c r="F66"/>
      <c r="G66"/>
      <c r="H66"/>
      <c r="I66" s="49"/>
      <c r="J66"/>
      <c r="K66"/>
      <c r="L66"/>
      <c r="M66"/>
      <c r="N66"/>
      <c r="O66"/>
      <c r="P66"/>
      <c r="Q66"/>
      <c r="R66"/>
      <c r="S66"/>
      <c r="T66"/>
      <c r="U66"/>
      <c r="V66"/>
    </row>
    <row r="67" spans="1:22" x14ac:dyDescent="0.2">
      <c r="A67" s="9"/>
      <c r="B67" s="9"/>
      <c r="C67"/>
      <c r="D67"/>
      <c r="E67"/>
      <c r="F67"/>
      <c r="G67"/>
      <c r="H67"/>
      <c r="I67" s="49"/>
      <c r="J67"/>
      <c r="K67"/>
      <c r="L67"/>
      <c r="M67"/>
      <c r="N67"/>
      <c r="O67"/>
      <c r="P67"/>
      <c r="Q67"/>
      <c r="R67"/>
      <c r="S67"/>
      <c r="T67"/>
      <c r="U67"/>
      <c r="V67"/>
    </row>
    <row r="68" spans="1:22" x14ac:dyDescent="0.2">
      <c r="A68" s="9"/>
      <c r="B68" s="9"/>
      <c r="C68"/>
      <c r="D68"/>
      <c r="E68"/>
      <c r="F68"/>
      <c r="G68"/>
      <c r="H68"/>
      <c r="I68" s="49"/>
      <c r="J68"/>
      <c r="K68"/>
      <c r="L68"/>
      <c r="M68"/>
      <c r="N68"/>
      <c r="O68"/>
      <c r="P68"/>
      <c r="Q68"/>
      <c r="R68"/>
      <c r="S68"/>
      <c r="T68"/>
      <c r="U68"/>
      <c r="V68"/>
    </row>
    <row r="69" spans="1:22" x14ac:dyDescent="0.2">
      <c r="A69" s="9"/>
      <c r="B69" s="9"/>
      <c r="C69"/>
      <c r="D69"/>
      <c r="E69"/>
      <c r="F69"/>
      <c r="G69"/>
      <c r="H69"/>
      <c r="I69" s="49"/>
      <c r="J69"/>
      <c r="K69"/>
      <c r="L69"/>
      <c r="M69"/>
      <c r="N69"/>
      <c r="O69"/>
      <c r="P69"/>
      <c r="Q69"/>
      <c r="R69"/>
      <c r="S69"/>
      <c r="T69"/>
      <c r="U69"/>
      <c r="V69"/>
    </row>
    <row r="70" spans="1:22" x14ac:dyDescent="0.2">
      <c r="A70" s="9"/>
      <c r="B70" s="9"/>
      <c r="C70"/>
      <c r="D70"/>
      <c r="E70"/>
      <c r="F70"/>
      <c r="G70"/>
      <c r="H70"/>
      <c r="I70" s="49"/>
      <c r="J70"/>
      <c r="K70"/>
      <c r="L70"/>
      <c r="M70"/>
      <c r="N70"/>
      <c r="O70"/>
      <c r="P70"/>
      <c r="Q70"/>
      <c r="R70"/>
      <c r="S70"/>
      <c r="T70"/>
      <c r="U70"/>
      <c r="V70"/>
    </row>
    <row r="71" spans="1:22" x14ac:dyDescent="0.2">
      <c r="A71" s="9"/>
      <c r="B71" s="9"/>
      <c r="C71"/>
      <c r="D71"/>
      <c r="E71"/>
      <c r="F71"/>
      <c r="G71"/>
      <c r="H71"/>
      <c r="I71" s="49"/>
      <c r="J71"/>
      <c r="K71"/>
      <c r="L71"/>
      <c r="M71"/>
      <c r="N71"/>
      <c r="O71"/>
      <c r="P71"/>
      <c r="Q71"/>
      <c r="R71"/>
      <c r="S71"/>
      <c r="T71"/>
      <c r="U71"/>
      <c r="V71"/>
    </row>
    <row r="72" spans="1:22" x14ac:dyDescent="0.2">
      <c r="A72" s="9"/>
      <c r="B72" s="9"/>
      <c r="C72"/>
      <c r="D72"/>
      <c r="E72"/>
      <c r="F72"/>
      <c r="G72"/>
      <c r="H72"/>
      <c r="I72" s="49"/>
      <c r="J72"/>
      <c r="K72"/>
      <c r="L72"/>
      <c r="M72"/>
      <c r="N72"/>
      <c r="O72"/>
      <c r="P72"/>
      <c r="Q72"/>
      <c r="R72"/>
      <c r="S72"/>
      <c r="T72"/>
      <c r="U72"/>
      <c r="V72"/>
    </row>
    <row r="73" spans="1:22" x14ac:dyDescent="0.2">
      <c r="A73" s="9"/>
      <c r="B73" s="9"/>
      <c r="C73"/>
      <c r="D73"/>
      <c r="E73"/>
      <c r="F73"/>
      <c r="G73"/>
      <c r="H73"/>
      <c r="I73" s="49"/>
      <c r="J73"/>
      <c r="K73"/>
      <c r="L73"/>
      <c r="M73"/>
      <c r="N73"/>
      <c r="O73"/>
      <c r="P73"/>
      <c r="Q73"/>
      <c r="R73"/>
      <c r="S73"/>
      <c r="T73"/>
      <c r="U73"/>
      <c r="V73"/>
    </row>
    <row r="74" spans="1:22" x14ac:dyDescent="0.2">
      <c r="A74" s="9"/>
      <c r="B74" s="9"/>
      <c r="C74"/>
      <c r="D74"/>
      <c r="E74"/>
      <c r="F74"/>
      <c r="G74"/>
      <c r="H74"/>
      <c r="I74" s="49"/>
      <c r="J74"/>
      <c r="K74"/>
      <c r="L74"/>
      <c r="M74"/>
      <c r="N74"/>
      <c r="O74"/>
      <c r="P74"/>
      <c r="Q74"/>
      <c r="R74"/>
      <c r="S74"/>
      <c r="T74"/>
      <c r="U74"/>
      <c r="V74"/>
    </row>
    <row r="75" spans="1:22" x14ac:dyDescent="0.2">
      <c r="A75" s="9"/>
      <c r="B75" s="9"/>
      <c r="C75"/>
      <c r="D75"/>
      <c r="E75"/>
      <c r="F75"/>
      <c r="G75"/>
      <c r="H75"/>
      <c r="I75" s="49"/>
      <c r="J75"/>
      <c r="K75"/>
      <c r="L75"/>
      <c r="M75"/>
      <c r="N75"/>
      <c r="O75"/>
      <c r="P75"/>
      <c r="Q75"/>
      <c r="R75"/>
      <c r="S75"/>
      <c r="T75"/>
      <c r="U75"/>
      <c r="V75"/>
    </row>
    <row r="76" spans="1:22" x14ac:dyDescent="0.2">
      <c r="A76" s="9"/>
      <c r="B76" s="9"/>
      <c r="C76"/>
      <c r="D76"/>
      <c r="E76"/>
      <c r="F76"/>
      <c r="G76"/>
      <c r="H76"/>
      <c r="I76" s="49"/>
      <c r="J76"/>
      <c r="K76"/>
      <c r="L76"/>
      <c r="M76"/>
      <c r="N76"/>
      <c r="O76"/>
      <c r="P76"/>
      <c r="Q76"/>
      <c r="R76"/>
      <c r="S76"/>
      <c r="T76"/>
      <c r="U76"/>
      <c r="V76"/>
    </row>
    <row r="77" spans="1:22" x14ac:dyDescent="0.2">
      <c r="A77" s="9"/>
      <c r="B77" s="9"/>
      <c r="C77"/>
      <c r="D77"/>
      <c r="E77"/>
      <c r="F77"/>
      <c r="G77"/>
      <c r="H77"/>
      <c r="I77" s="49"/>
      <c r="J77"/>
      <c r="K77"/>
      <c r="L77"/>
      <c r="M77"/>
      <c r="N77"/>
      <c r="O77"/>
      <c r="P77"/>
      <c r="Q77"/>
      <c r="R77"/>
      <c r="S77"/>
      <c r="T77"/>
      <c r="U77"/>
      <c r="V77"/>
    </row>
    <row r="78" spans="1:22" x14ac:dyDescent="0.2">
      <c r="A78" s="9"/>
      <c r="B78" s="9"/>
      <c r="C78"/>
      <c r="D78"/>
      <c r="E78"/>
      <c r="F78"/>
      <c r="G78"/>
      <c r="H78"/>
      <c r="I78" s="49"/>
      <c r="J78"/>
      <c r="K78"/>
      <c r="L78"/>
      <c r="M78"/>
      <c r="N78"/>
      <c r="O78"/>
      <c r="P78"/>
      <c r="Q78"/>
      <c r="R78"/>
      <c r="S78"/>
      <c r="T78"/>
      <c r="U78"/>
      <c r="V78"/>
    </row>
    <row r="79" spans="1:22" x14ac:dyDescent="0.2">
      <c r="A79" s="9"/>
      <c r="B79" s="9"/>
      <c r="C79"/>
      <c r="D79"/>
      <c r="E79"/>
      <c r="F79"/>
      <c r="G79"/>
      <c r="H79"/>
      <c r="I79" s="49"/>
      <c r="J79"/>
      <c r="K79"/>
      <c r="L79"/>
      <c r="M79"/>
      <c r="N79"/>
      <c r="O79"/>
      <c r="P79"/>
      <c r="Q79"/>
      <c r="R79"/>
      <c r="S79"/>
      <c r="T79"/>
      <c r="U79"/>
      <c r="V79"/>
    </row>
    <row r="80" spans="1:22" x14ac:dyDescent="0.2">
      <c r="A80" s="9"/>
      <c r="B80" s="9"/>
      <c r="C80"/>
      <c r="D80"/>
      <c r="E80"/>
      <c r="F80"/>
      <c r="G80"/>
      <c r="H80"/>
      <c r="I80" s="49"/>
      <c r="J80"/>
      <c r="K80"/>
      <c r="L80"/>
      <c r="M80"/>
      <c r="N80"/>
      <c r="O80"/>
      <c r="P80"/>
      <c r="Q80"/>
      <c r="R80"/>
      <c r="S80"/>
      <c r="T80"/>
      <c r="U80"/>
      <c r="V80"/>
    </row>
    <row r="81" spans="1:22" x14ac:dyDescent="0.2">
      <c r="A81" s="9"/>
      <c r="B81" s="9"/>
      <c r="C81"/>
      <c r="D81"/>
      <c r="E81"/>
      <c r="F81"/>
      <c r="G81"/>
      <c r="H81"/>
      <c r="I81" s="49"/>
      <c r="J81"/>
      <c r="K81"/>
      <c r="L81"/>
      <c r="M81"/>
      <c r="N81"/>
      <c r="O81"/>
      <c r="P81"/>
      <c r="Q81"/>
      <c r="R81"/>
      <c r="S81"/>
      <c r="T81"/>
      <c r="U81"/>
      <c r="V81"/>
    </row>
    <row r="82" spans="1:22" x14ac:dyDescent="0.2">
      <c r="A82" s="9"/>
      <c r="B82" s="9"/>
      <c r="C82"/>
      <c r="D82"/>
      <c r="E82"/>
      <c r="F82"/>
      <c r="G82"/>
      <c r="H82"/>
      <c r="I82" s="49"/>
      <c r="J82"/>
      <c r="K82"/>
      <c r="L82"/>
      <c r="M82"/>
      <c r="N82"/>
      <c r="O82"/>
      <c r="P82"/>
      <c r="Q82"/>
      <c r="R82"/>
      <c r="S82"/>
      <c r="T82"/>
      <c r="U82"/>
      <c r="V82"/>
    </row>
    <row r="83" spans="1:22" x14ac:dyDescent="0.2">
      <c r="A83" s="9"/>
      <c r="B83" s="9"/>
      <c r="C83"/>
      <c r="D83"/>
      <c r="E83"/>
      <c r="F83"/>
      <c r="G83"/>
      <c r="H83"/>
      <c r="I83" s="49"/>
      <c r="J83"/>
      <c r="K83"/>
      <c r="L83"/>
      <c r="M83"/>
      <c r="N83"/>
      <c r="O83"/>
      <c r="P83"/>
      <c r="Q83"/>
      <c r="R83"/>
      <c r="S83"/>
      <c r="T83"/>
      <c r="U83"/>
      <c r="V83"/>
    </row>
    <row r="84" spans="1:22" x14ac:dyDescent="0.2">
      <c r="A84" s="9"/>
      <c r="B84" s="9"/>
      <c r="C84"/>
      <c r="D84"/>
      <c r="E84"/>
      <c r="F84"/>
      <c r="G84"/>
      <c r="H84"/>
      <c r="I84" s="49"/>
      <c r="J84"/>
      <c r="K84"/>
      <c r="L84"/>
      <c r="M84"/>
      <c r="N84"/>
      <c r="O84"/>
      <c r="P84"/>
      <c r="Q84"/>
      <c r="R84"/>
      <c r="S84"/>
      <c r="T84"/>
      <c r="U84"/>
      <c r="V84"/>
    </row>
    <row r="85" spans="1:22" x14ac:dyDescent="0.2">
      <c r="A85" s="9"/>
      <c r="B85" s="9"/>
      <c r="C85"/>
      <c r="D85"/>
      <c r="E85"/>
      <c r="F85"/>
      <c r="G85"/>
      <c r="H85"/>
      <c r="I85" s="49"/>
      <c r="J85"/>
      <c r="K85"/>
      <c r="L85"/>
      <c r="M85"/>
      <c r="N85"/>
      <c r="O85"/>
      <c r="P85"/>
      <c r="Q85"/>
      <c r="R85"/>
      <c r="S85"/>
      <c r="T85"/>
      <c r="U85"/>
      <c r="V85"/>
    </row>
    <row r="86" spans="1:22" x14ac:dyDescent="0.2">
      <c r="A86" s="9"/>
      <c r="B86" s="9"/>
      <c r="C86"/>
      <c r="D86"/>
      <c r="E86"/>
      <c r="F86"/>
      <c r="G86"/>
      <c r="H86"/>
      <c r="I86" s="49"/>
      <c r="J86"/>
      <c r="K86"/>
      <c r="L86"/>
      <c r="M86"/>
      <c r="N86"/>
      <c r="O86"/>
      <c r="P86"/>
      <c r="Q86"/>
      <c r="R86"/>
      <c r="S86"/>
      <c r="T86"/>
      <c r="U86"/>
      <c r="V86"/>
    </row>
    <row r="87" spans="1:22" x14ac:dyDescent="0.2">
      <c r="A87" s="9"/>
      <c r="B87" s="9"/>
      <c r="C87"/>
      <c r="D87"/>
      <c r="E87"/>
      <c r="F87"/>
      <c r="G87"/>
      <c r="H87"/>
      <c r="I87" s="49"/>
      <c r="J87"/>
      <c r="K87"/>
      <c r="L87"/>
      <c r="M87"/>
      <c r="N87"/>
      <c r="O87"/>
      <c r="P87"/>
      <c r="Q87"/>
      <c r="R87"/>
      <c r="S87"/>
      <c r="T87"/>
      <c r="U87"/>
      <c r="V87"/>
    </row>
    <row r="88" spans="1:22" x14ac:dyDescent="0.2">
      <c r="A88" s="9"/>
      <c r="B88" s="9"/>
      <c r="C88"/>
      <c r="D88"/>
      <c r="E88"/>
      <c r="F88"/>
      <c r="G88"/>
      <c r="H88"/>
      <c r="I88" s="49"/>
      <c r="J88"/>
      <c r="K88"/>
      <c r="L88"/>
      <c r="M88"/>
      <c r="N88"/>
      <c r="O88"/>
      <c r="P88"/>
      <c r="Q88"/>
      <c r="R88"/>
      <c r="S88"/>
      <c r="T88"/>
      <c r="U88"/>
      <c r="V88"/>
    </row>
    <row r="89" spans="1:22" x14ac:dyDescent="0.2">
      <c r="A89" s="9"/>
      <c r="B89" s="9"/>
      <c r="C89"/>
      <c r="D89"/>
      <c r="E89"/>
      <c r="F89"/>
      <c r="G89"/>
      <c r="H89"/>
      <c r="I89" s="49"/>
      <c r="J89"/>
      <c r="K89"/>
      <c r="L89"/>
      <c r="M89"/>
      <c r="N89"/>
      <c r="O89"/>
      <c r="P89"/>
      <c r="Q89"/>
      <c r="R89"/>
      <c r="S89"/>
      <c r="T89"/>
      <c r="U89"/>
      <c r="V89"/>
    </row>
    <row r="90" spans="1:22" x14ac:dyDescent="0.2">
      <c r="A90" s="9"/>
      <c r="B90" s="9"/>
      <c r="C90"/>
      <c r="D90"/>
      <c r="E90"/>
      <c r="F90"/>
      <c r="G90"/>
      <c r="H90"/>
      <c r="I90" s="49"/>
      <c r="J90"/>
      <c r="K90"/>
      <c r="L90"/>
      <c r="M90"/>
      <c r="N90"/>
      <c r="O90"/>
      <c r="P90"/>
      <c r="Q90"/>
      <c r="R90"/>
      <c r="S90"/>
      <c r="T90"/>
      <c r="U90"/>
      <c r="V90"/>
    </row>
    <row r="91" spans="1:22" x14ac:dyDescent="0.2">
      <c r="A91" s="9"/>
      <c r="B91" s="9"/>
      <c r="C91"/>
      <c r="D91"/>
      <c r="E91"/>
      <c r="F91"/>
      <c r="G91"/>
      <c r="H91"/>
      <c r="I91" s="49"/>
      <c r="J91"/>
      <c r="K91"/>
      <c r="L91"/>
      <c r="M91"/>
      <c r="N91"/>
      <c r="O91"/>
      <c r="P91"/>
      <c r="Q91"/>
      <c r="R91"/>
      <c r="S91"/>
      <c r="T91"/>
      <c r="U91"/>
      <c r="V91"/>
    </row>
    <row r="92" spans="1:22" x14ac:dyDescent="0.2">
      <c r="A92" s="9"/>
      <c r="B92" s="9"/>
      <c r="C92"/>
      <c r="D92"/>
      <c r="E92"/>
      <c r="F92"/>
      <c r="G92"/>
      <c r="H92"/>
      <c r="I92" s="49"/>
      <c r="J92"/>
      <c r="K92"/>
      <c r="L92"/>
      <c r="M92"/>
      <c r="N92"/>
      <c r="O92"/>
      <c r="P92"/>
      <c r="Q92"/>
      <c r="R92"/>
      <c r="S92"/>
      <c r="T92"/>
      <c r="U92"/>
      <c r="V92"/>
    </row>
    <row r="93" spans="1:22" x14ac:dyDescent="0.2">
      <c r="A93" s="9"/>
      <c r="B93" s="9"/>
      <c r="C93"/>
      <c r="D93"/>
      <c r="E93"/>
      <c r="F93"/>
      <c r="G93"/>
      <c r="H93"/>
      <c r="I93" s="49"/>
      <c r="J93"/>
      <c r="K93"/>
      <c r="L93"/>
      <c r="M93"/>
      <c r="N93"/>
      <c r="O93"/>
      <c r="P93"/>
      <c r="Q93"/>
      <c r="R93"/>
      <c r="S93"/>
      <c r="T93"/>
      <c r="U93"/>
      <c r="V93"/>
    </row>
    <row r="94" spans="1:22" x14ac:dyDescent="0.2">
      <c r="A94" s="9"/>
      <c r="B94" s="9"/>
      <c r="C94"/>
      <c r="D94"/>
      <c r="E94"/>
      <c r="F94"/>
      <c r="G94"/>
      <c r="H94"/>
      <c r="I94" s="49"/>
      <c r="J94"/>
      <c r="K94"/>
      <c r="L94"/>
      <c r="M94"/>
      <c r="N94"/>
      <c r="O94"/>
      <c r="P94"/>
      <c r="Q94"/>
      <c r="R94"/>
      <c r="S94"/>
      <c r="T94"/>
      <c r="U94"/>
      <c r="V94"/>
    </row>
    <row r="95" spans="1:22" x14ac:dyDescent="0.2">
      <c r="A95" s="9"/>
      <c r="B95" s="9"/>
      <c r="C95"/>
      <c r="D95"/>
      <c r="E95"/>
      <c r="F95"/>
      <c r="G95"/>
      <c r="H95"/>
      <c r="I95" s="49"/>
      <c r="J95"/>
      <c r="K95"/>
      <c r="L95"/>
      <c r="M95"/>
      <c r="N95"/>
      <c r="O95"/>
      <c r="P95"/>
      <c r="Q95"/>
      <c r="R95"/>
      <c r="S95"/>
      <c r="T95"/>
      <c r="U95"/>
      <c r="V95"/>
    </row>
    <row r="96" spans="1:22" x14ac:dyDescent="0.2">
      <c r="A96" s="9"/>
      <c r="B96" s="9"/>
      <c r="C96"/>
      <c r="D96"/>
      <c r="E96"/>
      <c r="F96"/>
      <c r="G96"/>
      <c r="H96"/>
      <c r="I96" s="49"/>
      <c r="J96"/>
      <c r="K96"/>
      <c r="L96"/>
      <c r="M96"/>
      <c r="N96"/>
      <c r="O96"/>
      <c r="P96"/>
      <c r="Q96"/>
      <c r="R96"/>
      <c r="S96"/>
      <c r="T96"/>
      <c r="U96"/>
      <c r="V96"/>
    </row>
    <row r="97" spans="1:22" x14ac:dyDescent="0.2">
      <c r="A97" s="9"/>
      <c r="B97" s="9"/>
      <c r="C97"/>
      <c r="D97"/>
      <c r="E97"/>
      <c r="F97"/>
      <c r="G97"/>
      <c r="H97"/>
      <c r="I97" s="49"/>
      <c r="J97"/>
      <c r="K97"/>
      <c r="L97"/>
      <c r="M97"/>
      <c r="N97"/>
      <c r="O97"/>
      <c r="P97"/>
      <c r="Q97"/>
      <c r="R97"/>
      <c r="S97"/>
      <c r="T97"/>
      <c r="U97"/>
      <c r="V97"/>
    </row>
    <row r="98" spans="1:22" x14ac:dyDescent="0.2">
      <c r="A98" s="9"/>
      <c r="B98" s="9"/>
      <c r="C98"/>
      <c r="D98"/>
      <c r="E98"/>
      <c r="F98"/>
      <c r="G98"/>
      <c r="H98"/>
      <c r="I98" s="49"/>
      <c r="J98"/>
      <c r="K98"/>
      <c r="L98"/>
      <c r="M98"/>
      <c r="N98"/>
      <c r="O98"/>
      <c r="P98"/>
      <c r="Q98"/>
      <c r="R98"/>
      <c r="S98"/>
      <c r="T98"/>
      <c r="U98"/>
      <c r="V98"/>
    </row>
    <row r="99" spans="1:22" x14ac:dyDescent="0.2">
      <c r="A99" s="9"/>
      <c r="B99" s="9"/>
      <c r="C99"/>
      <c r="D99"/>
      <c r="E99"/>
      <c r="F99"/>
      <c r="G99"/>
      <c r="H99"/>
      <c r="I99" s="49"/>
      <c r="J99"/>
      <c r="K99"/>
      <c r="L99"/>
      <c r="M99"/>
      <c r="N99"/>
      <c r="O99"/>
      <c r="P99"/>
      <c r="Q99"/>
      <c r="R99"/>
      <c r="S99"/>
      <c r="T99"/>
      <c r="U99"/>
      <c r="V99"/>
    </row>
    <row r="100" spans="1:22" x14ac:dyDescent="0.2">
      <c r="A100" s="9"/>
      <c r="B100" s="9"/>
      <c r="C100"/>
      <c r="D100"/>
      <c r="E100"/>
      <c r="F100"/>
      <c r="G100"/>
      <c r="H100"/>
      <c r="I100" s="49"/>
      <c r="J100"/>
      <c r="K100"/>
      <c r="L100"/>
      <c r="M100"/>
      <c r="N100"/>
      <c r="O100"/>
      <c r="P100"/>
      <c r="Q100"/>
      <c r="R100"/>
      <c r="S100"/>
      <c r="T100"/>
      <c r="U100"/>
      <c r="V100"/>
    </row>
    <row r="101" spans="1:22" x14ac:dyDescent="0.2">
      <c r="A101" s="9"/>
      <c r="B101" s="9"/>
      <c r="C101"/>
      <c r="D101"/>
      <c r="E101"/>
      <c r="F101"/>
      <c r="G101"/>
      <c r="H101"/>
      <c r="I101" s="49"/>
      <c r="J101"/>
      <c r="K101"/>
      <c r="L101"/>
      <c r="M101"/>
      <c r="N101"/>
      <c r="O101"/>
      <c r="P101"/>
      <c r="Q101"/>
      <c r="R101"/>
      <c r="S101"/>
      <c r="T101"/>
      <c r="U101"/>
      <c r="V101"/>
    </row>
    <row r="102" spans="1:22" x14ac:dyDescent="0.2">
      <c r="A102" s="9"/>
      <c r="B102" s="9"/>
      <c r="C102"/>
      <c r="D102"/>
      <c r="E102"/>
      <c r="F102"/>
      <c r="G102"/>
      <c r="H102"/>
      <c r="I102" s="49"/>
      <c r="J102"/>
      <c r="K102"/>
      <c r="L102"/>
      <c r="M102"/>
      <c r="N102"/>
      <c r="O102"/>
      <c r="P102"/>
      <c r="Q102"/>
      <c r="R102"/>
      <c r="S102"/>
      <c r="T102"/>
      <c r="U102"/>
      <c r="V102"/>
    </row>
    <row r="103" spans="1:22" x14ac:dyDescent="0.2">
      <c r="A103" s="9"/>
      <c r="B103" s="9"/>
      <c r="C103"/>
      <c r="D103"/>
      <c r="E103"/>
      <c r="F103"/>
      <c r="G103"/>
      <c r="H103"/>
      <c r="I103" s="49"/>
      <c r="J103"/>
      <c r="K103"/>
      <c r="L103"/>
      <c r="M103"/>
      <c r="N103"/>
      <c r="O103"/>
      <c r="P103"/>
      <c r="Q103"/>
      <c r="R103"/>
      <c r="S103"/>
      <c r="T103"/>
      <c r="U103"/>
      <c r="V103"/>
    </row>
    <row r="104" spans="1:22" x14ac:dyDescent="0.2">
      <c r="A104" s="9"/>
      <c r="B104" s="9"/>
      <c r="C104"/>
      <c r="D104"/>
      <c r="E104"/>
      <c r="F104"/>
      <c r="G104"/>
      <c r="H104"/>
      <c r="I104" s="49"/>
      <c r="J104"/>
      <c r="K104"/>
      <c r="L104"/>
      <c r="M104"/>
      <c r="N104"/>
      <c r="O104"/>
      <c r="P104"/>
      <c r="Q104"/>
      <c r="R104"/>
      <c r="S104"/>
      <c r="T104"/>
      <c r="U104"/>
      <c r="V104"/>
    </row>
    <row r="105" spans="1:22" x14ac:dyDescent="0.2">
      <c r="A105" s="9"/>
      <c r="B105" s="9"/>
      <c r="C105"/>
      <c r="D105"/>
      <c r="E105"/>
      <c r="F105"/>
      <c r="G105"/>
      <c r="H105"/>
      <c r="I105" s="49"/>
      <c r="J105"/>
      <c r="K105"/>
      <c r="L105"/>
      <c r="M105"/>
      <c r="N105"/>
      <c r="O105"/>
      <c r="P105"/>
      <c r="Q105"/>
      <c r="R105"/>
      <c r="S105"/>
      <c r="T105"/>
      <c r="U105"/>
      <c r="V105"/>
    </row>
    <row r="106" spans="1:22" x14ac:dyDescent="0.2">
      <c r="A106" s="9"/>
      <c r="B106" s="9"/>
      <c r="C106"/>
      <c r="D106"/>
      <c r="E106"/>
      <c r="F106"/>
      <c r="G106"/>
      <c r="H106"/>
      <c r="I106" s="49"/>
      <c r="J106"/>
      <c r="K106"/>
      <c r="L106"/>
      <c r="M106"/>
      <c r="N106"/>
      <c r="O106"/>
      <c r="P106"/>
      <c r="Q106"/>
      <c r="R106"/>
      <c r="S106"/>
      <c r="T106"/>
      <c r="U106"/>
      <c r="V106"/>
    </row>
    <row r="107" spans="1:22" x14ac:dyDescent="0.2">
      <c r="A107" s="9"/>
      <c r="B107" s="9"/>
      <c r="C107"/>
      <c r="D107"/>
      <c r="E107"/>
      <c r="F107"/>
      <c r="G107"/>
      <c r="H107"/>
      <c r="I107" s="49"/>
      <c r="J107"/>
      <c r="K107"/>
      <c r="L107"/>
      <c r="M107"/>
      <c r="N107"/>
      <c r="O107"/>
      <c r="P107"/>
      <c r="Q107"/>
      <c r="R107"/>
      <c r="S107"/>
      <c r="T107"/>
      <c r="U107"/>
      <c r="V107"/>
    </row>
    <row r="108" spans="1:22" x14ac:dyDescent="0.2">
      <c r="A108" s="9"/>
      <c r="B108" s="9"/>
      <c r="C108"/>
      <c r="D108"/>
      <c r="E108"/>
      <c r="F108"/>
      <c r="G108"/>
      <c r="H108"/>
      <c r="I108" s="49"/>
      <c r="J108"/>
      <c r="K108"/>
      <c r="L108"/>
      <c r="M108"/>
      <c r="N108"/>
      <c r="O108"/>
      <c r="P108"/>
      <c r="Q108"/>
      <c r="R108"/>
      <c r="S108"/>
      <c r="T108"/>
      <c r="U108"/>
      <c r="V108"/>
    </row>
    <row r="109" spans="1:22" x14ac:dyDescent="0.2">
      <c r="A109" s="9"/>
      <c r="B109" s="9"/>
      <c r="C109"/>
      <c r="D109"/>
      <c r="E109"/>
      <c r="F109"/>
      <c r="G109"/>
      <c r="H109"/>
      <c r="I109" s="49"/>
      <c r="J109"/>
      <c r="K109"/>
      <c r="L109"/>
      <c r="M109"/>
      <c r="N109"/>
      <c r="O109"/>
      <c r="P109"/>
      <c r="Q109"/>
      <c r="R109"/>
      <c r="S109"/>
      <c r="T109"/>
      <c r="U109"/>
      <c r="V109"/>
    </row>
    <row r="110" spans="1:22" x14ac:dyDescent="0.2">
      <c r="A110" s="9"/>
      <c r="B110" s="9"/>
      <c r="C110"/>
      <c r="D110"/>
      <c r="E110"/>
      <c r="F110"/>
      <c r="G110"/>
      <c r="H110"/>
      <c r="I110" s="49"/>
      <c r="J110"/>
      <c r="K110"/>
      <c r="L110"/>
      <c r="M110"/>
      <c r="N110"/>
      <c r="O110"/>
      <c r="P110"/>
      <c r="Q110"/>
      <c r="R110"/>
      <c r="S110"/>
      <c r="T110"/>
      <c r="U110"/>
      <c r="V110"/>
    </row>
    <row r="111" spans="1:22" x14ac:dyDescent="0.2">
      <c r="A111" s="9"/>
      <c r="B111" s="9"/>
      <c r="C111"/>
      <c r="D111"/>
      <c r="E111"/>
      <c r="F111"/>
      <c r="G111"/>
      <c r="H111"/>
      <c r="I111" s="49"/>
      <c r="J111"/>
      <c r="K111"/>
      <c r="L111"/>
      <c r="M111"/>
      <c r="N111"/>
      <c r="O111"/>
      <c r="P111"/>
      <c r="Q111"/>
      <c r="R111"/>
      <c r="S111"/>
      <c r="T111"/>
      <c r="U111"/>
      <c r="V111"/>
    </row>
    <row r="112" spans="1:22" x14ac:dyDescent="0.2">
      <c r="A112" s="9"/>
      <c r="B112" s="9"/>
      <c r="C112"/>
      <c r="D112"/>
      <c r="E112"/>
      <c r="F112"/>
      <c r="G112"/>
      <c r="H112"/>
      <c r="I112" s="49"/>
      <c r="J112"/>
      <c r="K112"/>
      <c r="L112"/>
      <c r="M112"/>
      <c r="N112"/>
      <c r="O112"/>
      <c r="P112"/>
      <c r="Q112"/>
      <c r="R112"/>
      <c r="S112"/>
      <c r="T112"/>
      <c r="U112"/>
      <c r="V112"/>
    </row>
    <row r="113" spans="1:22" x14ac:dyDescent="0.2">
      <c r="A113" s="9"/>
      <c r="B113" s="9"/>
      <c r="C113"/>
      <c r="D113"/>
      <c r="E113"/>
      <c r="F113"/>
      <c r="G113"/>
      <c r="H113"/>
      <c r="I113" s="49"/>
      <c r="J113"/>
      <c r="K113"/>
      <c r="L113"/>
      <c r="M113"/>
      <c r="N113"/>
      <c r="O113"/>
      <c r="P113"/>
      <c r="Q113"/>
      <c r="R113"/>
      <c r="S113"/>
      <c r="T113"/>
      <c r="U113"/>
      <c r="V113"/>
    </row>
    <row r="114" spans="1:22" x14ac:dyDescent="0.2">
      <c r="A114" s="9"/>
      <c r="B114" s="9"/>
      <c r="C114"/>
      <c r="D114"/>
      <c r="E114"/>
      <c r="F114"/>
      <c r="G114"/>
      <c r="H114"/>
      <c r="I114" s="49"/>
      <c r="J114"/>
      <c r="K114"/>
      <c r="L114"/>
      <c r="M114"/>
      <c r="N114"/>
      <c r="O114"/>
      <c r="P114"/>
      <c r="Q114"/>
      <c r="R114"/>
      <c r="S114"/>
      <c r="T114"/>
      <c r="U114"/>
      <c r="V114"/>
    </row>
    <row r="115" spans="1:22" x14ac:dyDescent="0.2">
      <c r="A115" s="9"/>
      <c r="B115" s="9"/>
      <c r="C115"/>
      <c r="D115"/>
      <c r="E115"/>
      <c r="F115"/>
      <c r="G115"/>
      <c r="H115"/>
      <c r="I115" s="49"/>
      <c r="J115"/>
      <c r="K115"/>
      <c r="L115"/>
      <c r="M115"/>
      <c r="N115"/>
      <c r="O115"/>
      <c r="P115"/>
      <c r="Q115"/>
      <c r="R115"/>
      <c r="S115"/>
      <c r="T115"/>
      <c r="U115"/>
      <c r="V115"/>
    </row>
    <row r="116" spans="1:22" x14ac:dyDescent="0.2">
      <c r="A116" s="9"/>
      <c r="B116" s="9"/>
      <c r="C116"/>
      <c r="D116"/>
      <c r="E116"/>
      <c r="F116"/>
      <c r="G116"/>
      <c r="H116"/>
      <c r="I116" s="49"/>
      <c r="J116"/>
      <c r="K116"/>
      <c r="L116"/>
      <c r="M116"/>
      <c r="N116"/>
      <c r="O116"/>
      <c r="P116"/>
      <c r="Q116"/>
      <c r="R116"/>
      <c r="S116"/>
      <c r="T116"/>
      <c r="U116"/>
      <c r="V116"/>
    </row>
    <row r="117" spans="1:22" x14ac:dyDescent="0.2">
      <c r="A117" s="9"/>
      <c r="B117" s="9"/>
      <c r="C117"/>
      <c r="D117"/>
      <c r="E117"/>
      <c r="F117"/>
      <c r="G117"/>
      <c r="H117"/>
      <c r="I117" s="49"/>
      <c r="J117"/>
      <c r="K117"/>
      <c r="L117"/>
      <c r="M117"/>
      <c r="N117"/>
      <c r="O117"/>
      <c r="P117"/>
      <c r="Q117"/>
      <c r="R117"/>
      <c r="S117"/>
      <c r="T117"/>
      <c r="U117"/>
      <c r="V117"/>
    </row>
    <row r="118" spans="1:22" x14ac:dyDescent="0.2">
      <c r="A118" s="9"/>
      <c r="B118" s="9"/>
      <c r="C118"/>
      <c r="D118"/>
      <c r="E118"/>
      <c r="F118"/>
      <c r="G118"/>
      <c r="H118"/>
      <c r="I118" s="49"/>
      <c r="J118"/>
      <c r="K118"/>
      <c r="L118"/>
      <c r="M118"/>
      <c r="N118"/>
      <c r="O118"/>
      <c r="P118"/>
      <c r="Q118"/>
      <c r="R118"/>
      <c r="S118"/>
      <c r="T118"/>
      <c r="U118"/>
      <c r="V118"/>
    </row>
    <row r="119" spans="1:22" x14ac:dyDescent="0.2">
      <c r="A119" s="9"/>
      <c r="B119" s="9"/>
      <c r="C119"/>
      <c r="D119"/>
      <c r="E119"/>
      <c r="F119"/>
      <c r="G119"/>
      <c r="H119"/>
      <c r="I119" s="49"/>
      <c r="J119"/>
      <c r="K119"/>
      <c r="L119"/>
      <c r="M119"/>
      <c r="N119"/>
      <c r="O119"/>
      <c r="P119"/>
      <c r="Q119"/>
      <c r="R119"/>
      <c r="S119"/>
      <c r="T119"/>
      <c r="U119"/>
      <c r="V119"/>
    </row>
    <row r="120" spans="1:22" x14ac:dyDescent="0.2">
      <c r="A120" s="9"/>
      <c r="B120" s="9"/>
      <c r="C120"/>
      <c r="D120"/>
      <c r="E120"/>
      <c r="F120"/>
      <c r="G120"/>
      <c r="H120"/>
      <c r="I120" s="49"/>
      <c r="J120"/>
      <c r="K120"/>
      <c r="L120"/>
      <c r="M120"/>
      <c r="N120"/>
      <c r="O120"/>
      <c r="P120"/>
      <c r="Q120"/>
      <c r="R120"/>
      <c r="S120"/>
      <c r="T120"/>
      <c r="U120"/>
      <c r="V120"/>
    </row>
    <row r="121" spans="1:22" x14ac:dyDescent="0.2">
      <c r="A121" s="9"/>
      <c r="B121" s="9"/>
      <c r="C121"/>
      <c r="D121"/>
      <c r="E121"/>
      <c r="F121"/>
      <c r="G121"/>
      <c r="H121"/>
      <c r="I121" s="49"/>
      <c r="J121"/>
      <c r="K121"/>
      <c r="L121"/>
      <c r="M121"/>
      <c r="N121"/>
      <c r="O121"/>
      <c r="P121"/>
      <c r="Q121"/>
      <c r="R121"/>
      <c r="S121"/>
      <c r="T121"/>
      <c r="U121"/>
      <c r="V121"/>
    </row>
    <row r="122" spans="1:22" x14ac:dyDescent="0.2">
      <c r="A122" s="9"/>
      <c r="B122" s="9"/>
      <c r="C122"/>
      <c r="D122"/>
      <c r="E122"/>
      <c r="F122"/>
      <c r="G122"/>
      <c r="H122"/>
      <c r="I122" s="49"/>
      <c r="J122"/>
      <c r="K122"/>
      <c r="L122"/>
      <c r="M122"/>
      <c r="N122"/>
      <c r="O122"/>
      <c r="P122"/>
      <c r="Q122"/>
      <c r="R122"/>
      <c r="S122"/>
      <c r="T122"/>
      <c r="U122"/>
      <c r="V122"/>
    </row>
    <row r="123" spans="1:22" x14ac:dyDescent="0.2">
      <c r="A123" s="9"/>
      <c r="B123" s="9"/>
      <c r="C123"/>
      <c r="D123"/>
      <c r="E123"/>
      <c r="F123"/>
      <c r="G123"/>
      <c r="H123"/>
      <c r="I123" s="49"/>
      <c r="J123"/>
      <c r="K123"/>
      <c r="L123"/>
      <c r="M123"/>
      <c r="N123"/>
      <c r="O123"/>
      <c r="P123"/>
      <c r="Q123"/>
      <c r="R123"/>
      <c r="S123"/>
      <c r="T123"/>
      <c r="U123"/>
      <c r="V123"/>
    </row>
    <row r="124" spans="1:22" x14ac:dyDescent="0.2">
      <c r="A124" s="9"/>
      <c r="B124" s="9"/>
      <c r="C124"/>
      <c r="D124"/>
      <c r="E124"/>
      <c r="F124"/>
      <c r="G124"/>
      <c r="H124"/>
      <c r="I124" s="49"/>
      <c r="J124"/>
      <c r="K124"/>
      <c r="L124"/>
      <c r="M124"/>
      <c r="N124"/>
      <c r="O124"/>
      <c r="P124"/>
      <c r="Q124"/>
      <c r="R124"/>
      <c r="S124"/>
      <c r="T124"/>
      <c r="U124"/>
      <c r="V124"/>
    </row>
    <row r="125" spans="1:22" x14ac:dyDescent="0.2">
      <c r="A125" s="9"/>
      <c r="B125" s="9"/>
      <c r="C125"/>
      <c r="D125"/>
      <c r="E125"/>
      <c r="F125"/>
      <c r="G125"/>
      <c r="H125"/>
      <c r="I125" s="49"/>
      <c r="J125"/>
      <c r="K125"/>
      <c r="L125"/>
      <c r="M125"/>
      <c r="N125"/>
      <c r="O125"/>
      <c r="P125"/>
      <c r="Q125"/>
      <c r="R125"/>
      <c r="S125"/>
      <c r="T125"/>
      <c r="U125"/>
      <c r="V125"/>
    </row>
    <row r="126" spans="1:22" x14ac:dyDescent="0.2">
      <c r="A126" s="9"/>
      <c r="B126" s="9"/>
      <c r="C126"/>
      <c r="D126"/>
      <c r="E126"/>
      <c r="F126"/>
      <c r="G126"/>
      <c r="H126"/>
      <c r="I126" s="49"/>
      <c r="J126"/>
      <c r="K126"/>
      <c r="L126"/>
      <c r="M126"/>
      <c r="N126"/>
      <c r="O126"/>
      <c r="P126"/>
      <c r="Q126"/>
      <c r="R126"/>
      <c r="S126"/>
      <c r="T126"/>
      <c r="U126"/>
      <c r="V126"/>
    </row>
    <row r="127" spans="1:22" x14ac:dyDescent="0.2">
      <c r="A127" s="9"/>
      <c r="B127" s="9"/>
      <c r="C127"/>
      <c r="D127"/>
      <c r="E127"/>
      <c r="F127"/>
      <c r="G127"/>
      <c r="H127"/>
      <c r="I127" s="49"/>
      <c r="J127"/>
      <c r="K127"/>
      <c r="L127"/>
      <c r="M127"/>
      <c r="N127"/>
      <c r="O127"/>
      <c r="P127"/>
      <c r="Q127"/>
      <c r="R127"/>
      <c r="S127"/>
      <c r="T127"/>
      <c r="U127"/>
      <c r="V127"/>
    </row>
    <row r="128" spans="1:22" x14ac:dyDescent="0.2">
      <c r="A128" s="9"/>
      <c r="B128" s="9"/>
      <c r="C128"/>
      <c r="D128"/>
      <c r="E128"/>
      <c r="F128"/>
      <c r="G128"/>
      <c r="H128"/>
      <c r="I128" s="49"/>
      <c r="J128"/>
      <c r="K128"/>
      <c r="L128"/>
      <c r="M128"/>
      <c r="N128"/>
      <c r="O128"/>
      <c r="P128"/>
      <c r="Q128"/>
      <c r="R128"/>
      <c r="S128"/>
      <c r="T128"/>
      <c r="U128"/>
      <c r="V128"/>
    </row>
    <row r="129" spans="1:22" x14ac:dyDescent="0.2">
      <c r="A129" s="9"/>
      <c r="B129" s="9"/>
      <c r="C129"/>
      <c r="D129"/>
      <c r="E129"/>
      <c r="F129"/>
      <c r="G129"/>
      <c r="H129"/>
      <c r="I129" s="49"/>
      <c r="J129"/>
      <c r="K129"/>
      <c r="L129"/>
      <c r="M129"/>
      <c r="N129"/>
      <c r="O129"/>
      <c r="P129"/>
      <c r="Q129"/>
      <c r="R129"/>
      <c r="S129"/>
      <c r="T129"/>
      <c r="U129"/>
      <c r="V129"/>
    </row>
    <row r="130" spans="1:22" x14ac:dyDescent="0.2">
      <c r="A130" s="9"/>
      <c r="B130" s="9"/>
      <c r="C130"/>
      <c r="D130"/>
      <c r="E130"/>
      <c r="F130"/>
      <c r="G130"/>
      <c r="H130"/>
      <c r="I130" s="49"/>
      <c r="J130"/>
      <c r="K130"/>
      <c r="L130"/>
      <c r="M130"/>
      <c r="N130"/>
      <c r="O130"/>
      <c r="P130"/>
      <c r="Q130"/>
      <c r="R130"/>
      <c r="S130"/>
      <c r="T130"/>
      <c r="U130"/>
      <c r="V130"/>
    </row>
    <row r="131" spans="1:22" x14ac:dyDescent="0.2">
      <c r="A131" s="9"/>
      <c r="B131" s="9"/>
      <c r="C131"/>
      <c r="D131"/>
      <c r="E131"/>
      <c r="F131"/>
      <c r="G131"/>
      <c r="H131"/>
      <c r="I131" s="49"/>
      <c r="J131"/>
      <c r="K131"/>
      <c r="L131"/>
      <c r="M131"/>
      <c r="N131"/>
      <c r="O131"/>
      <c r="P131"/>
      <c r="Q131"/>
      <c r="R131"/>
      <c r="S131"/>
      <c r="T131"/>
      <c r="U131"/>
      <c r="V131"/>
    </row>
    <row r="132" spans="1:22" x14ac:dyDescent="0.2">
      <c r="A132" s="9"/>
      <c r="B132" s="9"/>
      <c r="C132"/>
      <c r="D132"/>
      <c r="E132"/>
      <c r="F132"/>
      <c r="G132"/>
      <c r="H132"/>
      <c r="I132" s="49"/>
      <c r="J132"/>
      <c r="K132"/>
      <c r="L132"/>
      <c r="M132"/>
      <c r="N132"/>
      <c r="O132"/>
      <c r="P132"/>
      <c r="Q132"/>
      <c r="R132"/>
      <c r="S132"/>
      <c r="T132"/>
      <c r="U132"/>
      <c r="V132"/>
    </row>
    <row r="133" spans="1:22" x14ac:dyDescent="0.2">
      <c r="A133" s="9"/>
      <c r="B133" s="9"/>
      <c r="C133"/>
      <c r="D133"/>
      <c r="E133"/>
      <c r="F133"/>
      <c r="G133"/>
      <c r="H133"/>
      <c r="I133" s="49"/>
      <c r="J133"/>
      <c r="K133"/>
      <c r="L133"/>
      <c r="M133"/>
      <c r="N133"/>
      <c r="O133"/>
      <c r="P133"/>
      <c r="Q133"/>
      <c r="R133"/>
      <c r="S133"/>
      <c r="T133"/>
      <c r="U133"/>
      <c r="V133"/>
    </row>
    <row r="134" spans="1:22" x14ac:dyDescent="0.2">
      <c r="A134" s="9"/>
      <c r="B134" s="9"/>
      <c r="C134"/>
      <c r="D134"/>
      <c r="E134"/>
      <c r="F134"/>
      <c r="G134"/>
      <c r="H134"/>
      <c r="I134" s="49"/>
      <c r="J134"/>
      <c r="K134"/>
      <c r="L134"/>
      <c r="M134"/>
      <c r="N134"/>
      <c r="O134"/>
      <c r="P134"/>
      <c r="Q134"/>
      <c r="R134"/>
      <c r="S134"/>
      <c r="T134"/>
      <c r="U134"/>
      <c r="V134"/>
    </row>
    <row r="135" spans="1:22" x14ac:dyDescent="0.2">
      <c r="A135" s="9"/>
      <c r="B135" s="9"/>
      <c r="C135"/>
      <c r="D135"/>
      <c r="E135"/>
      <c r="F135"/>
      <c r="G135"/>
      <c r="H135"/>
      <c r="I135" s="49"/>
      <c r="J135"/>
      <c r="K135"/>
      <c r="L135"/>
      <c r="M135"/>
      <c r="N135"/>
      <c r="O135"/>
      <c r="P135"/>
      <c r="Q135"/>
      <c r="R135"/>
      <c r="S135"/>
      <c r="T135"/>
      <c r="U135"/>
      <c r="V135"/>
    </row>
    <row r="136" spans="1:22" x14ac:dyDescent="0.2">
      <c r="A136" s="9"/>
      <c r="B136" s="9"/>
      <c r="C136"/>
      <c r="D136"/>
      <c r="E136"/>
      <c r="F136"/>
      <c r="G136"/>
      <c r="H136"/>
      <c r="I136" s="49"/>
      <c r="J136"/>
      <c r="K136"/>
      <c r="L136"/>
      <c r="M136"/>
      <c r="N136"/>
      <c r="O136"/>
      <c r="P136"/>
      <c r="Q136"/>
      <c r="R136"/>
      <c r="S136"/>
      <c r="T136"/>
      <c r="U136"/>
      <c r="V136"/>
    </row>
    <row r="137" spans="1:22" x14ac:dyDescent="0.2">
      <c r="A137" s="9"/>
      <c r="B137" s="9"/>
      <c r="C137"/>
      <c r="D137"/>
      <c r="E137"/>
      <c r="F137"/>
      <c r="G137"/>
      <c r="H137"/>
      <c r="I137" s="49"/>
      <c r="J137"/>
      <c r="K137"/>
      <c r="L137"/>
      <c r="M137"/>
      <c r="N137"/>
      <c r="O137"/>
      <c r="P137"/>
      <c r="Q137"/>
      <c r="R137"/>
      <c r="S137"/>
      <c r="T137"/>
      <c r="U137"/>
      <c r="V137"/>
    </row>
    <row r="138" spans="1:22" x14ac:dyDescent="0.2">
      <c r="A138" s="9"/>
      <c r="B138" s="9"/>
      <c r="C138"/>
      <c r="D138"/>
      <c r="E138"/>
      <c r="F138"/>
      <c r="G138"/>
      <c r="H138"/>
      <c r="I138" s="49"/>
      <c r="J138"/>
      <c r="K138"/>
      <c r="L138"/>
      <c r="M138"/>
      <c r="N138"/>
      <c r="O138"/>
      <c r="P138"/>
      <c r="Q138"/>
      <c r="R138"/>
      <c r="S138"/>
      <c r="T138"/>
      <c r="U138"/>
      <c r="V138"/>
    </row>
    <row r="139" spans="1:22" x14ac:dyDescent="0.2">
      <c r="A139" s="9"/>
      <c r="B139" s="9"/>
      <c r="C139"/>
      <c r="D139"/>
      <c r="E139"/>
      <c r="F139"/>
      <c r="G139"/>
      <c r="H139"/>
      <c r="I139" s="49"/>
      <c r="J139"/>
      <c r="K139"/>
      <c r="L139"/>
      <c r="M139"/>
      <c r="N139"/>
      <c r="O139"/>
      <c r="P139"/>
      <c r="Q139"/>
      <c r="R139"/>
      <c r="S139"/>
      <c r="T139"/>
      <c r="U139"/>
      <c r="V139"/>
    </row>
    <row r="140" spans="1:22" x14ac:dyDescent="0.2">
      <c r="A140" s="9"/>
      <c r="B140" s="9"/>
      <c r="C140"/>
      <c r="D140"/>
      <c r="E140"/>
      <c r="F140"/>
      <c r="G140"/>
      <c r="H140"/>
      <c r="I140" s="49"/>
      <c r="J140"/>
      <c r="K140"/>
      <c r="L140"/>
      <c r="M140"/>
      <c r="N140"/>
      <c r="O140"/>
      <c r="P140"/>
      <c r="Q140"/>
      <c r="R140"/>
      <c r="S140"/>
      <c r="T140"/>
      <c r="U140"/>
      <c r="V140"/>
    </row>
    <row r="141" spans="1:22" x14ac:dyDescent="0.2">
      <c r="A141" s="9"/>
      <c r="B141" s="9"/>
      <c r="C141"/>
      <c r="D141"/>
      <c r="E141"/>
      <c r="F141"/>
      <c r="G141"/>
      <c r="H141"/>
      <c r="I141" s="49"/>
      <c r="J141"/>
      <c r="K141"/>
      <c r="L141"/>
      <c r="M141"/>
      <c r="N141"/>
      <c r="O141"/>
      <c r="P141"/>
      <c r="Q141"/>
      <c r="R141"/>
      <c r="S141"/>
      <c r="T141"/>
      <c r="U141"/>
      <c r="V141"/>
    </row>
    <row r="142" spans="1:22" x14ac:dyDescent="0.2">
      <c r="A142" s="9"/>
      <c r="B142" s="9"/>
      <c r="C142"/>
      <c r="D142"/>
      <c r="E142"/>
      <c r="F142"/>
      <c r="G142"/>
      <c r="H142"/>
      <c r="I142" s="49"/>
      <c r="J142"/>
      <c r="K142"/>
      <c r="L142"/>
      <c r="M142"/>
      <c r="N142"/>
      <c r="O142"/>
      <c r="P142"/>
      <c r="Q142"/>
      <c r="R142"/>
      <c r="S142"/>
      <c r="T142"/>
      <c r="U142"/>
      <c r="V142"/>
    </row>
    <row r="143" spans="1:22" x14ac:dyDescent="0.2">
      <c r="A143" s="9"/>
      <c r="B143" s="9"/>
      <c r="C143"/>
      <c r="D143"/>
      <c r="E143"/>
      <c r="F143"/>
      <c r="G143"/>
      <c r="H143"/>
      <c r="I143" s="49"/>
      <c r="J143"/>
      <c r="K143"/>
      <c r="L143"/>
      <c r="M143"/>
      <c r="N143"/>
      <c r="O143"/>
      <c r="P143"/>
      <c r="Q143"/>
      <c r="R143"/>
      <c r="S143"/>
      <c r="T143"/>
      <c r="U143"/>
      <c r="V143"/>
    </row>
    <row r="144" spans="1:22" x14ac:dyDescent="0.2">
      <c r="A144" s="9"/>
      <c r="B144" s="9"/>
      <c r="C144"/>
      <c r="D144"/>
      <c r="E144"/>
      <c r="F144"/>
      <c r="G144"/>
      <c r="H144"/>
      <c r="I144" s="49"/>
      <c r="J144"/>
      <c r="K144"/>
      <c r="L144"/>
      <c r="M144"/>
      <c r="N144"/>
      <c r="O144"/>
      <c r="P144"/>
      <c r="Q144"/>
      <c r="R144"/>
      <c r="S144"/>
      <c r="T144"/>
      <c r="U144"/>
      <c r="V144"/>
    </row>
    <row r="145" spans="3:22" x14ac:dyDescent="0.2">
      <c r="C145"/>
      <c r="D145"/>
      <c r="E145"/>
      <c r="F145"/>
      <c r="G145"/>
      <c r="H145"/>
      <c r="I145" s="49"/>
      <c r="J145"/>
      <c r="K145"/>
      <c r="L145"/>
      <c r="M145"/>
      <c r="N145"/>
      <c r="O145"/>
      <c r="P145"/>
      <c r="Q145"/>
      <c r="R145"/>
      <c r="S145"/>
      <c r="T145"/>
      <c r="U145"/>
      <c r="V145"/>
    </row>
    <row r="146" spans="3:22" x14ac:dyDescent="0.2">
      <c r="C146"/>
      <c r="D146"/>
      <c r="E146"/>
      <c r="F146"/>
      <c r="G146"/>
      <c r="H146"/>
      <c r="I146" s="49"/>
      <c r="J146"/>
      <c r="K146"/>
      <c r="L146"/>
      <c r="M146"/>
      <c r="N146"/>
      <c r="O146"/>
      <c r="P146"/>
      <c r="Q146"/>
      <c r="R146"/>
      <c r="S146"/>
      <c r="T146"/>
      <c r="U146"/>
      <c r="V146"/>
    </row>
    <row r="147" spans="3:22" x14ac:dyDescent="0.2">
      <c r="C147"/>
      <c r="D147"/>
      <c r="E147"/>
      <c r="F147"/>
      <c r="G147"/>
      <c r="H147"/>
      <c r="I147" s="49"/>
      <c r="J147"/>
      <c r="K147"/>
      <c r="L147"/>
      <c r="M147"/>
      <c r="N147"/>
      <c r="O147"/>
      <c r="P147"/>
      <c r="Q147"/>
      <c r="R147"/>
      <c r="S147"/>
      <c r="T147"/>
      <c r="U147"/>
      <c r="V147"/>
    </row>
    <row r="148" spans="3:22" x14ac:dyDescent="0.2">
      <c r="C148"/>
      <c r="D148"/>
      <c r="E148"/>
      <c r="F148"/>
      <c r="G148"/>
      <c r="H148"/>
      <c r="I148" s="49"/>
      <c r="J148"/>
      <c r="K148"/>
      <c r="L148"/>
      <c r="M148"/>
      <c r="N148"/>
      <c r="O148"/>
      <c r="P148"/>
      <c r="Q148"/>
      <c r="R148"/>
      <c r="S148"/>
      <c r="T148"/>
      <c r="U148"/>
      <c r="V148"/>
    </row>
  </sheetData>
  <mergeCells count="10">
    <mergeCell ref="C4:Q4"/>
    <mergeCell ref="A6:B6"/>
    <mergeCell ref="J6:K6"/>
    <mergeCell ref="M6:P6"/>
    <mergeCell ref="I1:J3"/>
    <mergeCell ref="K1:Q1"/>
    <mergeCell ref="B2:D3"/>
    <mergeCell ref="E2:E3"/>
    <mergeCell ref="K2:Q2"/>
    <mergeCell ref="K3:Q3"/>
  </mergeCells>
  <phoneticPr fontId="9" type="noConversion"/>
  <pageMargins left="0.36" right="0.39" top="0.98" bottom="0.98" header="0.5" footer="0.5"/>
  <pageSetup paperSize="9" scale="57" fitToHeight="10" orientation="portrait" horizontalDpi="300" verticalDpi="300" r:id="rId1"/>
  <headerFooter alignWithMargins="0"/>
  <drawing r:id="rId2"/>
  <legacyDrawing r:id="rId3"/>
  <controls>
    <mc:AlternateContent xmlns:mc="http://schemas.openxmlformats.org/markup-compatibility/2006">
      <mc:Choice Requires="x14">
        <control shapeId="1041" r:id="rId4" name="CommandButton1">
          <controlPr defaultSize="0" autoLine="0" r:id="rId5">
            <anchor moveWithCells="1">
              <from>
                <xdr:col>3</xdr:col>
                <xdr:colOff>0</xdr:colOff>
                <xdr:row>0</xdr:row>
                <xdr:rowOff>304800</xdr:rowOff>
              </from>
              <to>
                <xdr:col>4</xdr:col>
                <xdr:colOff>752475</xdr:colOff>
                <xdr:row>0</xdr:row>
                <xdr:rowOff>619125</xdr:rowOff>
              </to>
            </anchor>
          </controlPr>
        </control>
      </mc:Choice>
      <mc:Fallback>
        <control shapeId="1041" r:id="rId4" name="CommandButton1"/>
      </mc:Fallback>
    </mc:AlternateContent>
    <mc:AlternateContent xmlns:mc="http://schemas.openxmlformats.org/markup-compatibility/2006">
      <mc:Choice Requires="x14">
        <control shapeId="1042" r:id="rId6" name="CommandButton2">
          <controlPr defaultSize="0" autoLine="0" r:id="rId7">
            <anchor moveWithCells="1">
              <from>
                <xdr:col>5</xdr:col>
                <xdr:colOff>0</xdr:colOff>
                <xdr:row>0</xdr:row>
                <xdr:rowOff>381000</xdr:rowOff>
              </from>
              <to>
                <xdr:col>5</xdr:col>
                <xdr:colOff>952500</xdr:colOff>
                <xdr:row>0</xdr:row>
                <xdr:rowOff>695325</xdr:rowOff>
              </to>
            </anchor>
          </controlPr>
        </control>
      </mc:Choice>
      <mc:Fallback>
        <control shapeId="1042" r:id="rId6" name="CommandButton2"/>
      </mc:Fallback>
    </mc:AlternateContent>
    <mc:AlternateContent xmlns:mc="http://schemas.openxmlformats.org/markup-compatibility/2006">
      <mc:Choice Requires="x14">
        <control shapeId="1043" r:id="rId8" name="CommandButton3">
          <controlPr defaultSize="0" autoLine="0" r:id="rId9">
            <anchor moveWithCells="1">
              <from>
                <xdr:col>6</xdr:col>
                <xdr:colOff>0</xdr:colOff>
                <xdr:row>0</xdr:row>
                <xdr:rowOff>266700</xdr:rowOff>
              </from>
              <to>
                <xdr:col>7</xdr:col>
                <xdr:colOff>504825</xdr:colOff>
                <xdr:row>0</xdr:row>
                <xdr:rowOff>571500</xdr:rowOff>
              </to>
            </anchor>
          </controlPr>
        </control>
      </mc:Choice>
      <mc:Fallback>
        <control shapeId="1043" r:id="rId8" name="CommandButton3"/>
      </mc:Fallback>
    </mc:AlternateContent>
    <mc:AlternateContent xmlns:mc="http://schemas.openxmlformats.org/markup-compatibility/2006">
      <mc:Choice Requires="x14">
        <control shapeId="1044" r:id="rId10" name="CommandButton4">
          <controlPr defaultSize="0" autoLine="0" r:id="rId11">
            <anchor moveWithCells="1">
              <from>
                <xdr:col>0</xdr:col>
                <xdr:colOff>28575</xdr:colOff>
                <xdr:row>0</xdr:row>
                <xdr:rowOff>47625</xdr:rowOff>
              </from>
              <to>
                <xdr:col>2</xdr:col>
                <xdr:colOff>9525</xdr:colOff>
                <xdr:row>0</xdr:row>
                <xdr:rowOff>619125</xdr:rowOff>
              </to>
            </anchor>
          </controlPr>
        </control>
      </mc:Choice>
      <mc:Fallback>
        <control shapeId="1044" r:id="rId10" name="CommandButton4"/>
      </mc:Fallback>
    </mc:AlternateContent>
    <mc:AlternateContent xmlns:mc="http://schemas.openxmlformats.org/markup-compatibility/2006">
      <mc:Choice Requires="x14">
        <control shapeId="1045" r:id="rId12" name="CommandButton5">
          <controlPr defaultSize="0" autoLine="0" r:id="rId13">
            <anchor moveWithCells="1">
              <from>
                <xdr:col>5</xdr:col>
                <xdr:colOff>0</xdr:colOff>
                <xdr:row>0</xdr:row>
                <xdr:rowOff>38100</xdr:rowOff>
              </from>
              <to>
                <xdr:col>5</xdr:col>
                <xdr:colOff>1495425</xdr:colOff>
                <xdr:row>0</xdr:row>
                <xdr:rowOff>352425</xdr:rowOff>
              </to>
            </anchor>
          </controlPr>
        </control>
      </mc:Choice>
      <mc:Fallback>
        <control shapeId="1045" r:id="rId12" name="CommandButton5"/>
      </mc:Fallback>
    </mc:AlternateContent>
    <mc:AlternateContent xmlns:mc="http://schemas.openxmlformats.org/markup-compatibility/2006">
      <mc:Choice Requires="x14">
        <control shapeId="1046" r:id="rId14" name="CommandButton6">
          <controlPr defaultSize="0" autoLine="0" r:id="rId15">
            <anchor moveWithCells="1">
              <from>
                <xdr:col>10</xdr:col>
                <xdr:colOff>171450</xdr:colOff>
                <xdr:row>0</xdr:row>
                <xdr:rowOff>19050</xdr:rowOff>
              </from>
              <to>
                <xdr:col>16</xdr:col>
                <xdr:colOff>781050</xdr:colOff>
                <xdr:row>0</xdr:row>
                <xdr:rowOff>333375</xdr:rowOff>
              </to>
            </anchor>
          </controlPr>
        </control>
      </mc:Choice>
      <mc:Fallback>
        <control shapeId="1046" r:id="rId14" name="CommandButton6"/>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pageSetUpPr fitToPage="1"/>
  </sheetPr>
  <dimension ref="A1:AL38"/>
  <sheetViews>
    <sheetView zoomScaleNormal="100" workbookViewId="0"/>
  </sheetViews>
  <sheetFormatPr defaultRowHeight="12.75" x14ac:dyDescent="0.2"/>
  <cols>
    <col min="1" max="1" width="9.140625" style="6"/>
    <col min="2" max="2" width="7" style="6" customWidth="1"/>
    <col min="3" max="3" width="26.42578125" style="6" customWidth="1"/>
    <col min="4" max="4" width="5.85546875" style="6" customWidth="1"/>
    <col min="5" max="9" width="2" style="6" customWidth="1"/>
    <col min="10" max="10" width="3.28515625" style="6" customWidth="1"/>
    <col min="11" max="11" width="7" style="6" customWidth="1"/>
    <col min="12" max="12" width="26.42578125" style="6" customWidth="1"/>
    <col min="13" max="13" width="5.85546875" style="6" customWidth="1"/>
    <col min="14" max="18" width="2" style="6" customWidth="1"/>
    <col min="19" max="19" width="3" style="6" customWidth="1"/>
    <col min="20" max="20" width="7" style="6" customWidth="1"/>
    <col min="21" max="21" width="26.42578125" style="6" customWidth="1"/>
    <col min="22" max="22" width="9.140625" style="6"/>
    <col min="23" max="27" width="2" style="6" customWidth="1"/>
    <col min="28" max="28" width="2.42578125" style="6" customWidth="1"/>
    <col min="29" max="29" width="7" style="6" customWidth="1"/>
    <col min="30" max="30" width="26.42578125" style="6" customWidth="1"/>
    <col min="31" max="31" width="9.140625" style="6"/>
    <col min="32" max="36" width="2" style="6" customWidth="1"/>
    <col min="37" max="37" width="4.85546875" style="6" customWidth="1"/>
    <col min="38" max="16384" width="9.140625" style="6"/>
  </cols>
  <sheetData>
    <row r="1" spans="1:38" ht="18" x14ac:dyDescent="0.25">
      <c r="A1" s="39"/>
      <c r="B1" s="61" t="str">
        <f ca="1">"Finales "&amp;Voorronde!C4</f>
        <v>Finales Rayonkampioenschappen Indoor 2021, Recurve</v>
      </c>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40"/>
    </row>
    <row r="2" spans="1:38" x14ac:dyDescent="0.2">
      <c r="B2" s="15"/>
      <c r="C2" s="15"/>
      <c r="D2" s="15"/>
      <c r="E2" s="15"/>
      <c r="F2" s="15"/>
      <c r="G2" s="15"/>
      <c r="H2" s="15"/>
      <c r="I2" s="15"/>
      <c r="J2" s="15"/>
      <c r="K2" s="15"/>
      <c r="L2" s="15"/>
      <c r="M2" s="15"/>
      <c r="N2" s="15"/>
      <c r="O2" s="15"/>
      <c r="P2" s="15"/>
      <c r="Q2" s="15"/>
      <c r="R2" s="15"/>
      <c r="S2" s="15"/>
      <c r="T2" s="15"/>
      <c r="U2" s="15"/>
      <c r="V2" s="15"/>
      <c r="W2" s="15"/>
      <c r="X2" s="15"/>
      <c r="Y2" s="15"/>
      <c r="Z2" s="15"/>
      <c r="AA2" s="15"/>
      <c r="AB2" s="15"/>
      <c r="AC2" s="15"/>
      <c r="AD2" s="15"/>
      <c r="AE2" s="15"/>
    </row>
    <row r="3" spans="1:38" x14ac:dyDescent="0.2">
      <c r="B3" s="9"/>
      <c r="C3" s="84" t="s">
        <v>25</v>
      </c>
      <c r="D3" s="84"/>
      <c r="E3" s="84"/>
      <c r="F3" s="84"/>
      <c r="G3" s="84"/>
      <c r="H3" s="84"/>
      <c r="I3" s="84"/>
      <c r="J3" s="15"/>
      <c r="K3" s="15"/>
      <c r="L3" s="84" t="s">
        <v>15</v>
      </c>
      <c r="M3" s="84"/>
      <c r="N3" s="84"/>
      <c r="O3" s="84"/>
      <c r="P3" s="84"/>
      <c r="Q3" s="84"/>
      <c r="R3" s="15"/>
      <c r="S3" s="15"/>
      <c r="T3" s="15"/>
      <c r="U3" s="84" t="s">
        <v>26</v>
      </c>
      <c r="V3" s="84"/>
      <c r="W3" s="84"/>
      <c r="X3" s="84"/>
      <c r="Y3" s="84"/>
      <c r="Z3" s="84"/>
      <c r="AA3" s="15"/>
      <c r="AB3" s="15"/>
      <c r="AC3" s="15"/>
      <c r="AD3" s="84" t="s">
        <v>16</v>
      </c>
      <c r="AE3" s="84"/>
    </row>
    <row r="4" spans="1:38" x14ac:dyDescent="0.2">
      <c r="D4" s="6" t="s">
        <v>17</v>
      </c>
      <c r="E4" s="87" t="s">
        <v>14</v>
      </c>
      <c r="F4" s="87"/>
      <c r="G4" s="87"/>
      <c r="H4" s="87"/>
      <c r="I4" s="87"/>
      <c r="J4" s="13"/>
      <c r="S4" s="13"/>
      <c r="W4" s="51"/>
      <c r="X4" s="51"/>
      <c r="Y4" s="51"/>
      <c r="Z4" s="51"/>
      <c r="AA4" s="51"/>
      <c r="AB4" s="13"/>
      <c r="AF4" s="88"/>
      <c r="AG4" s="88"/>
      <c r="AH4" s="88"/>
      <c r="AI4" s="88"/>
      <c r="AJ4" s="88"/>
    </row>
    <row r="5" spans="1:38" x14ac:dyDescent="0.2">
      <c r="A5" s="6">
        <v>1</v>
      </c>
      <c r="B5" s="29"/>
      <c r="C5" s="30"/>
      <c r="D5" s="31"/>
      <c r="F5" s="28"/>
      <c r="G5" s="28"/>
      <c r="H5" s="28"/>
      <c r="I5" s="32">
        <f>E5/100+F5/10000+G5/1000000+H5/100000000</f>
        <v>0</v>
      </c>
      <c r="J5" s="14"/>
      <c r="M5" s="6" t="s">
        <v>17</v>
      </c>
      <c r="N5" s="88" t="s">
        <v>18</v>
      </c>
      <c r="O5" s="88"/>
      <c r="P5" s="88"/>
      <c r="Q5" s="88"/>
      <c r="R5" s="88"/>
    </row>
    <row r="6" spans="1:38" x14ac:dyDescent="0.2">
      <c r="B6" s="9"/>
      <c r="E6" s="86" t="str">
        <f>IF(AND(D5=D7,D5&lt;&gt;""),IF(I5&lt;&gt;I7,"","Shoot off"),"")</f>
        <v/>
      </c>
      <c r="F6" s="86"/>
      <c r="G6" s="86"/>
      <c r="H6" s="86"/>
      <c r="I6" s="86"/>
      <c r="J6" s="33"/>
      <c r="K6" s="34" t="str">
        <f>IF(D7&lt;&gt;"",IF((D5+H5)&gt;(D7+H7),B5,B7),"")</f>
        <v/>
      </c>
      <c r="L6" s="35" t="str">
        <f>IF(D7&lt;&gt;"",IF((D5+I5)&gt;(D7+I7),C5,C7),"")</f>
        <v/>
      </c>
      <c r="M6" s="31"/>
      <c r="N6" s="31"/>
      <c r="O6" s="31"/>
      <c r="P6" s="31"/>
      <c r="Q6" s="31"/>
      <c r="R6" s="36">
        <f>N6/100+O6/10000+P6/1000000+Q6/100000000</f>
        <v>0</v>
      </c>
      <c r="S6" s="14"/>
    </row>
    <row r="7" spans="1:38" x14ac:dyDescent="0.2">
      <c r="A7" s="6">
        <v>16</v>
      </c>
      <c r="B7" s="37"/>
      <c r="C7" s="31"/>
      <c r="D7" s="31"/>
      <c r="E7" s="28"/>
      <c r="F7" s="28"/>
      <c r="G7" s="28"/>
      <c r="H7" s="28"/>
      <c r="I7" s="32">
        <f>E7/100+F7/10000+G7/1000000+H7/100000000</f>
        <v>0</v>
      </c>
      <c r="J7" s="14"/>
      <c r="V7" s="6" t="s">
        <v>17</v>
      </c>
      <c r="W7" s="87" t="s">
        <v>18</v>
      </c>
      <c r="X7" s="87"/>
      <c r="Y7" s="87"/>
      <c r="Z7" s="87"/>
      <c r="AA7" s="87"/>
    </row>
    <row r="8" spans="1:38" x14ac:dyDescent="0.2">
      <c r="B8" s="9"/>
      <c r="N8" s="85" t="str">
        <f>IF(AND(M6=M10,M6&lt;&gt;""),IF(R6&lt;&gt;R10,"","Shoot off"),"")</f>
        <v/>
      </c>
      <c r="O8" s="85"/>
      <c r="P8" s="85"/>
      <c r="Q8" s="85"/>
      <c r="R8" s="85"/>
      <c r="S8" s="33"/>
      <c r="T8" s="34" t="str">
        <f>IF(M10&lt;&gt;"",IF((M6+R6)&gt;(M10+R10),K6,K10),"")</f>
        <v/>
      </c>
      <c r="U8" s="35" t="str">
        <f>IF(M10&lt;&gt;"",IF((M6+R6)&gt;(M10+R10),L6,L10),"")</f>
        <v/>
      </c>
      <c r="V8" s="31"/>
      <c r="W8" s="31"/>
      <c r="X8" s="31"/>
      <c r="Y8" s="31"/>
      <c r="Z8" s="31"/>
      <c r="AA8" s="36">
        <f>W8/100+X8/10000+Y8/1000000+Z8/100000000</f>
        <v>0</v>
      </c>
      <c r="AB8" s="14"/>
    </row>
    <row r="9" spans="1:38" x14ac:dyDescent="0.2">
      <c r="A9" s="6">
        <v>9</v>
      </c>
      <c r="B9" s="29"/>
      <c r="C9" s="30"/>
      <c r="D9" s="31"/>
      <c r="E9" s="31"/>
      <c r="F9" s="31"/>
      <c r="G9" s="31"/>
      <c r="H9" s="31"/>
      <c r="I9" s="36">
        <f>E9/100+F9/10000+G9/1000000+H9/100000000</f>
        <v>0</v>
      </c>
      <c r="J9" s="14"/>
    </row>
    <row r="10" spans="1:38" x14ac:dyDescent="0.2">
      <c r="B10" s="9"/>
      <c r="E10" s="86" t="str">
        <f>IF(AND(D9=D11,D9&lt;&gt;""),IF(I9&lt;&gt;I11,"","Shoot off"),"")</f>
        <v/>
      </c>
      <c r="F10" s="86"/>
      <c r="G10" s="86"/>
      <c r="H10" s="86"/>
      <c r="I10" s="86"/>
      <c r="J10" s="33"/>
      <c r="K10" s="34" t="str">
        <f>IF(D11&lt;&gt;"",IF((D9+H9)&gt;(D11+H11),B9,B11),"")</f>
        <v/>
      </c>
      <c r="L10" s="35" t="str">
        <f>IF(D11&lt;&gt;"",IF((D9+I9)&gt;(D11+I11),C9,C11),"")</f>
        <v/>
      </c>
      <c r="M10" s="31"/>
      <c r="N10" s="31"/>
      <c r="O10" s="31"/>
      <c r="P10" s="31"/>
      <c r="Q10" s="31"/>
      <c r="R10" s="36">
        <f>N10/100+O10/10000+P10/1000000+Q10/100000000</f>
        <v>0</v>
      </c>
      <c r="S10" s="14"/>
    </row>
    <row r="11" spans="1:38" x14ac:dyDescent="0.2">
      <c r="A11" s="6">
        <v>8</v>
      </c>
      <c r="B11" s="29"/>
      <c r="C11" s="30"/>
      <c r="D11" s="31"/>
      <c r="E11" s="28"/>
      <c r="F11" s="28"/>
      <c r="G11" s="28"/>
      <c r="H11" s="28"/>
      <c r="I11" s="32">
        <f>E11/100+F11/10000+G11/1000000+H11/100000000</f>
        <v>0</v>
      </c>
      <c r="J11" s="14"/>
      <c r="AE11" s="6" t="s">
        <v>17</v>
      </c>
      <c r="AF11" s="88" t="s">
        <v>18</v>
      </c>
      <c r="AG11" s="88"/>
      <c r="AH11" s="88"/>
      <c r="AI11" s="88"/>
      <c r="AJ11" s="88"/>
    </row>
    <row r="12" spans="1:38" x14ac:dyDescent="0.2">
      <c r="W12" s="85" t="str">
        <f>IF(AND(V8=V16,V8&lt;&gt;""),IF(AA8&lt;&gt;AA16,"","Shoot off"),"")</f>
        <v/>
      </c>
      <c r="X12" s="85"/>
      <c r="Y12" s="85"/>
      <c r="Z12" s="85"/>
      <c r="AA12" s="85"/>
      <c r="AB12" s="33"/>
      <c r="AC12" s="34" t="str">
        <f>IF(V8&lt;&gt;"",IF((V8+AA8)&gt;(V16+AA16),T8,T16),"")</f>
        <v/>
      </c>
      <c r="AD12" s="35" t="str">
        <f>IF(V16&lt;&gt;"",IF((V8+AA8)&gt;(V16+AA16),U8,U16),"")</f>
        <v/>
      </c>
      <c r="AE12" s="31"/>
      <c r="AF12" s="31"/>
      <c r="AG12" s="31"/>
      <c r="AH12" s="31"/>
      <c r="AI12" s="31"/>
      <c r="AJ12" s="36">
        <f>AF12/100+AG12/10000+AH12/1000000+AI12/100000000</f>
        <v>0</v>
      </c>
    </row>
    <row r="13" spans="1:38" x14ac:dyDescent="0.2">
      <c r="A13" s="6">
        <v>5</v>
      </c>
      <c r="B13" s="29"/>
      <c r="C13" s="30"/>
      <c r="D13" s="31"/>
      <c r="E13" s="31"/>
      <c r="F13" s="31"/>
      <c r="G13" s="31"/>
      <c r="H13" s="31"/>
      <c r="I13" s="36">
        <f>E13/100+F13/10000+G13/1000000+H13/100000000</f>
        <v>0</v>
      </c>
      <c r="J13" s="14"/>
    </row>
    <row r="14" spans="1:38" x14ac:dyDescent="0.2">
      <c r="E14" s="86" t="str">
        <f>IF(AND(D13=D15,D13&lt;&gt;""),IF(I13&lt;&gt;I15,"","Shoot off"),"")</f>
        <v/>
      </c>
      <c r="F14" s="86"/>
      <c r="G14" s="86"/>
      <c r="H14" s="86"/>
      <c r="I14" s="86"/>
      <c r="J14" s="33"/>
      <c r="K14" s="34" t="str">
        <f>IF(D15&lt;&gt;"",IF((D13+H13)&gt;(D15+H15),B13,B15),"")</f>
        <v/>
      </c>
      <c r="L14" s="35" t="str">
        <f>IF(D15&lt;&gt;"",IF((D13+I13)&gt;(D15+I15),C13,C15),"")</f>
        <v/>
      </c>
      <c r="M14" s="31"/>
      <c r="N14" s="31"/>
      <c r="O14" s="31"/>
      <c r="P14" s="31"/>
      <c r="Q14" s="31"/>
      <c r="R14" s="36">
        <f>N14/100+O14/10000+P14/1000000+Q14/100000000</f>
        <v>0</v>
      </c>
      <c r="S14" s="14"/>
    </row>
    <row r="15" spans="1:38" x14ac:dyDescent="0.2">
      <c r="A15" s="6">
        <v>12</v>
      </c>
      <c r="B15" s="37"/>
      <c r="C15" s="31"/>
      <c r="D15" s="31"/>
      <c r="E15" s="28"/>
      <c r="F15" s="28"/>
      <c r="G15" s="28"/>
      <c r="H15" s="28"/>
      <c r="I15" s="32">
        <f>E15/100+F15/10000+G15/1000000+H15/100000000</f>
        <v>0</v>
      </c>
      <c r="J15" s="14"/>
    </row>
    <row r="16" spans="1:38" x14ac:dyDescent="0.2">
      <c r="N16" s="85" t="str">
        <f>IF(AND(M14=M18,M14&lt;&gt;""),IF(R14&lt;&gt;R18,"","Shoot off"),"")</f>
        <v/>
      </c>
      <c r="O16" s="85"/>
      <c r="P16" s="85"/>
      <c r="Q16" s="85"/>
      <c r="R16" s="85"/>
      <c r="S16" s="33"/>
      <c r="T16" s="34" t="str">
        <f>IF(M18&lt;&gt;"",IF((M14+R14)&gt;(M18+R18),K14,K18),"")</f>
        <v/>
      </c>
      <c r="U16" s="35" t="str">
        <f>IF(M18&lt;&gt;"",IF((M14+R14)&gt;(M18+R18),L14,L18),"")</f>
        <v/>
      </c>
      <c r="V16" s="31"/>
      <c r="W16" s="31"/>
      <c r="X16" s="31"/>
      <c r="Y16" s="31"/>
      <c r="Z16" s="31"/>
      <c r="AA16" s="36">
        <f>W16/100+X16/10000+Y16/1000000+Z16/100000000</f>
        <v>0</v>
      </c>
      <c r="AB16" s="14"/>
    </row>
    <row r="17" spans="1:36" x14ac:dyDescent="0.2">
      <c r="A17" s="6">
        <v>13</v>
      </c>
      <c r="B17" s="37"/>
      <c r="C17" s="31"/>
      <c r="D17" s="31"/>
      <c r="E17" s="31"/>
      <c r="F17" s="31"/>
      <c r="G17" s="31"/>
      <c r="H17" s="31"/>
      <c r="I17" s="36">
        <f>E17/100+F17/10000+G17/1000000+H17/100000000</f>
        <v>0</v>
      </c>
      <c r="J17" s="14"/>
    </row>
    <row r="18" spans="1:36" x14ac:dyDescent="0.2">
      <c r="E18" s="86" t="str">
        <f>IF(AND(D17=D19,D17&lt;&gt;""),IF(I17&lt;&gt;I19,"","Shoot off"),"")</f>
        <v/>
      </c>
      <c r="F18" s="86"/>
      <c r="G18" s="86"/>
      <c r="H18" s="86"/>
      <c r="I18" s="86"/>
      <c r="J18" s="33"/>
      <c r="K18" s="34" t="str">
        <f>IF(D19&lt;&gt;"",IF((D17+H17)&gt;(D19+H19),B17,B19),"")</f>
        <v/>
      </c>
      <c r="L18" s="35" t="str">
        <f>IF(D19&lt;&gt;"",IF((D17+I17)&gt;(D19+I19),C17,C19),"")</f>
        <v/>
      </c>
      <c r="M18" s="31"/>
      <c r="N18" s="31"/>
      <c r="O18" s="31"/>
      <c r="P18" s="31"/>
      <c r="Q18" s="31"/>
      <c r="R18" s="36">
        <f>N18/100+O18/10000+P18/1000000+Q18/100000000</f>
        <v>0</v>
      </c>
      <c r="S18" s="14"/>
    </row>
    <row r="19" spans="1:36" x14ac:dyDescent="0.2">
      <c r="A19" s="6">
        <v>4</v>
      </c>
      <c r="B19" s="29"/>
      <c r="C19" s="30"/>
      <c r="D19" s="31"/>
      <c r="E19" s="28"/>
      <c r="F19" s="28"/>
      <c r="G19" s="28"/>
      <c r="H19" s="28"/>
      <c r="I19" s="32">
        <f>E19/100+F19/10000+G19/1000000+H19/100000000</f>
        <v>0</v>
      </c>
      <c r="J19" s="14"/>
    </row>
    <row r="22" spans="1:36" x14ac:dyDescent="0.2">
      <c r="AC22" s="34" t="str">
        <f>IF(AE12&lt;&gt;"",IF((AE12+AJ12)&gt;(AE31+AJ31),AC12,AC31),"")</f>
        <v/>
      </c>
      <c r="AD22" s="35" t="str">
        <f>IF(AE12&lt;&gt;"",IF((AE12+AJ12)&gt;(AE31+AJ31),AD12,AD31),"")</f>
        <v/>
      </c>
      <c r="AE22" s="31" t="str">
        <f>IF(AD22 &lt;&gt; "", "WINNAAR", "")</f>
        <v/>
      </c>
      <c r="AF22" s="31"/>
      <c r="AG22" s="31"/>
      <c r="AH22" s="31"/>
      <c r="AI22" s="31"/>
      <c r="AJ22" s="41"/>
    </row>
    <row r="23" spans="1:36" x14ac:dyDescent="0.2">
      <c r="D23" s="6" t="s">
        <v>17</v>
      </c>
      <c r="E23" s="87" t="s">
        <v>14</v>
      </c>
      <c r="F23" s="87"/>
      <c r="G23" s="87"/>
      <c r="H23" s="87"/>
      <c r="I23" s="87"/>
      <c r="W23" s="88"/>
      <c r="X23" s="88"/>
      <c r="Y23" s="88"/>
      <c r="Z23" s="88"/>
      <c r="AA23" s="88"/>
    </row>
    <row r="24" spans="1:36" x14ac:dyDescent="0.2">
      <c r="A24" s="6">
        <v>3</v>
      </c>
      <c r="B24" s="29"/>
      <c r="C24" s="30"/>
      <c r="D24" s="31"/>
      <c r="E24" s="28"/>
      <c r="F24" s="28"/>
      <c r="G24" s="28"/>
      <c r="H24" s="28"/>
      <c r="I24" s="32">
        <f>E24/100+F24/10000+G24/1000000+H24/100000000</f>
        <v>0</v>
      </c>
      <c r="J24" s="14"/>
      <c r="M24" s="6" t="s">
        <v>17</v>
      </c>
      <c r="N24" s="88" t="s">
        <v>18</v>
      </c>
      <c r="O24" s="88"/>
      <c r="P24" s="88"/>
      <c r="Q24" s="88"/>
      <c r="R24" s="88"/>
    </row>
    <row r="25" spans="1:36" x14ac:dyDescent="0.2">
      <c r="B25" s="9"/>
      <c r="E25" s="86" t="str">
        <f>IF(AND(D24=D26,D24&lt;&gt;""),IF(I24&lt;&gt;I26,"","Shoot off"),"")</f>
        <v/>
      </c>
      <c r="F25" s="86"/>
      <c r="G25" s="86"/>
      <c r="H25" s="86"/>
      <c r="I25" s="86"/>
      <c r="J25" s="33"/>
      <c r="K25" s="34" t="str">
        <f>IF(D26&lt;&gt;"",IF((D24+H24)&gt;(D26+H26),B24,B26),"")</f>
        <v/>
      </c>
      <c r="L25" s="35" t="str">
        <f>IF(D26&lt;&gt;"",IF((D24+I24)&gt;(D26+I26),C24,C26),"")</f>
        <v/>
      </c>
      <c r="M25" s="31"/>
      <c r="N25" s="31"/>
      <c r="O25" s="31"/>
      <c r="P25" s="31"/>
      <c r="Q25" s="31"/>
      <c r="R25" s="36">
        <f>N25/100+O25/10000+P25/1000000+Q25/100000000</f>
        <v>0</v>
      </c>
      <c r="S25" s="14"/>
    </row>
    <row r="26" spans="1:36" x14ac:dyDescent="0.2">
      <c r="A26" s="6">
        <v>14</v>
      </c>
      <c r="B26" s="37"/>
      <c r="C26" s="31"/>
      <c r="D26" s="31"/>
      <c r="E26" s="28"/>
      <c r="F26" s="28"/>
      <c r="G26" s="28"/>
      <c r="H26" s="28"/>
      <c r="I26" s="32">
        <f>E26/100+F26/10000+G26/1000000+H26/100000000</f>
        <v>0</v>
      </c>
      <c r="J26" s="14"/>
      <c r="V26" s="6" t="s">
        <v>17</v>
      </c>
      <c r="W26" s="88" t="s">
        <v>18</v>
      </c>
      <c r="X26" s="88"/>
      <c r="Y26" s="88"/>
      <c r="Z26" s="88"/>
      <c r="AA26" s="88"/>
    </row>
    <row r="27" spans="1:36" x14ac:dyDescent="0.2">
      <c r="B27" s="9"/>
      <c r="N27" s="85" t="str">
        <f>IF(AND(M25=M29,M25&lt;&gt;""),IF(R25&lt;&gt;R29,"","Shoot off"),"")</f>
        <v/>
      </c>
      <c r="O27" s="85"/>
      <c r="P27" s="85"/>
      <c r="Q27" s="85"/>
      <c r="R27" s="85"/>
      <c r="S27" s="33"/>
      <c r="T27" s="34" t="str">
        <f>IF(M29&lt;&gt;"",IF((M25+R25)&gt;(M29+R29),K25,K29),"")</f>
        <v/>
      </c>
      <c r="U27" s="35" t="str">
        <f>IF(M29&lt;&gt;"",IF((M25+R25)&gt;(M29+R29),L25,L29),"")</f>
        <v/>
      </c>
      <c r="V27" s="31"/>
      <c r="W27" s="31"/>
      <c r="X27" s="31"/>
      <c r="Y27" s="31"/>
      <c r="Z27" s="31"/>
      <c r="AA27" s="36">
        <f>W27/100+X27/10000+Y27/1000000+Z27/100000000</f>
        <v>0</v>
      </c>
      <c r="AB27" s="14"/>
    </row>
    <row r="28" spans="1:36" x14ac:dyDescent="0.2">
      <c r="A28" s="6">
        <v>11</v>
      </c>
      <c r="B28" s="29"/>
      <c r="C28" s="30"/>
      <c r="D28" s="31"/>
      <c r="E28" s="31"/>
      <c r="F28" s="31"/>
      <c r="G28" s="31"/>
      <c r="H28" s="31"/>
      <c r="I28" s="36">
        <f>E28/100+F28/10000+G28/1000000+H28/100000000</f>
        <v>0</v>
      </c>
      <c r="J28" s="14"/>
    </row>
    <row r="29" spans="1:36" x14ac:dyDescent="0.2">
      <c r="B29" s="9"/>
      <c r="E29" s="86" t="str">
        <f>IF(AND(D28=D30,D28&lt;&gt;""),IF(I28&lt;&gt;I30,"","Shoot off"),"")</f>
        <v/>
      </c>
      <c r="F29" s="86"/>
      <c r="G29" s="86"/>
      <c r="H29" s="86"/>
      <c r="I29" s="86"/>
      <c r="J29" s="33"/>
      <c r="K29" s="34" t="str">
        <f>IF(D30&lt;&gt;"",IF((D28+H28)&gt;(D30+H30),B28,B30),"")</f>
        <v/>
      </c>
      <c r="L29" s="35" t="str">
        <f>IF(D30&lt;&gt;"",IF((D28+I28)&gt;(D30+I30),C28,C30),"")</f>
        <v/>
      </c>
      <c r="M29" s="31"/>
      <c r="N29" s="31"/>
      <c r="O29" s="31"/>
      <c r="P29" s="31"/>
      <c r="Q29" s="31"/>
      <c r="R29" s="36">
        <f>N29/100+O29/10000+P29/1000000+Q29/100000000</f>
        <v>0</v>
      </c>
      <c r="S29" s="14"/>
    </row>
    <row r="30" spans="1:36" x14ac:dyDescent="0.2">
      <c r="A30" s="6">
        <v>6</v>
      </c>
      <c r="B30" s="29"/>
      <c r="C30" s="30"/>
      <c r="D30" s="31"/>
      <c r="E30" s="28"/>
      <c r="F30" s="28"/>
      <c r="G30" s="28"/>
      <c r="H30" s="28"/>
      <c r="I30" s="32">
        <f>E30/100+F30/10000+G30/1000000+H30/100000000</f>
        <v>0</v>
      </c>
      <c r="J30" s="14"/>
      <c r="AE30" s="6" t="s">
        <v>17</v>
      </c>
      <c r="AF30" s="88" t="s">
        <v>18</v>
      </c>
      <c r="AG30" s="88"/>
      <c r="AH30" s="88"/>
      <c r="AI30" s="88"/>
      <c r="AJ30" s="88"/>
    </row>
    <row r="31" spans="1:36" x14ac:dyDescent="0.2">
      <c r="W31" s="85" t="str">
        <f>IF(AND(V27=V35,V27&lt;&gt;""),IF(AA27&lt;&gt;AA35,"","Shoot off"),"")</f>
        <v/>
      </c>
      <c r="X31" s="85"/>
      <c r="Y31" s="85"/>
      <c r="Z31" s="85"/>
      <c r="AA31" s="85"/>
      <c r="AB31" s="33"/>
      <c r="AC31" s="34" t="str">
        <f>IF(V35&lt;&gt;"",IF((V27+AA27)&gt;(V35+AA35),T27,T35),"")</f>
        <v/>
      </c>
      <c r="AD31" s="35" t="str">
        <f>IF(V35&lt;&gt;"",IF((V27+AA27)&gt;(V35+AA35),U27,U35),"")</f>
        <v/>
      </c>
      <c r="AE31" s="31"/>
      <c r="AF31" s="31"/>
      <c r="AG31" s="31"/>
      <c r="AH31" s="31"/>
      <c r="AI31" s="31"/>
      <c r="AJ31" s="36">
        <f>AF31/100+AG31/10000+AH31/1000000+AI31/100000000</f>
        <v>0</v>
      </c>
    </row>
    <row r="32" spans="1:36" x14ac:dyDescent="0.2">
      <c r="A32" s="6">
        <v>7</v>
      </c>
      <c r="B32" s="29"/>
      <c r="C32" s="30"/>
      <c r="D32" s="31"/>
      <c r="E32" s="31"/>
      <c r="F32" s="31"/>
      <c r="G32" s="31"/>
      <c r="H32" s="31"/>
      <c r="I32" s="36">
        <f>E32/100+F32/10000+G32/1000000+H32/100000000</f>
        <v>0</v>
      </c>
      <c r="J32" s="14"/>
    </row>
    <row r="33" spans="1:28" x14ac:dyDescent="0.2">
      <c r="E33" s="86" t="str">
        <f>IF(AND(D32=D34,D32&lt;&gt;""),IF(I32&lt;&gt;I34,"","Shoot off"),"")</f>
        <v/>
      </c>
      <c r="F33" s="86"/>
      <c r="G33" s="86"/>
      <c r="H33" s="86"/>
      <c r="I33" s="86"/>
      <c r="J33" s="33"/>
      <c r="K33" s="34" t="str">
        <f>IF(D34&lt;&gt;"",IF((D32+H32)&gt;(D34+H34),B32,B34),"")</f>
        <v/>
      </c>
      <c r="L33" s="35" t="str">
        <f>IF(D34&lt;&gt;"",IF((D32+I32)&gt;(D34+I34),C32,C34),"")</f>
        <v/>
      </c>
      <c r="M33" s="31"/>
      <c r="N33" s="31"/>
      <c r="O33" s="31"/>
      <c r="P33" s="31"/>
      <c r="Q33" s="31"/>
      <c r="R33" s="36">
        <f>N33/100+O33/10000+P33/1000000+Q33/100000000</f>
        <v>0</v>
      </c>
      <c r="S33" s="14"/>
    </row>
    <row r="34" spans="1:28" x14ac:dyDescent="0.2">
      <c r="A34" s="6">
        <v>10</v>
      </c>
      <c r="B34" s="37"/>
      <c r="C34" s="31"/>
      <c r="D34" s="31"/>
      <c r="E34" s="28"/>
      <c r="F34" s="28"/>
      <c r="G34" s="28"/>
      <c r="H34" s="28"/>
      <c r="I34" s="32">
        <f>E34/100+F34/10000+G34/1000000+H34/100000000</f>
        <v>0</v>
      </c>
      <c r="J34" s="14"/>
    </row>
    <row r="35" spans="1:28" x14ac:dyDescent="0.2">
      <c r="N35" s="85" t="str">
        <f>IF(AND(M33=M37,M33&lt;&gt;""),IF(R33&lt;&gt;R37,"","Shoot off"),"")</f>
        <v/>
      </c>
      <c r="O35" s="85"/>
      <c r="P35" s="85"/>
      <c r="Q35" s="85"/>
      <c r="R35" s="85"/>
      <c r="S35" s="33"/>
      <c r="T35" s="34" t="str">
        <f>IF(M37&lt;&gt;"",IF((M33+R33)&gt;(M37+R37),K33,K37),"")</f>
        <v/>
      </c>
      <c r="U35" s="35" t="str">
        <f>IF(M37&lt;&gt;"",IF((M33+R33)&gt;(M37+R37),L33,L37),"")</f>
        <v/>
      </c>
      <c r="V35" s="31"/>
      <c r="W35" s="31"/>
      <c r="X35" s="31"/>
      <c r="Y35" s="31"/>
      <c r="Z35" s="31"/>
      <c r="AA35" s="36">
        <f>W35/100+X35/10000+Y35/1000000+Z35/100000000</f>
        <v>0</v>
      </c>
      <c r="AB35" s="14"/>
    </row>
    <row r="36" spans="1:28" x14ac:dyDescent="0.2">
      <c r="A36" s="6">
        <v>15</v>
      </c>
      <c r="B36" s="37"/>
      <c r="C36" s="31"/>
      <c r="D36" s="31"/>
      <c r="E36" s="31"/>
      <c r="F36" s="31"/>
      <c r="G36" s="31"/>
      <c r="H36" s="31"/>
      <c r="I36" s="36">
        <f>E36/100+F36/10000+G36/1000000+H36/100000000</f>
        <v>0</v>
      </c>
      <c r="J36" s="14"/>
    </row>
    <row r="37" spans="1:28" x14ac:dyDescent="0.2">
      <c r="E37" s="86" t="str">
        <f>IF(AND(D36=D38,D36&lt;&gt;""),IF(I36&lt;&gt;I38,"","Shoot off"),"")</f>
        <v/>
      </c>
      <c r="F37" s="86"/>
      <c r="G37" s="86"/>
      <c r="H37" s="86"/>
      <c r="I37" s="86"/>
      <c r="J37" s="33"/>
      <c r="K37" s="34" t="str">
        <f>IF(D38&lt;&gt;"",IF((D36+H36)&gt;(D38+H38),B36,B38),"")</f>
        <v/>
      </c>
      <c r="L37" s="35" t="str">
        <f>IF(D38&lt;&gt;"",IF((D36+I36)&gt;(D38+I38),C36,C38),"")</f>
        <v/>
      </c>
      <c r="M37" s="31"/>
      <c r="N37" s="31"/>
      <c r="O37" s="31"/>
      <c r="P37" s="31"/>
      <c r="Q37" s="31"/>
      <c r="R37" s="36">
        <f>N37/100+O37/10000+P37/1000000+Q37/100000000</f>
        <v>0</v>
      </c>
      <c r="S37" s="14"/>
    </row>
    <row r="38" spans="1:28" x14ac:dyDescent="0.2">
      <c r="A38" s="6">
        <v>2</v>
      </c>
      <c r="B38" s="29"/>
      <c r="C38" s="30"/>
      <c r="D38" s="31"/>
      <c r="E38" s="28"/>
      <c r="F38" s="28"/>
      <c r="G38" s="28"/>
      <c r="H38" s="28"/>
      <c r="I38" s="32">
        <f>E38/100+F38/10000+G38/1000000+H38/100000000</f>
        <v>0</v>
      </c>
      <c r="J38" s="14"/>
    </row>
  </sheetData>
  <sheetProtection password="CC3D" sheet="1" objects="1" scenarios="1"/>
  <mergeCells count="29">
    <mergeCell ref="AF30:AJ30"/>
    <mergeCell ref="AF11:AJ11"/>
    <mergeCell ref="B1:AK1"/>
    <mergeCell ref="AD3:AE3"/>
    <mergeCell ref="W7:AA7"/>
    <mergeCell ref="W23:AA23"/>
    <mergeCell ref="AF4:AJ4"/>
    <mergeCell ref="W26:AA26"/>
    <mergeCell ref="E4:I4"/>
    <mergeCell ref="N5:R5"/>
    <mergeCell ref="E18:I18"/>
    <mergeCell ref="N8:R8"/>
    <mergeCell ref="E10:I10"/>
    <mergeCell ref="W12:AA12"/>
    <mergeCell ref="E14:I14"/>
    <mergeCell ref="L3:Q3"/>
    <mergeCell ref="E37:I37"/>
    <mergeCell ref="E23:I23"/>
    <mergeCell ref="N24:R24"/>
    <mergeCell ref="E25:I25"/>
    <mergeCell ref="N27:R27"/>
    <mergeCell ref="E33:I33"/>
    <mergeCell ref="N35:R35"/>
    <mergeCell ref="U3:Z3"/>
    <mergeCell ref="W31:AA31"/>
    <mergeCell ref="N16:R16"/>
    <mergeCell ref="E6:I6"/>
    <mergeCell ref="C3:I3"/>
    <mergeCell ref="E29:I29"/>
  </mergeCells>
  <phoneticPr fontId="9" type="noConversion"/>
  <pageMargins left="0.26" right="0.57999999999999996" top="0.98" bottom="0.98" header="0.5" footer="0.5"/>
  <pageSetup paperSize="9" scale="62" orientation="landscape" horizontalDpi="720" verticalDpi="720" r:id="rId1"/>
  <headerFooter alignWithMargins="0"/>
  <cellWatches>
    <cellWatch r="D5"/>
  </cellWatches>
  <ignoredErrors>
    <ignoredError sqref="AE22" unlockedFormula="1"/>
  </ignoredErrors>
  <drawing r:id="rId2"/>
  <legacyDrawing r:id="rId3"/>
  <controls>
    <mc:AlternateContent xmlns:mc="http://schemas.openxmlformats.org/markup-compatibility/2006">
      <mc:Choice Requires="x14">
        <control shapeId="2049" r:id="rId4" name="CommandButton1">
          <controlPr defaultSize="0" autoLine="0" r:id="rId5">
            <anchor moveWithCells="1">
              <from>
                <xdr:col>11</xdr:col>
                <xdr:colOff>885825</xdr:colOff>
                <xdr:row>40</xdr:row>
                <xdr:rowOff>57150</xdr:rowOff>
              </from>
              <to>
                <xdr:col>13</xdr:col>
                <xdr:colOff>0</xdr:colOff>
                <xdr:row>42</xdr:row>
                <xdr:rowOff>57150</xdr:rowOff>
              </to>
            </anchor>
          </controlPr>
        </control>
      </mc:Choice>
      <mc:Fallback>
        <control shapeId="2049"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Database</vt:lpstr>
      <vt:lpstr>Vers</vt:lpstr>
      <vt:lpstr>Help</vt:lpstr>
      <vt:lpstr>Voorronde</vt:lpstr>
      <vt:lpstr>Finale</vt:lpstr>
      <vt:lpstr>Finale!Print_Area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van Roosmalen</dc:creator>
  <cp:lastModifiedBy>Ramon</cp:lastModifiedBy>
  <cp:lastPrinted>2015-01-13T19:43:09Z</cp:lastPrinted>
  <dcterms:created xsi:type="dcterms:W3CDTF">2000-03-31T19:47:32Z</dcterms:created>
  <dcterms:modified xsi:type="dcterms:W3CDTF">2021-12-12T15:21:31Z</dcterms:modified>
</cp:coreProperties>
</file>