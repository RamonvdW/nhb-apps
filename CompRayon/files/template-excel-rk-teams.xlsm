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:\Projects Ramon\Websites\NHB-applicaties\Backups ontwikkelsysteem\"/>
    </mc:Choice>
  </mc:AlternateContent>
  <xr:revisionPtr revIDLastSave="0" documentId="13_ncr:1_{876D789B-A821-472C-A6AD-D80423222DD0}" xr6:coauthVersionLast="47" xr6:coauthVersionMax="47" xr10:uidLastSave="{00000000-0000-0000-0000-000000000000}"/>
  <bookViews>
    <workbookView xWindow="7410" yWindow="870" windowWidth="18720" windowHeight="13065" tabRatio="312" activeTab="1" xr2:uid="{00000000-000D-0000-FFFF-FFFF00000000}"/>
  </bookViews>
  <sheets>
    <sheet name="HELP" sheetId="13" r:id="rId1"/>
    <sheet name="scores" sheetId="12" r:id="rId2"/>
    <sheet name="uitslag" sheetId="3" r:id="rId3"/>
    <sheet name="FINALE" sheetId="15" r:id="rId4"/>
    <sheet name="FINALE incl kwart" sheetId="9" state="hidden" r:id="rId5"/>
    <sheet name="wachtwoord" sheetId="14" state="hidden" r:id="rId6"/>
    <sheet name="Module1" sheetId="10" state="veryHidden" r:id=""/>
    <sheet name="Module2" sheetId="11" state="veryHidden" r:id=""/>
  </sheets>
  <definedNames>
    <definedName name="_Key1" hidden="1">#REF!</definedName>
    <definedName name="_Order1" hidden="1">255</definedName>
    <definedName name="_Sort" hidden="1">#REF!</definedName>
    <definedName name="FINALE_ZAT">#REF!</definedName>
    <definedName name="FINALE_ZON">#REF!</definedName>
    <definedName name="PRINT_A">#REF!</definedName>
    <definedName name="_xlnm.Print_Area" localSheetId="4">'FINALE incl kwart'!$A$2:$AA$28</definedName>
    <definedName name="_xlnm.Print_Area" localSheetId="1">scores!$B$4:$K$56</definedName>
    <definedName name="_xlnm.Print_Area" localSheetId="2">uitslag!$A$1:$W$23</definedName>
    <definedName name="PRINT_B">#REF!</definedName>
    <definedName name="PRINT_C">#REF!</definedName>
    <definedName name="PRINT_COMP_A">#REF!</definedName>
    <definedName name="PRINT_COMP_ERE">#REF!</definedName>
    <definedName name="PRINT_D">#REF!</definedName>
    <definedName name="PRINT_D_KLAS">#REF!</definedName>
    <definedName name="PRINT_ERE">#REF!</definedName>
    <definedName name="SORT_A">#REF!</definedName>
    <definedName name="SORT_B">#REF!</definedName>
    <definedName name="SORT_C">#REF!</definedName>
    <definedName name="SORT_COMP_A">#REF!</definedName>
    <definedName name="SORT_COMP_ERE">#REF!</definedName>
    <definedName name="SORT_D">#REF!</definedName>
    <definedName name="SORT_ERE">#REF!</definedName>
    <definedName name="SORTB_A">#REF!</definedName>
    <definedName name="SORTB_B">#REF!</definedName>
    <definedName name="SORTB_C">#REF!</definedName>
    <definedName name="SORTB_COMP_A">#REF!</definedName>
    <definedName name="SORTB_COMP_ERE">#REF!</definedName>
    <definedName name="SORTB_D">#REF!</definedName>
    <definedName name="SORTB_ER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2" i="3" l="1"/>
  <c r="D22" i="3"/>
  <c r="D20" i="3"/>
  <c r="D19" i="3"/>
  <c r="D18" i="3"/>
  <c r="D14" i="9" s="1"/>
  <c r="D17" i="3"/>
  <c r="D24" i="9" s="1"/>
  <c r="D16" i="3"/>
  <c r="D22" i="9" s="1"/>
  <c r="D21" i="3"/>
  <c r="D15" i="3"/>
  <c r="D16" i="9" s="1"/>
  <c r="D14" i="3"/>
  <c r="D18" i="9" s="1"/>
  <c r="D13" i="3"/>
  <c r="D20" i="9" s="1"/>
  <c r="D12" i="3"/>
  <c r="D11" i="3"/>
  <c r="D12" i="15" s="1"/>
  <c r="J10" i="12"/>
  <c r="J11" i="12"/>
  <c r="J12" i="12"/>
  <c r="J13" i="12"/>
  <c r="M4" i="15"/>
  <c r="O13" i="15"/>
  <c r="O17" i="15"/>
  <c r="C13" i="3"/>
  <c r="B16" i="15" s="1"/>
  <c r="C20" i="3"/>
  <c r="C14" i="3"/>
  <c r="B18" i="9" s="1"/>
  <c r="K17" i="15"/>
  <c r="C19" i="3"/>
  <c r="C22" i="3"/>
  <c r="K13" i="15"/>
  <c r="M15" i="15"/>
  <c r="I12" i="15"/>
  <c r="I14" i="15"/>
  <c r="I18" i="15"/>
  <c r="I16" i="15"/>
  <c r="D18" i="15"/>
  <c r="C12" i="3"/>
  <c r="B18" i="15" s="1"/>
  <c r="C11" i="3"/>
  <c r="B12" i="9" s="1"/>
  <c r="C21" i="3"/>
  <c r="B4" i="3"/>
  <c r="B6" i="15" s="1"/>
  <c r="B4" i="15"/>
  <c r="W4" i="9"/>
  <c r="B4" i="9"/>
  <c r="O25" i="9"/>
  <c r="O21" i="9"/>
  <c r="O17" i="9"/>
  <c r="O13" i="9"/>
  <c r="I12" i="9"/>
  <c r="I14" i="9"/>
  <c r="I16" i="9"/>
  <c r="I18" i="9"/>
  <c r="I20" i="9"/>
  <c r="I24" i="9"/>
  <c r="I26" i="9"/>
  <c r="I22" i="9"/>
  <c r="W21" i="9"/>
  <c r="W17" i="9"/>
  <c r="B22" i="3"/>
  <c r="J79" i="12"/>
  <c r="J78" i="12"/>
  <c r="J77" i="12"/>
  <c r="J76" i="12"/>
  <c r="J73" i="12"/>
  <c r="J72" i="12"/>
  <c r="J71" i="12"/>
  <c r="J70" i="12"/>
  <c r="M22" i="3"/>
  <c r="M21" i="3"/>
  <c r="M20" i="3"/>
  <c r="M19" i="3"/>
  <c r="L22" i="3"/>
  <c r="L21" i="3"/>
  <c r="L20" i="3"/>
  <c r="L19" i="3"/>
  <c r="K22" i="3"/>
  <c r="K21" i="3"/>
  <c r="K20" i="3"/>
  <c r="K19" i="3"/>
  <c r="J22" i="3"/>
  <c r="J21" i="3"/>
  <c r="J20" i="3"/>
  <c r="J19" i="3"/>
  <c r="H22" i="3"/>
  <c r="R22" i="3" s="1"/>
  <c r="H21" i="3"/>
  <c r="R21" i="3" s="1"/>
  <c r="H20" i="3"/>
  <c r="R20" i="3" s="1"/>
  <c r="H19" i="3"/>
  <c r="G22" i="3"/>
  <c r="Q22" i="3" s="1"/>
  <c r="G21" i="3"/>
  <c r="G20" i="3"/>
  <c r="Q20" i="3" s="1"/>
  <c r="G19" i="3"/>
  <c r="Q19" i="3" s="1"/>
  <c r="F22" i="3"/>
  <c r="F21" i="3"/>
  <c r="F20" i="3"/>
  <c r="F19" i="3"/>
  <c r="E22" i="3"/>
  <c r="O22" i="3" s="1"/>
  <c r="E21" i="3"/>
  <c r="E20" i="3"/>
  <c r="E19" i="3"/>
  <c r="B21" i="3"/>
  <c r="B20" i="3"/>
  <c r="B19" i="3"/>
  <c r="J67" i="12"/>
  <c r="J66" i="12"/>
  <c r="J65" i="12"/>
  <c r="J64" i="12"/>
  <c r="J61" i="12"/>
  <c r="J60" i="12"/>
  <c r="J59" i="12"/>
  <c r="J58" i="12"/>
  <c r="J16" i="12"/>
  <c r="J17" i="12"/>
  <c r="J18" i="12"/>
  <c r="J19" i="12"/>
  <c r="J22" i="12"/>
  <c r="J23" i="12"/>
  <c r="J24" i="12"/>
  <c r="J25" i="12"/>
  <c r="J28" i="12"/>
  <c r="J29" i="12"/>
  <c r="J30" i="12"/>
  <c r="J31" i="12"/>
  <c r="J34" i="12"/>
  <c r="J35" i="12"/>
  <c r="J36" i="12"/>
  <c r="J37" i="12"/>
  <c r="J40" i="12"/>
  <c r="J41" i="12"/>
  <c r="J42" i="12"/>
  <c r="J43" i="12"/>
  <c r="J46" i="12"/>
  <c r="J47" i="12"/>
  <c r="J48" i="12"/>
  <c r="J49" i="12"/>
  <c r="J52" i="12"/>
  <c r="J53" i="12"/>
  <c r="J54" i="12"/>
  <c r="J55" i="12"/>
  <c r="B2" i="3"/>
  <c r="A11" i="3"/>
  <c r="A12" i="3"/>
  <c r="A13" i="3"/>
  <c r="A14" i="3"/>
  <c r="A15" i="3"/>
  <c r="A16" i="3"/>
  <c r="A17" i="3"/>
  <c r="A18" i="3"/>
  <c r="A19" i="3"/>
  <c r="A20" i="3"/>
  <c r="A21" i="3"/>
  <c r="A22" i="3"/>
  <c r="B11" i="3"/>
  <c r="K13" i="9"/>
  <c r="M15" i="9"/>
  <c r="S17" i="9" s="1"/>
  <c r="U19" i="9"/>
  <c r="E11" i="3"/>
  <c r="F11" i="3"/>
  <c r="G11" i="3"/>
  <c r="H11" i="3"/>
  <c r="J11" i="3"/>
  <c r="K11" i="3"/>
  <c r="L11" i="3"/>
  <c r="M11" i="3"/>
  <c r="B12" i="3"/>
  <c r="E12" i="3"/>
  <c r="F12" i="3"/>
  <c r="G12" i="3"/>
  <c r="H12" i="3"/>
  <c r="J12" i="3"/>
  <c r="K12" i="3"/>
  <c r="L12" i="3"/>
  <c r="M12" i="3"/>
  <c r="B13" i="3"/>
  <c r="E13" i="3"/>
  <c r="F13" i="3"/>
  <c r="G13" i="3"/>
  <c r="H13" i="3"/>
  <c r="J13" i="3"/>
  <c r="K13" i="3"/>
  <c r="L13" i="3"/>
  <c r="M13" i="3"/>
  <c r="B14" i="3"/>
  <c r="C15" i="3"/>
  <c r="B16" i="9" s="1"/>
  <c r="C18" i="3"/>
  <c r="B14" i="9" s="1"/>
  <c r="E14" i="3"/>
  <c r="F14" i="3"/>
  <c r="G14" i="3"/>
  <c r="H14" i="3"/>
  <c r="J14" i="3"/>
  <c r="K14" i="3"/>
  <c r="L14" i="3"/>
  <c r="M14" i="3"/>
  <c r="B15" i="3"/>
  <c r="K17" i="9"/>
  <c r="E15" i="3"/>
  <c r="F15" i="3"/>
  <c r="G15" i="3"/>
  <c r="H15" i="3"/>
  <c r="J15" i="3"/>
  <c r="K15" i="3"/>
  <c r="L15" i="3"/>
  <c r="M15" i="3"/>
  <c r="B16" i="3"/>
  <c r="C16" i="3"/>
  <c r="B22" i="9" s="1"/>
  <c r="C17" i="3"/>
  <c r="B24" i="9" s="1"/>
  <c r="K21" i="9"/>
  <c r="E16" i="3"/>
  <c r="F16" i="3"/>
  <c r="G16" i="3"/>
  <c r="H16" i="3"/>
  <c r="J16" i="3"/>
  <c r="K16" i="3"/>
  <c r="L16" i="3"/>
  <c r="M16" i="3"/>
  <c r="B17" i="3"/>
  <c r="E17" i="3"/>
  <c r="F17" i="3"/>
  <c r="G17" i="3"/>
  <c r="H17" i="3"/>
  <c r="J17" i="3"/>
  <c r="K17" i="3"/>
  <c r="L17" i="3"/>
  <c r="M17" i="3"/>
  <c r="B18" i="3"/>
  <c r="E18" i="3"/>
  <c r="F18" i="3"/>
  <c r="G18" i="3"/>
  <c r="H18" i="3"/>
  <c r="J18" i="3"/>
  <c r="K18" i="3"/>
  <c r="L18" i="3"/>
  <c r="M18" i="3"/>
  <c r="K25" i="9"/>
  <c r="M23" i="9"/>
  <c r="S21" i="9" s="1"/>
  <c r="P16" i="3" l="1"/>
  <c r="R12" i="3"/>
  <c r="K75" i="12"/>
  <c r="K21" i="12"/>
  <c r="Q17" i="3"/>
  <c r="Q18" i="3"/>
  <c r="K69" i="12"/>
  <c r="B26" i="9"/>
  <c r="O17" i="3"/>
  <c r="P20" i="3"/>
  <c r="R16" i="3"/>
  <c r="P12" i="3"/>
  <c r="O19" i="3"/>
  <c r="P22" i="3"/>
  <c r="S22" i="3" s="1"/>
  <c r="V22" i="3" s="1"/>
  <c r="P21" i="3"/>
  <c r="K63" i="12"/>
  <c r="P18" i="3"/>
  <c r="Q15" i="3"/>
  <c r="B6" i="9"/>
  <c r="K45" i="12"/>
  <c r="K57" i="12"/>
  <c r="R18" i="3"/>
  <c r="R13" i="3"/>
  <c r="O12" i="3"/>
  <c r="O18" i="3"/>
  <c r="P15" i="3"/>
  <c r="K51" i="12"/>
  <c r="K39" i="12"/>
  <c r="K27" i="12"/>
  <c r="K15" i="12"/>
  <c r="P17" i="3"/>
  <c r="Q13" i="3"/>
  <c r="K33" i="12"/>
  <c r="O21" i="3"/>
  <c r="O14" i="3"/>
  <c r="P13" i="3"/>
  <c r="Q12" i="3"/>
  <c r="R17" i="3"/>
  <c r="O16" i="3"/>
  <c r="R15" i="3"/>
  <c r="P14" i="3"/>
  <c r="O20" i="3"/>
  <c r="S20" i="3" s="1"/>
  <c r="V20" i="3" s="1"/>
  <c r="Q21" i="3"/>
  <c r="Q16" i="3"/>
  <c r="R14" i="3"/>
  <c r="O13" i="3"/>
  <c r="B14" i="15"/>
  <c r="O15" i="3"/>
  <c r="Q14" i="3"/>
  <c r="P19" i="3"/>
  <c r="R19" i="3"/>
  <c r="B12" i="15"/>
  <c r="R11" i="3"/>
  <c r="K9" i="12"/>
  <c r="D14" i="15"/>
  <c r="Q11" i="3"/>
  <c r="P11" i="3"/>
  <c r="O11" i="3"/>
  <c r="B20" i="9"/>
  <c r="D16" i="15"/>
  <c r="D26" i="9"/>
  <c r="D12" i="9"/>
  <c r="S16" i="3" l="1"/>
  <c r="V16" i="3" s="1"/>
  <c r="S21" i="3"/>
  <c r="V21" i="3" s="1"/>
  <c r="S17" i="3"/>
  <c r="V17" i="3" s="1"/>
  <c r="S15" i="3"/>
  <c r="V15" i="3" s="1"/>
  <c r="S14" i="3"/>
  <c r="V14" i="3" s="1"/>
  <c r="S13" i="3"/>
  <c r="V13" i="3" s="1"/>
  <c r="S12" i="3"/>
  <c r="V12" i="3" s="1"/>
  <c r="S18" i="3"/>
  <c r="V18" i="3" s="1"/>
  <c r="S19" i="3"/>
  <c r="V19" i="3" s="1"/>
  <c r="S11" i="3"/>
  <c r="V11" i="3" s="1"/>
</calcChain>
</file>

<file path=xl/sharedStrings.xml><?xml version="1.0" encoding="utf-8"?>
<sst xmlns="http://schemas.openxmlformats.org/spreadsheetml/2006/main" count="191" uniqueCount="89">
  <si>
    <t>Baan</t>
  </si>
  <si>
    <t>1</t>
  </si>
  <si>
    <t>2</t>
  </si>
  <si>
    <t>3</t>
  </si>
  <si>
    <t>4</t>
  </si>
  <si>
    <t>TOTAAL</t>
  </si>
  <si>
    <t>HALVE FINALE</t>
  </si>
  <si>
    <t>FINALE</t>
  </si>
  <si>
    <t>shoot-</t>
  </si>
  <si>
    <t>Totaal incl.</t>
  </si>
  <si>
    <t>off</t>
  </si>
  <si>
    <t>shoot-off</t>
  </si>
  <si>
    <t>Totaal</t>
  </si>
  <si>
    <t>30p</t>
  </si>
  <si>
    <t>team</t>
  </si>
  <si>
    <t>Reg. Nr</t>
  </si>
  <si>
    <t>Datum:</t>
  </si>
  <si>
    <t>Enkele instucties voor een goede invulling te verkrijgen van het Teamprogramma</t>
  </si>
  <si>
    <t>Voor het invullen voor de wedstrijd van de registratie nummers en de namen, tijdens de wedstrijd de scores</t>
  </si>
  <si>
    <t>De baannummers welke op dit blad reeds zijn ingevuld kun en mag je wijzigen, alleen dit blad dan niet sorteren</t>
  </si>
  <si>
    <t>want dan gaat alle transport fout.</t>
  </si>
  <si>
    <t xml:space="preserve">Indien er nu gelijke totalen blijken waardoor er een shoot-off moet worden geschoten dan hiervan de punten </t>
  </si>
  <si>
    <t>Opmerking: Indien er moet worden gemeten hier toch een puntenverschil invullen.</t>
  </si>
  <si>
    <t>Vervolgens is het blad voor de finale reeds ingevuld voor te starten.</t>
  </si>
  <si>
    <t>Op dit blad zijn, alleen bij de halve finales, twee vakjes achter het vak voor de punten geplaatst.</t>
  </si>
  <si>
    <t>Het eerste vakje gebruiken voor een shoot-off om verder te transporteren naar de finale, en het tweede vakje</t>
  </si>
  <si>
    <t>alleen gebruiken voor een shoot-off voor de 3de plaats.</t>
  </si>
  <si>
    <t>Indien de shoot-off gelijktijdig voor zowel de overgang naar de finale als ook voor de 3de plaats moet worden</t>
  </si>
  <si>
    <t>geschoten moet je bij het team welke niet wordt getranporteerd naar de finale deze punten nogmaals invullen</t>
  </si>
  <si>
    <t>in het tweede vakje. En bij het team welk alleen schiet voor de derde plek alleen invullen in het tweede vak.</t>
  </si>
  <si>
    <t xml:space="preserve">Dus is er na de eerste shoot-off reeds een verschil tussen beide halve finalisten maar nog niet voor de </t>
  </si>
  <si>
    <t>derde plek de punten van de eerste shoot-off en de tweede shoot-off samengeteld plaatsen in het tweede vak.</t>
  </si>
  <si>
    <t>Ook hier geld dat bij meting altijd een punten verschil moet worden ingevuld.</t>
  </si>
  <si>
    <t>Succes bij de wedstrijden,  Willy Brouns</t>
  </si>
  <si>
    <r>
      <t xml:space="preserve">altijd het blad </t>
    </r>
    <r>
      <rPr>
        <b/>
        <sz val="12"/>
        <rFont val="Times New Roman"/>
        <family val="1"/>
      </rPr>
      <t>&lt;scores&gt;</t>
    </r>
    <r>
      <rPr>
        <sz val="12"/>
        <rFont val="Times New Roman"/>
        <family val="1"/>
      </rPr>
      <t xml:space="preserve"> gebruiken.</t>
    </r>
  </si>
  <si>
    <r>
      <t xml:space="preserve">Verder wordt nu alles getransporteerd naar het blad </t>
    </r>
    <r>
      <rPr>
        <b/>
        <sz val="12"/>
        <rFont val="Times New Roman"/>
        <family val="1"/>
      </rPr>
      <t>&lt;UITSLAG&gt;</t>
    </r>
    <r>
      <rPr>
        <sz val="12"/>
        <rFont val="Times New Roman"/>
        <family val="1"/>
      </rPr>
      <t xml:space="preserve"> </t>
    </r>
  </si>
  <si>
    <r>
      <t>Het blad &lt;UITSLAG&gt; vervolgens sorteren op score, hiervoor altijd de</t>
    </r>
    <r>
      <rPr>
        <b/>
        <sz val="12"/>
        <rFont val="Times New Roman"/>
        <family val="1"/>
      </rPr>
      <t xml:space="preserve"> buttons</t>
    </r>
    <r>
      <rPr>
        <sz val="12"/>
        <rFont val="Times New Roman"/>
        <family val="1"/>
      </rPr>
      <t xml:space="preserve"> gebruiken.</t>
    </r>
  </si>
  <si>
    <t>Wanneer er namen en/of registratie nummers worden getransporteerd vanuit een ander bestand plak dan op het</t>
  </si>
  <si>
    <r>
      <t>blad &lt;</t>
    </r>
    <r>
      <rPr>
        <b/>
        <sz val="12"/>
        <rFont val="Times New Roman"/>
        <family val="1"/>
      </rPr>
      <t xml:space="preserve">scores&gt; </t>
    </r>
    <r>
      <rPr>
        <sz val="12"/>
        <rFont val="Times New Roman"/>
        <family val="1"/>
      </rPr>
      <t>uit dit bestand met "plakken speciaal" en dan "waarde" aanklikken, doe je dat niet dan worden</t>
    </r>
  </si>
  <si>
    <t>ook de cel instellingen van het andere bestand meegenomen.</t>
  </si>
  <si>
    <t>samengeteld invullen in het vak welke daarvoor bedoeld op het blad &lt;UITSLAG&gt; en daarna nogmaals sorteren.</t>
  </si>
  <si>
    <t>Rayon kampioenschappen Indoor Teams   Rayon 3</t>
  </si>
  <si>
    <t>KWART FINALE</t>
  </si>
  <si>
    <t>AABBABBABAAM</t>
  </si>
  <si>
    <t>Klasse: ???</t>
  </si>
  <si>
    <t>Vereniging</t>
  </si>
  <si>
    <t>Team naam</t>
  </si>
  <si>
    <t>Bondsnr</t>
  </si>
  <si>
    <t>Sporters</t>
  </si>
  <si>
    <t>Regio</t>
  </si>
  <si>
    <t>Organisatie</t>
  </si>
  <si>
    <t>Team naam 2</t>
  </si>
  <si>
    <t>Team naam 3</t>
  </si>
  <si>
    <t>Team naam 1</t>
  </si>
  <si>
    <t>Vereniging 1</t>
  </si>
  <si>
    <t>Vereniging 2</t>
  </si>
  <si>
    <t>Vereniging 3</t>
  </si>
  <si>
    <t>Team naam 4</t>
  </si>
  <si>
    <t>Vereniging 12</t>
  </si>
  <si>
    <t>Team naam 12</t>
  </si>
  <si>
    <t>Team naam 11</t>
  </si>
  <si>
    <t>Vereniging 11</t>
  </si>
  <si>
    <t>Vereniging 10</t>
  </si>
  <si>
    <t>Team naam 10</t>
  </si>
  <si>
    <t>Vereniging 9</t>
  </si>
  <si>
    <t>Team naam 9</t>
  </si>
  <si>
    <t>Vereniging 8</t>
  </si>
  <si>
    <t>Team naam 8</t>
  </si>
  <si>
    <t>Vereniging 7</t>
  </si>
  <si>
    <t>Team naam 7</t>
  </si>
  <si>
    <t>Vereniging 6</t>
  </si>
  <si>
    <t>Team naam 6</t>
  </si>
  <si>
    <t>Vereniging 4</t>
  </si>
  <si>
    <t>Vereniging 5</t>
  </si>
  <si>
    <t>Team naam 5</t>
  </si>
  <si>
    <t>yyyy-mm-dd</t>
  </si>
  <si>
    <t>score per sporter serie 1</t>
  </si>
  <si>
    <t>score per sporter serie 2</t>
  </si>
  <si>
    <t>totaal score per sporter</t>
  </si>
  <si>
    <t>som beste</t>
  </si>
  <si>
    <t>3 scores</t>
  </si>
  <si>
    <t>Gemiddelde</t>
  </si>
  <si>
    <t>Sporter</t>
  </si>
  <si>
    <t>Sporter 1</t>
  </si>
  <si>
    <t>Sporter 2</t>
  </si>
  <si>
    <t>Sporter 3</t>
  </si>
  <si>
    <t>Sporter 4</t>
  </si>
  <si>
    <t>Adres:</t>
  </si>
  <si>
    <t>Straat
Plaats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</si>
</sst>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7" x14ac:knownFonts="1">
    <font>
      <sz val="12"/>
      <name val="Arial"/>
    </font>
    <font>
      <sz val="10"/>
      <name val="Arial"/>
    </font>
    <font>
      <b/>
      <sz val="24"/>
      <name val="Arial"/>
      <family val="2"/>
    </font>
    <font>
      <b/>
      <sz val="12"/>
      <name val="Arial"/>
      <family val="2"/>
    </font>
    <font>
      <b/>
      <sz val="12"/>
      <color indexed="12"/>
      <name val="Arial"/>
      <family val="2"/>
    </font>
    <font>
      <b/>
      <sz val="18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b/>
      <sz val="16"/>
      <name val="Arial"/>
      <family val="2"/>
    </font>
    <font>
      <sz val="12"/>
      <color indexed="8"/>
      <name val="Courier"/>
    </font>
    <font>
      <b/>
      <sz val="12"/>
      <color indexed="8"/>
      <name val="Arial"/>
      <family val="2"/>
    </font>
    <font>
      <sz val="12"/>
      <color indexed="8"/>
      <name val="Arial"/>
    </font>
    <font>
      <b/>
      <sz val="22"/>
      <name val="Arial"/>
      <family val="2"/>
    </font>
    <font>
      <sz val="18"/>
      <name val="Arial"/>
      <family val="2"/>
    </font>
    <font>
      <b/>
      <sz val="28"/>
      <name val="Arial"/>
      <family val="2"/>
    </font>
    <font>
      <b/>
      <sz val="22"/>
      <color indexed="8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20"/>
      <color indexed="12"/>
      <name val="Arial"/>
      <family val="2"/>
    </font>
    <font>
      <sz val="20"/>
      <name val="Arial"/>
      <family val="2"/>
    </font>
    <font>
      <sz val="12"/>
      <name val="Times New Roman"/>
      <family val="1"/>
    </font>
    <font>
      <b/>
      <sz val="14"/>
      <name val="Times New Roman"/>
      <family val="1"/>
    </font>
    <font>
      <sz val="14"/>
      <name val="Times New Roman"/>
      <family val="1"/>
    </font>
    <font>
      <b/>
      <sz val="12"/>
      <name val="Times New Roman"/>
      <family val="1"/>
    </font>
    <font>
      <sz val="8"/>
      <name val="Arial"/>
    </font>
    <font>
      <b/>
      <sz val="12"/>
      <color rgb="FF000000"/>
      <name val="Arial"/>
      <family val="2"/>
    </font>
    <font>
      <sz val="11"/>
      <name val="Arial"/>
      <family val="2"/>
    </font>
  </fonts>
  <fills count="6">
    <fill>
      <patternFill patternType="none"/>
    </fill>
    <fill>
      <patternFill patternType="gray125"/>
    </fill>
    <fill>
      <patternFill patternType="gray125">
        <fgColor indexed="8"/>
      </patternFill>
    </fill>
    <fill>
      <patternFill patternType="solid">
        <fgColor indexed="65"/>
        <bgColor indexed="8"/>
      </patternFill>
    </fill>
    <fill>
      <patternFill patternType="solid">
        <fgColor indexed="9"/>
        <bgColor indexed="64"/>
      </patternFill>
    </fill>
    <fill>
      <patternFill patternType="lightGray">
        <fgColor indexed="8"/>
      </patternFill>
    </fill>
  </fills>
  <borders count="41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medium">
        <color indexed="8"/>
      </left>
      <right style="medium">
        <color indexed="8"/>
      </right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medium">
        <color indexed="8"/>
      </left>
      <right style="medium">
        <color indexed="8"/>
      </right>
      <top/>
      <bottom style="thin">
        <color indexed="8"/>
      </bottom>
      <diagonal/>
    </border>
    <border>
      <left/>
      <right style="medium">
        <color indexed="8"/>
      </right>
      <top/>
      <bottom style="thin">
        <color indexed="8"/>
      </bottom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double">
        <color indexed="8"/>
      </right>
      <top/>
      <bottom/>
      <diagonal/>
    </border>
    <border>
      <left/>
      <right/>
      <top style="double">
        <color indexed="8"/>
      </top>
      <bottom style="double">
        <color indexed="8"/>
      </bottom>
      <diagonal/>
    </border>
    <border>
      <left/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8"/>
      </left>
      <right/>
      <top/>
      <bottom/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</borders>
  <cellStyleXfs count="2">
    <xf numFmtId="0" fontId="0" fillId="0" borderId="0"/>
    <xf numFmtId="0" fontId="1" fillId="0" borderId="0"/>
  </cellStyleXfs>
  <cellXfs count="158"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/>
    <xf numFmtId="0" fontId="3" fillId="0" borderId="1" xfId="0" applyFont="1" applyBorder="1" applyAlignment="1">
      <alignment horizontal="center" vertical="center"/>
    </xf>
    <xf numFmtId="0" fontId="3" fillId="0" borderId="1" xfId="0" applyFont="1" applyBorder="1"/>
    <xf numFmtId="0" fontId="3" fillId="0" borderId="2" xfId="0" applyFont="1" applyBorder="1"/>
    <xf numFmtId="0" fontId="3" fillId="2" borderId="4" xfId="0" applyFont="1" applyFill="1" applyBorder="1"/>
    <xf numFmtId="0" fontId="3" fillId="0" borderId="5" xfId="0" applyFont="1" applyBorder="1"/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2" fillId="0" borderId="0" xfId="0" applyFont="1"/>
    <xf numFmtId="0" fontId="5" fillId="0" borderId="0" xfId="0" applyFont="1" applyAlignment="1">
      <alignment horizontal="center" vertical="center"/>
    </xf>
    <xf numFmtId="0" fontId="0" fillId="0" borderId="0" xfId="0" applyProtection="1"/>
    <xf numFmtId="0" fontId="0" fillId="2" borderId="14" xfId="0" applyFill="1" applyBorder="1" applyProtection="1"/>
    <xf numFmtId="0" fontId="0" fillId="2" borderId="15" xfId="0" applyFill="1" applyBorder="1" applyProtection="1"/>
    <xf numFmtId="0" fontId="2" fillId="2" borderId="16" xfId="0" applyFont="1" applyFill="1" applyBorder="1" applyProtection="1"/>
    <xf numFmtId="0" fontId="2" fillId="0" borderId="0" xfId="0" applyFont="1" applyProtection="1"/>
    <xf numFmtId="0" fontId="0" fillId="2" borderId="0" xfId="0" applyFill="1" applyAlignment="1" applyProtection="1">
      <alignment horizontal="left" vertical="center"/>
    </xf>
    <xf numFmtId="0" fontId="0" fillId="0" borderId="0" xfId="0" applyAlignment="1" applyProtection="1">
      <alignment horizontal="left" vertical="center"/>
    </xf>
    <xf numFmtId="0" fontId="5" fillId="0" borderId="0" xfId="0" applyFont="1" applyAlignment="1" applyProtection="1">
      <alignment horizontal="center" vertical="center"/>
    </xf>
    <xf numFmtId="0" fontId="3" fillId="0" borderId="0" xfId="0" applyFont="1" applyProtection="1"/>
    <xf numFmtId="0" fontId="3" fillId="0" borderId="17" xfId="0" applyFont="1" applyBorder="1" applyProtection="1"/>
    <xf numFmtId="0" fontId="3" fillId="0" borderId="18" xfId="0" applyFont="1" applyBorder="1" applyProtection="1"/>
    <xf numFmtId="0" fontId="0" fillId="0" borderId="19" xfId="0" applyBorder="1"/>
    <xf numFmtId="0" fontId="5" fillId="0" borderId="20" xfId="0" applyFont="1" applyBorder="1" applyAlignment="1">
      <alignment horizontal="left"/>
    </xf>
    <xf numFmtId="0" fontId="7" fillId="0" borderId="21" xfId="0" applyFont="1" applyBorder="1"/>
    <xf numFmtId="0" fontId="7" fillId="0" borderId="21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6" fillId="0" borderId="0" xfId="0" applyFont="1"/>
    <xf numFmtId="0" fontId="6" fillId="0" borderId="22" xfId="0" applyFont="1" applyBorder="1"/>
    <xf numFmtId="0" fontId="2" fillId="0" borderId="0" xfId="0" applyFont="1" applyAlignment="1" applyProtection="1">
      <alignment horizontal="left" vertical="center"/>
    </xf>
    <xf numFmtId="0" fontId="0" fillId="3" borderId="0" xfId="0" applyFill="1" applyBorder="1" applyProtection="1"/>
    <xf numFmtId="0" fontId="3" fillId="0" borderId="0" xfId="0" applyFont="1" applyBorder="1" applyProtection="1"/>
    <xf numFmtId="0" fontId="5" fillId="0" borderId="18" xfId="0" applyFont="1" applyBorder="1" applyAlignment="1" applyProtection="1">
      <alignment horizontal="left"/>
    </xf>
    <xf numFmtId="0" fontId="2" fillId="2" borderId="14" xfId="0" applyFont="1" applyFill="1" applyBorder="1" applyProtection="1"/>
    <xf numFmtId="0" fontId="5" fillId="0" borderId="23" xfId="0" applyFont="1" applyBorder="1" applyAlignment="1">
      <alignment horizontal="left"/>
    </xf>
    <xf numFmtId="0" fontId="13" fillId="0" borderId="0" xfId="0" applyFont="1" applyAlignment="1">
      <alignment horizontal="left" vertical="center"/>
    </xf>
    <xf numFmtId="0" fontId="5" fillId="0" borderId="23" xfId="0" applyFont="1" applyBorder="1" applyAlignment="1" applyProtection="1">
      <alignment horizontal="left" vertical="center"/>
    </xf>
    <xf numFmtId="0" fontId="5" fillId="0" borderId="0" xfId="0" applyFont="1" applyBorder="1" applyAlignment="1" applyProtection="1">
      <alignment horizontal="left" vertical="center"/>
    </xf>
    <xf numFmtId="0" fontId="13" fillId="0" borderId="0" xfId="0" applyFont="1" applyAlignment="1" applyProtection="1">
      <alignment horizontal="left" vertical="center"/>
    </xf>
    <xf numFmtId="0" fontId="15" fillId="0" borderId="23" xfId="0" applyFont="1" applyBorder="1" applyAlignment="1" applyProtection="1">
      <alignment horizontal="center"/>
      <protection locked="0"/>
    </xf>
    <xf numFmtId="0" fontId="12" fillId="2" borderId="14" xfId="0" applyFont="1" applyFill="1" applyBorder="1" applyProtection="1"/>
    <xf numFmtId="0" fontId="1" fillId="0" borderId="0" xfId="1"/>
    <xf numFmtId="0" fontId="1" fillId="0" borderId="0" xfId="1" applyAlignment="1">
      <alignment horizontal="center"/>
    </xf>
    <xf numFmtId="0" fontId="16" fillId="0" borderId="24" xfId="1" applyFont="1" applyBorder="1" applyAlignment="1">
      <alignment horizontal="center"/>
    </xf>
    <xf numFmtId="0" fontId="1" fillId="0" borderId="24" xfId="1" applyBorder="1" applyAlignment="1">
      <alignment horizontal="center"/>
    </xf>
    <xf numFmtId="0" fontId="16" fillId="0" borderId="25" xfId="1" applyFont="1" applyBorder="1" applyAlignment="1">
      <alignment horizontal="center"/>
    </xf>
    <xf numFmtId="0" fontId="16" fillId="0" borderId="26" xfId="1" applyFont="1" applyBorder="1" applyAlignment="1">
      <alignment horizontal="center"/>
    </xf>
    <xf numFmtId="0" fontId="16" fillId="0" borderId="27" xfId="1" applyFont="1" applyBorder="1" applyAlignment="1">
      <alignment horizontal="center"/>
    </xf>
    <xf numFmtId="0" fontId="16" fillId="0" borderId="28" xfId="1" applyFont="1" applyBorder="1" applyAlignment="1">
      <alignment horizontal="center"/>
    </xf>
    <xf numFmtId="0" fontId="16" fillId="0" borderId="0" xfId="1" applyFont="1" applyAlignment="1">
      <alignment horizontal="center"/>
    </xf>
    <xf numFmtId="0" fontId="1" fillId="0" borderId="0" xfId="1" applyAlignment="1"/>
    <xf numFmtId="1" fontId="17" fillId="0" borderId="0" xfId="0" applyNumberFormat="1" applyFont="1" applyBorder="1" applyAlignment="1">
      <alignment horizontal="center" vertical="center"/>
    </xf>
    <xf numFmtId="0" fontId="4" fillId="0" borderId="23" xfId="0" applyFont="1" applyBorder="1" applyAlignment="1" applyProtection="1">
      <alignment horizontal="center" vertical="center"/>
    </xf>
    <xf numFmtId="0" fontId="6" fillId="0" borderId="23" xfId="0" applyFont="1" applyBorder="1" applyAlignment="1" applyProtection="1">
      <alignment horizontal="left" vertical="center"/>
    </xf>
    <xf numFmtId="0" fontId="6" fillId="0" borderId="29" xfId="0" applyFont="1" applyBorder="1" applyAlignment="1" applyProtection="1">
      <alignment horizontal="left" vertical="center"/>
    </xf>
    <xf numFmtId="1" fontId="9" fillId="0" borderId="15" xfId="0" applyNumberFormat="1" applyFont="1" applyBorder="1" applyAlignment="1" applyProtection="1">
      <alignment horizontal="center" vertical="center"/>
    </xf>
    <xf numFmtId="1" fontId="10" fillId="2" borderId="30" xfId="0" applyNumberFormat="1" applyFont="1" applyFill="1" applyBorder="1" applyAlignment="1" applyProtection="1">
      <alignment horizontal="center" vertical="center"/>
    </xf>
    <xf numFmtId="1" fontId="11" fillId="0" borderId="31" xfId="0" applyNumberFormat="1" applyFont="1" applyBorder="1" applyAlignment="1" applyProtection="1">
      <alignment horizontal="center" vertical="center"/>
    </xf>
    <xf numFmtId="1" fontId="11" fillId="0" borderId="23" xfId="0" applyNumberFormat="1" applyFont="1" applyBorder="1" applyAlignment="1" applyProtection="1">
      <alignment horizontal="center" vertical="center"/>
    </xf>
    <xf numFmtId="1" fontId="11" fillId="0" borderId="29" xfId="0" applyNumberFormat="1" applyFont="1" applyBorder="1" applyAlignment="1" applyProtection="1">
      <alignment horizontal="center" vertical="center"/>
    </xf>
    <xf numFmtId="1" fontId="10" fillId="0" borderId="32" xfId="0" applyNumberFormat="1" applyFont="1" applyBorder="1" applyAlignment="1" applyProtection="1">
      <alignment horizontal="center" vertical="center"/>
    </xf>
    <xf numFmtId="0" fontId="6" fillId="0" borderId="23" xfId="0" applyFont="1" applyBorder="1" applyProtection="1">
      <protection locked="0"/>
    </xf>
    <xf numFmtId="0" fontId="15" fillId="0" borderId="23" xfId="0" applyFont="1" applyBorder="1" applyAlignment="1" applyProtection="1">
      <alignment horizontal="center" vertical="center"/>
      <protection locked="0"/>
    </xf>
    <xf numFmtId="0" fontId="15" fillId="0" borderId="0" xfId="0" applyFont="1" applyAlignment="1" applyProtection="1">
      <alignment horizontal="center" vertical="center"/>
      <protection locked="0"/>
    </xf>
    <xf numFmtId="0" fontId="3" fillId="0" borderId="17" xfId="0" applyFont="1" applyBorder="1" applyProtection="1">
      <protection locked="0"/>
    </xf>
    <xf numFmtId="0" fontId="3" fillId="0" borderId="0" xfId="0" applyFont="1" applyBorder="1" applyProtection="1">
      <protection locked="0"/>
    </xf>
    <xf numFmtId="0" fontId="18" fillId="0" borderId="33" xfId="0" applyFont="1" applyBorder="1" applyAlignment="1" applyProtection="1">
      <alignment horizontal="center" vertical="center"/>
      <protection locked="0"/>
    </xf>
    <xf numFmtId="0" fontId="18" fillId="0" borderId="34" xfId="0" applyFont="1" applyBorder="1" applyAlignment="1" applyProtection="1">
      <alignment horizontal="center" vertical="center"/>
      <protection locked="0"/>
    </xf>
    <xf numFmtId="0" fontId="19" fillId="0" borderId="0" xfId="0" applyFont="1" applyBorder="1" applyAlignment="1" applyProtection="1">
      <alignment horizontal="center" vertical="center"/>
      <protection locked="0"/>
    </xf>
    <xf numFmtId="0" fontId="18" fillId="0" borderId="33" xfId="0" applyFont="1" applyBorder="1" applyAlignment="1" applyProtection="1">
      <alignment horizontal="center"/>
      <protection locked="0"/>
    </xf>
    <xf numFmtId="0" fontId="2" fillId="2" borderId="16" xfId="0" applyFont="1" applyFill="1" applyBorder="1" applyAlignment="1" applyProtection="1">
      <alignment vertical="center"/>
      <protection locked="0"/>
    </xf>
    <xf numFmtId="0" fontId="3" fillId="2" borderId="14" xfId="0" applyFont="1" applyFill="1" applyBorder="1" applyProtection="1">
      <protection locked="0"/>
    </xf>
    <xf numFmtId="0" fontId="0" fillId="2" borderId="14" xfId="0" applyFill="1" applyBorder="1" applyProtection="1">
      <protection locked="0"/>
    </xf>
    <xf numFmtId="0" fontId="8" fillId="2" borderId="14" xfId="0" applyFont="1" applyFill="1" applyBorder="1" applyProtection="1">
      <protection locked="0"/>
    </xf>
    <xf numFmtId="0" fontId="3" fillId="2" borderId="15" xfId="0" applyFont="1" applyFill="1" applyBorder="1" applyProtection="1">
      <protection locked="0"/>
    </xf>
    <xf numFmtId="0" fontId="16" fillId="0" borderId="0" xfId="1" applyFont="1" applyAlignment="1" applyProtection="1">
      <alignment horizontal="center"/>
      <protection locked="0"/>
    </xf>
    <xf numFmtId="0" fontId="1" fillId="0" borderId="0" xfId="1" applyAlignment="1" applyProtection="1">
      <alignment horizontal="center"/>
      <protection locked="0"/>
    </xf>
    <xf numFmtId="0" fontId="16" fillId="0" borderId="0" xfId="1" applyFont="1" applyAlignment="1" applyProtection="1">
      <alignment horizontal="left"/>
      <protection locked="0"/>
    </xf>
    <xf numFmtId="0" fontId="1" fillId="0" borderId="0" xfId="1" applyAlignment="1" applyProtection="1">
      <alignment horizontal="left"/>
      <protection locked="0"/>
    </xf>
    <xf numFmtId="0" fontId="1" fillId="0" borderId="0" xfId="1" applyFont="1" applyAlignment="1" applyProtection="1">
      <alignment horizontal="center"/>
      <protection locked="0"/>
    </xf>
    <xf numFmtId="0" fontId="16" fillId="0" borderId="35" xfId="1" applyFont="1" applyBorder="1" applyAlignment="1">
      <alignment horizontal="center"/>
    </xf>
    <xf numFmtId="0" fontId="16" fillId="0" borderId="0" xfId="1" applyFont="1" applyAlignment="1"/>
    <xf numFmtId="0" fontId="20" fillId="0" borderId="0" xfId="0" applyFont="1"/>
    <xf numFmtId="0" fontId="21" fillId="0" borderId="0" xfId="0" applyFont="1"/>
    <xf numFmtId="0" fontId="22" fillId="0" borderId="0" xfId="0" applyFont="1"/>
    <xf numFmtId="0" fontId="23" fillId="0" borderId="0" xfId="0" applyFont="1"/>
    <xf numFmtId="0" fontId="0" fillId="0" borderId="0" xfId="0" applyFont="1"/>
    <xf numFmtId="0" fontId="14" fillId="0" borderId="0" xfId="0" applyFont="1"/>
    <xf numFmtId="0" fontId="0" fillId="0" borderId="0" xfId="0" applyBorder="1"/>
    <xf numFmtId="0" fontId="14" fillId="2" borderId="16" xfId="0" applyFont="1" applyFill="1" applyBorder="1" applyProtection="1"/>
    <xf numFmtId="0" fontId="0" fillId="4" borderId="0" xfId="0" applyFill="1"/>
    <xf numFmtId="0" fontId="0" fillId="4" borderId="0" xfId="0" applyFill="1" applyAlignment="1">
      <alignment horizontal="center" vertical="center"/>
    </xf>
    <xf numFmtId="0" fontId="14" fillId="4" borderId="0" xfId="0" applyFont="1" applyFill="1"/>
    <xf numFmtId="0" fontId="0" fillId="4" borderId="0" xfId="0" applyFill="1" applyAlignment="1" applyProtection="1">
      <alignment horizontal="left" vertical="center"/>
    </xf>
    <xf numFmtId="0" fontId="0" fillId="4" borderId="0" xfId="0" applyFill="1" applyProtection="1"/>
    <xf numFmtId="0" fontId="5" fillId="4" borderId="0" xfId="0" applyFont="1" applyFill="1" applyAlignment="1" applyProtection="1">
      <alignment horizontal="center" vertical="center"/>
    </xf>
    <xf numFmtId="0" fontId="15" fillId="4" borderId="0" xfId="0" applyFont="1" applyFill="1" applyAlignment="1" applyProtection="1">
      <alignment horizontal="center" vertical="center"/>
      <protection locked="0"/>
    </xf>
    <xf numFmtId="0" fontId="19" fillId="4" borderId="0" xfId="0" applyFont="1" applyFill="1" applyBorder="1" applyAlignment="1" applyProtection="1">
      <alignment horizontal="center" vertical="center"/>
      <protection locked="0"/>
    </xf>
    <xf numFmtId="0" fontId="2" fillId="4" borderId="0" xfId="0" applyFont="1" applyFill="1"/>
    <xf numFmtId="0" fontId="13" fillId="4" borderId="0" xfId="0" applyFont="1" applyFill="1" applyAlignment="1" applyProtection="1">
      <alignment horizontal="left" vertical="center"/>
    </xf>
    <xf numFmtId="0" fontId="5" fillId="4" borderId="0" xfId="0" applyFont="1" applyFill="1" applyAlignment="1">
      <alignment horizontal="center" vertical="center"/>
    </xf>
    <xf numFmtId="0" fontId="0" fillId="4" borderId="0" xfId="0" applyFill="1" applyBorder="1" applyProtection="1"/>
    <xf numFmtId="0" fontId="2" fillId="4" borderId="0" xfId="0" applyFont="1" applyFill="1" applyAlignment="1" applyProtection="1">
      <alignment horizontal="left" vertical="center"/>
    </xf>
    <xf numFmtId="0" fontId="3" fillId="4" borderId="0" xfId="0" applyFont="1" applyFill="1" applyProtection="1"/>
    <xf numFmtId="0" fontId="13" fillId="4" borderId="0" xfId="0" applyFont="1" applyFill="1" applyAlignment="1">
      <alignment horizontal="left" vertical="center"/>
    </xf>
    <xf numFmtId="0" fontId="3" fillId="4" borderId="17" xfId="0" applyFont="1" applyFill="1" applyBorder="1" applyProtection="1">
      <protection locked="0"/>
    </xf>
    <xf numFmtId="0" fontId="3" fillId="4" borderId="0" xfId="0" applyFont="1" applyFill="1" applyBorder="1" applyProtection="1">
      <protection locked="0"/>
    </xf>
    <xf numFmtId="0" fontId="3" fillId="4" borderId="17" xfId="0" applyFont="1" applyFill="1" applyBorder="1" applyProtection="1"/>
    <xf numFmtId="0" fontId="3" fillId="4" borderId="0" xfId="0" applyFont="1" applyFill="1" applyBorder="1" applyProtection="1"/>
    <xf numFmtId="0" fontId="5" fillId="4" borderId="20" xfId="0" applyFont="1" applyFill="1" applyBorder="1" applyAlignment="1">
      <alignment horizontal="left"/>
    </xf>
    <xf numFmtId="0" fontId="5" fillId="4" borderId="18" xfId="0" applyFont="1" applyFill="1" applyBorder="1" applyAlignment="1" applyProtection="1">
      <alignment horizontal="left"/>
    </xf>
    <xf numFmtId="0" fontId="3" fillId="4" borderId="18" xfId="0" applyFont="1" applyFill="1" applyBorder="1" applyProtection="1"/>
    <xf numFmtId="0" fontId="0" fillId="4" borderId="19" xfId="0" applyFill="1" applyBorder="1"/>
    <xf numFmtId="0" fontId="0" fillId="4" borderId="36" xfId="0" applyFill="1" applyBorder="1" applyProtection="1"/>
    <xf numFmtId="0" fontId="2" fillId="4" borderId="0" xfId="0" applyFont="1" applyFill="1" applyBorder="1" applyProtection="1"/>
    <xf numFmtId="0" fontId="0" fillId="4" borderId="0" xfId="0" applyFill="1" applyBorder="1"/>
    <xf numFmtId="0" fontId="5" fillId="4" borderId="0" xfId="0" applyFont="1" applyFill="1" applyBorder="1" applyAlignment="1">
      <alignment horizontal="left"/>
    </xf>
    <xf numFmtId="0" fontId="0" fillId="4" borderId="0" xfId="0" applyFill="1" applyBorder="1" applyAlignment="1" applyProtection="1">
      <alignment horizontal="left" vertical="center"/>
    </xf>
    <xf numFmtId="0" fontId="15" fillId="4" borderId="0" xfId="0" applyFont="1" applyFill="1" applyBorder="1" applyAlignment="1" applyProtection="1">
      <alignment horizontal="center"/>
      <protection locked="0"/>
    </xf>
    <xf numFmtId="0" fontId="18" fillId="4" borderId="0" xfId="0" applyFont="1" applyFill="1" applyBorder="1" applyAlignment="1" applyProtection="1">
      <alignment horizontal="center"/>
      <protection locked="0"/>
    </xf>
    <xf numFmtId="0" fontId="2" fillId="4" borderId="0" xfId="0" applyFont="1" applyFill="1" applyBorder="1"/>
    <xf numFmtId="0" fontId="13" fillId="4" borderId="0" xfId="0" applyFont="1" applyFill="1" applyBorder="1" applyAlignment="1">
      <alignment horizontal="left" vertical="center"/>
    </xf>
    <xf numFmtId="0" fontId="3" fillId="0" borderId="6" xfId="0" applyFont="1" applyBorder="1" applyAlignment="1">
      <alignment horizontal="left" vertical="center"/>
    </xf>
    <xf numFmtId="0" fontId="3" fillId="0" borderId="7" xfId="0" applyFont="1" applyBorder="1" applyAlignment="1">
      <alignment horizontal="left" vertical="center"/>
    </xf>
    <xf numFmtId="0" fontId="5" fillId="0" borderId="0" xfId="1" applyFont="1" applyAlignment="1" applyProtection="1">
      <protection locked="0"/>
    </xf>
    <xf numFmtId="49" fontId="8" fillId="2" borderId="14" xfId="0" applyNumberFormat="1" applyFont="1" applyFill="1" applyBorder="1" applyProtection="1">
      <protection locked="0"/>
    </xf>
    <xf numFmtId="0" fontId="5" fillId="5" borderId="37" xfId="0" applyFont="1" applyFill="1" applyBorder="1" applyAlignment="1" applyProtection="1">
      <alignment horizontal="center" vertical="center"/>
      <protection locked="0"/>
    </xf>
    <xf numFmtId="0" fontId="5" fillId="5" borderId="38" xfId="0" applyFont="1" applyFill="1" applyBorder="1" applyAlignment="1" applyProtection="1">
      <alignment horizontal="center" vertical="center"/>
      <protection locked="0"/>
    </xf>
    <xf numFmtId="0" fontId="5" fillId="5" borderId="39" xfId="0" applyFont="1" applyFill="1" applyBorder="1" applyAlignment="1" applyProtection="1">
      <alignment horizontal="center" vertical="center"/>
      <protection locked="0"/>
    </xf>
    <xf numFmtId="0" fontId="3" fillId="0" borderId="40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2" fillId="2" borderId="14" xfId="0" applyFont="1" applyFill="1" applyBorder="1" applyAlignment="1" applyProtection="1">
      <alignment horizontal="center"/>
    </xf>
    <xf numFmtId="0" fontId="5" fillId="0" borderId="0" xfId="1" applyFont="1" applyAlignment="1" applyProtection="1">
      <alignment vertical="center"/>
      <protection locked="0"/>
    </xf>
    <xf numFmtId="0" fontId="6" fillId="0" borderId="0" xfId="1" applyFont="1" applyAlignment="1">
      <alignment horizontal="left" vertical="center"/>
    </xf>
    <xf numFmtId="0" fontId="16" fillId="0" borderId="0" xfId="1" applyFont="1" applyAlignment="1">
      <alignment horizontal="center" vertical="center"/>
    </xf>
    <xf numFmtId="49" fontId="3" fillId="0" borderId="0" xfId="1" applyNumberFormat="1" applyFont="1" applyAlignment="1" applyProtection="1">
      <alignment horizontal="left" vertical="center"/>
      <protection locked="0"/>
    </xf>
    <xf numFmtId="0" fontId="13" fillId="0" borderId="0" xfId="1" applyFont="1" applyAlignment="1">
      <alignment horizontal="left" vertical="center"/>
    </xf>
    <xf numFmtId="0" fontId="26" fillId="0" borderId="0" xfId="1" applyFont="1" applyAlignment="1">
      <alignment horizontal="left" vertical="top" wrapText="1"/>
    </xf>
    <xf numFmtId="0" fontId="26" fillId="0" borderId="0" xfId="1" applyFont="1" applyAlignment="1">
      <alignment horizontal="left" vertical="top"/>
    </xf>
    <xf numFmtId="164" fontId="6" fillId="0" borderId="0" xfId="1" applyNumberFormat="1" applyFont="1" applyAlignment="1">
      <alignment horizontal="left" vertical="center"/>
    </xf>
    <xf numFmtId="164" fontId="1" fillId="0" borderId="0" xfId="1" applyNumberFormat="1" applyAlignment="1">
      <alignment horizontal="right"/>
    </xf>
    <xf numFmtId="164" fontId="5" fillId="0" borderId="0" xfId="1" applyNumberFormat="1" applyFont="1" applyAlignment="1" applyProtection="1">
      <alignment horizontal="right"/>
      <protection locked="0"/>
    </xf>
    <xf numFmtId="164" fontId="16" fillId="0" borderId="24" xfId="1" applyNumberFormat="1" applyFont="1" applyBorder="1" applyAlignment="1">
      <alignment horizontal="right"/>
    </xf>
    <xf numFmtId="164" fontId="16" fillId="0" borderId="27" xfId="1" applyNumberFormat="1" applyFont="1" applyBorder="1" applyAlignment="1">
      <alignment horizontal="right"/>
    </xf>
    <xf numFmtId="164" fontId="16" fillId="0" borderId="0" xfId="1" applyNumberFormat="1" applyFont="1" applyAlignment="1">
      <alignment horizontal="right"/>
    </xf>
    <xf numFmtId="164" fontId="16" fillId="0" borderId="0" xfId="1" applyNumberFormat="1" applyFont="1" applyAlignment="1" applyProtection="1">
      <alignment horizontal="right"/>
      <protection locked="0"/>
    </xf>
    <xf numFmtId="164" fontId="1" fillId="0" borderId="0" xfId="1" applyNumberFormat="1" applyAlignment="1" applyProtection="1">
      <alignment horizontal="right"/>
      <protection locked="0"/>
    </xf>
    <xf numFmtId="164" fontId="0" fillId="0" borderId="0" xfId="0" applyNumberFormat="1" applyAlignment="1">
      <alignment horizontal="right"/>
    </xf>
  </cellXfs>
  <cellStyles count="2">
    <cellStyle name="Normal" xfId="0" builtinId="0"/>
    <cellStyle name="Standaard_team model" xfId="1" xr:uid="{00000000-0005-0000-0000-000001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3</xdr:row>
          <xdr:rowOff>171450</xdr:rowOff>
        </xdr:from>
        <xdr:to>
          <xdr:col>10</xdr:col>
          <xdr:colOff>190500</xdr:colOff>
          <xdr:row>4</xdr:row>
          <xdr:rowOff>28575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nl-NL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sorteren score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4</xdr:row>
          <xdr:rowOff>66675</xdr:rowOff>
        </xdr:from>
        <xdr:to>
          <xdr:col>10</xdr:col>
          <xdr:colOff>190500</xdr:colOff>
          <xdr:row>5</xdr:row>
          <xdr:rowOff>104775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nl-NL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sorteren baan</a:t>
              </a:r>
            </a:p>
          </xdr:txBody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/>
  <dimension ref="A1:E125"/>
  <sheetViews>
    <sheetView workbookViewId="0"/>
  </sheetViews>
  <sheetFormatPr defaultRowHeight="15" x14ac:dyDescent="0.2"/>
  <sheetData>
    <row r="1" spans="1:5" s="91" customFormat="1" ht="15.75" x14ac:dyDescent="0.25"/>
    <row r="2" spans="1:5" s="93" customFormat="1" ht="18.75" x14ac:dyDescent="0.3">
      <c r="A2" s="92" t="s">
        <v>17</v>
      </c>
    </row>
    <row r="3" spans="1:5" s="91" customFormat="1" ht="15.75" x14ac:dyDescent="0.25"/>
    <row r="4" spans="1:5" s="91" customFormat="1" ht="15.75" x14ac:dyDescent="0.25">
      <c r="A4" s="91" t="s">
        <v>18</v>
      </c>
    </row>
    <row r="5" spans="1:5" s="91" customFormat="1" ht="15.75" x14ac:dyDescent="0.25">
      <c r="A5" s="91" t="s">
        <v>34</v>
      </c>
    </row>
    <row r="6" spans="1:5" s="91" customFormat="1" ht="15.75" x14ac:dyDescent="0.25">
      <c r="A6" s="91" t="s">
        <v>19</v>
      </c>
    </row>
    <row r="7" spans="1:5" s="91" customFormat="1" ht="15.75" x14ac:dyDescent="0.25">
      <c r="A7" s="91" t="s">
        <v>20</v>
      </c>
    </row>
    <row r="8" spans="1:5" s="91" customFormat="1" ht="15.75" x14ac:dyDescent="0.25">
      <c r="A8" s="91" t="s">
        <v>37</v>
      </c>
    </row>
    <row r="9" spans="1:5" s="91" customFormat="1" ht="15.75" x14ac:dyDescent="0.25">
      <c r="A9" s="91" t="s">
        <v>38</v>
      </c>
    </row>
    <row r="10" spans="1:5" s="91" customFormat="1" ht="15.75" x14ac:dyDescent="0.25">
      <c r="A10" s="91" t="s">
        <v>39</v>
      </c>
    </row>
    <row r="11" spans="1:5" s="91" customFormat="1" ht="15.75" x14ac:dyDescent="0.25">
      <c r="A11" s="91" t="s">
        <v>35</v>
      </c>
      <c r="E11" s="94"/>
    </row>
    <row r="12" spans="1:5" s="91" customFormat="1" ht="15.75" x14ac:dyDescent="0.25">
      <c r="A12" s="91" t="s">
        <v>36</v>
      </c>
    </row>
    <row r="13" spans="1:5" s="91" customFormat="1" ht="15.75" x14ac:dyDescent="0.25">
      <c r="A13" s="91" t="s">
        <v>21</v>
      </c>
    </row>
    <row r="14" spans="1:5" s="91" customFormat="1" ht="15.75" x14ac:dyDescent="0.25">
      <c r="A14" s="91" t="s">
        <v>40</v>
      </c>
    </row>
    <row r="15" spans="1:5" s="91" customFormat="1" ht="15.75" x14ac:dyDescent="0.25">
      <c r="A15" s="91" t="s">
        <v>22</v>
      </c>
    </row>
    <row r="16" spans="1:5" s="91" customFormat="1" ht="15.75" x14ac:dyDescent="0.25"/>
    <row r="17" spans="1:1" s="91" customFormat="1" ht="15.75" x14ac:dyDescent="0.25">
      <c r="A17" s="91" t="s">
        <v>23</v>
      </c>
    </row>
    <row r="18" spans="1:1" s="91" customFormat="1" ht="15.75" x14ac:dyDescent="0.25">
      <c r="A18" s="91" t="s">
        <v>24</v>
      </c>
    </row>
    <row r="19" spans="1:1" s="91" customFormat="1" ht="15.75" x14ac:dyDescent="0.25">
      <c r="A19" s="91" t="s">
        <v>25</v>
      </c>
    </row>
    <row r="20" spans="1:1" s="91" customFormat="1" ht="15.75" x14ac:dyDescent="0.25">
      <c r="A20" s="91" t="s">
        <v>26</v>
      </c>
    </row>
    <row r="21" spans="1:1" s="91" customFormat="1" ht="15.75" x14ac:dyDescent="0.25">
      <c r="A21" s="91" t="s">
        <v>27</v>
      </c>
    </row>
    <row r="22" spans="1:1" s="91" customFormat="1" ht="15.75" x14ac:dyDescent="0.25">
      <c r="A22" s="91" t="s">
        <v>28</v>
      </c>
    </row>
    <row r="23" spans="1:1" s="91" customFormat="1" ht="15.75" x14ac:dyDescent="0.25">
      <c r="A23" s="91" t="s">
        <v>29</v>
      </c>
    </row>
    <row r="24" spans="1:1" s="91" customFormat="1" ht="15.75" x14ac:dyDescent="0.25">
      <c r="A24" s="91" t="s">
        <v>30</v>
      </c>
    </row>
    <row r="25" spans="1:1" s="91" customFormat="1" ht="15.75" x14ac:dyDescent="0.25">
      <c r="A25" s="91" t="s">
        <v>31</v>
      </c>
    </row>
    <row r="26" spans="1:1" s="91" customFormat="1" ht="15.75" x14ac:dyDescent="0.25">
      <c r="A26" s="91" t="s">
        <v>32</v>
      </c>
    </row>
    <row r="27" spans="1:1" s="91" customFormat="1" ht="15.75" x14ac:dyDescent="0.25"/>
    <row r="28" spans="1:1" s="91" customFormat="1" ht="15.75" x14ac:dyDescent="0.25">
      <c r="A28" s="91" t="s">
        <v>33</v>
      </c>
    </row>
    <row r="29" spans="1:1" s="91" customFormat="1" ht="15.75" x14ac:dyDescent="0.25"/>
    <row r="30" spans="1:1" s="91" customFormat="1" ht="15.75" x14ac:dyDescent="0.25"/>
    <row r="31" spans="1:1" s="91" customFormat="1" ht="15.75" x14ac:dyDescent="0.25"/>
    <row r="32" spans="1:1" s="91" customFormat="1" ht="15.75" x14ac:dyDescent="0.25"/>
    <row r="33" s="91" customFormat="1" ht="15.75" x14ac:dyDescent="0.25"/>
    <row r="34" s="91" customFormat="1" ht="15.75" x14ac:dyDescent="0.25"/>
    <row r="35" s="91" customFormat="1" ht="15.75" x14ac:dyDescent="0.25"/>
    <row r="36" s="91" customFormat="1" ht="15.75" x14ac:dyDescent="0.25"/>
    <row r="37" s="91" customFormat="1" ht="15.75" x14ac:dyDescent="0.25"/>
    <row r="38" s="91" customFormat="1" ht="15.75" x14ac:dyDescent="0.25"/>
    <row r="39" s="91" customFormat="1" ht="15.75" x14ac:dyDescent="0.25"/>
    <row r="40" s="91" customFormat="1" ht="15.75" x14ac:dyDescent="0.25"/>
    <row r="41" s="91" customFormat="1" ht="15.75" x14ac:dyDescent="0.25"/>
    <row r="42" s="91" customFormat="1" ht="15.75" x14ac:dyDescent="0.25"/>
    <row r="43" s="91" customFormat="1" ht="15.75" x14ac:dyDescent="0.25"/>
    <row r="44" s="91" customFormat="1" ht="15.75" x14ac:dyDescent="0.25"/>
    <row r="45" s="91" customFormat="1" ht="15.75" x14ac:dyDescent="0.25"/>
    <row r="46" s="91" customFormat="1" ht="15.75" x14ac:dyDescent="0.25"/>
    <row r="47" s="91" customFormat="1" ht="15.75" x14ac:dyDescent="0.25"/>
    <row r="48" s="91" customFormat="1" ht="15.75" x14ac:dyDescent="0.25"/>
    <row r="49" s="91" customFormat="1" ht="15.75" x14ac:dyDescent="0.25"/>
    <row r="50" s="91" customFormat="1" ht="15.75" x14ac:dyDescent="0.25"/>
    <row r="51" s="91" customFormat="1" ht="15.75" x14ac:dyDescent="0.25"/>
    <row r="52" s="91" customFormat="1" ht="15.75" x14ac:dyDescent="0.25"/>
    <row r="53" s="91" customFormat="1" ht="15.75" x14ac:dyDescent="0.25"/>
    <row r="54" s="91" customFormat="1" ht="15.75" x14ac:dyDescent="0.25"/>
    <row r="55" s="91" customFormat="1" ht="15.75" x14ac:dyDescent="0.25"/>
    <row r="56" s="91" customFormat="1" ht="15.75" x14ac:dyDescent="0.25"/>
    <row r="57" s="91" customFormat="1" ht="15.75" x14ac:dyDescent="0.25"/>
    <row r="58" s="91" customFormat="1" ht="15.75" x14ac:dyDescent="0.25"/>
    <row r="59" s="91" customFormat="1" ht="15.75" x14ac:dyDescent="0.25"/>
    <row r="60" s="91" customFormat="1" ht="15.75" x14ac:dyDescent="0.25"/>
    <row r="61" s="91" customFormat="1" ht="15.75" x14ac:dyDescent="0.25"/>
    <row r="62" s="91" customFormat="1" ht="15.75" x14ac:dyDescent="0.25"/>
    <row r="63" s="91" customFormat="1" ht="15.75" x14ac:dyDescent="0.25"/>
    <row r="64" s="91" customFormat="1" ht="15.75" x14ac:dyDescent="0.25"/>
    <row r="65" s="91" customFormat="1" ht="15.75" x14ac:dyDescent="0.25"/>
    <row r="66" s="91" customFormat="1" ht="15.75" x14ac:dyDescent="0.25"/>
    <row r="67" s="91" customFormat="1" ht="15.75" x14ac:dyDescent="0.25"/>
    <row r="68" s="91" customFormat="1" ht="15.75" x14ac:dyDescent="0.25"/>
    <row r="69" s="91" customFormat="1" ht="15.75" x14ac:dyDescent="0.25"/>
    <row r="70" s="91" customFormat="1" ht="15.75" x14ac:dyDescent="0.25"/>
    <row r="71" s="91" customFormat="1" ht="15.75" x14ac:dyDescent="0.25"/>
    <row r="72" s="91" customFormat="1" ht="15.75" x14ac:dyDescent="0.25"/>
    <row r="73" s="91" customFormat="1" ht="15.75" x14ac:dyDescent="0.25"/>
    <row r="74" s="91" customFormat="1" ht="15.75" x14ac:dyDescent="0.25"/>
    <row r="75" s="91" customFormat="1" ht="15.75" x14ac:dyDescent="0.25"/>
    <row r="76" s="91" customFormat="1" ht="15.75" x14ac:dyDescent="0.25"/>
    <row r="77" s="91" customFormat="1" ht="15.75" x14ac:dyDescent="0.25"/>
    <row r="78" s="91" customFormat="1" ht="15.75" x14ac:dyDescent="0.25"/>
    <row r="79" s="91" customFormat="1" ht="15.75" x14ac:dyDescent="0.25"/>
    <row r="80" s="91" customFormat="1" ht="15.75" x14ac:dyDescent="0.25"/>
    <row r="81" s="91" customFormat="1" ht="15.75" x14ac:dyDescent="0.25"/>
    <row r="82" s="91" customFormat="1" ht="15.75" x14ac:dyDescent="0.25"/>
    <row r="83" s="91" customFormat="1" ht="15.75" x14ac:dyDescent="0.25"/>
    <row r="84" s="91" customFormat="1" ht="15.75" x14ac:dyDescent="0.25"/>
    <row r="85" s="91" customFormat="1" ht="15.75" x14ac:dyDescent="0.25"/>
    <row r="86" s="91" customFormat="1" ht="15.75" x14ac:dyDescent="0.25"/>
    <row r="87" s="91" customFormat="1" ht="15.75" x14ac:dyDescent="0.25"/>
    <row r="88" s="91" customFormat="1" ht="15.75" x14ac:dyDescent="0.25"/>
    <row r="89" s="95" customFormat="1" x14ac:dyDescent="0.2"/>
    <row r="90" s="95" customFormat="1" x14ac:dyDescent="0.2"/>
    <row r="91" s="95" customFormat="1" x14ac:dyDescent="0.2"/>
    <row r="92" s="95" customFormat="1" x14ac:dyDescent="0.2"/>
    <row r="93" s="95" customFormat="1" x14ac:dyDescent="0.2"/>
    <row r="94" s="95" customFormat="1" x14ac:dyDescent="0.2"/>
    <row r="95" s="95" customFormat="1" x14ac:dyDescent="0.2"/>
    <row r="96" s="95" customFormat="1" x14ac:dyDescent="0.2"/>
    <row r="97" s="95" customFormat="1" x14ac:dyDescent="0.2"/>
    <row r="98" s="95" customFormat="1" x14ac:dyDescent="0.2"/>
    <row r="99" s="95" customFormat="1" x14ac:dyDescent="0.2"/>
    <row r="100" s="95" customFormat="1" x14ac:dyDescent="0.2"/>
    <row r="101" s="95" customFormat="1" x14ac:dyDescent="0.2"/>
    <row r="102" s="95" customFormat="1" x14ac:dyDescent="0.2"/>
    <row r="103" s="95" customFormat="1" x14ac:dyDescent="0.2"/>
    <row r="104" s="95" customFormat="1" x14ac:dyDescent="0.2"/>
    <row r="105" s="95" customFormat="1" x14ac:dyDescent="0.2"/>
    <row r="106" s="95" customFormat="1" x14ac:dyDescent="0.2"/>
    <row r="107" s="95" customFormat="1" x14ac:dyDescent="0.2"/>
    <row r="108" s="95" customFormat="1" x14ac:dyDescent="0.2"/>
    <row r="109" s="95" customFormat="1" x14ac:dyDescent="0.2"/>
    <row r="110" s="95" customFormat="1" x14ac:dyDescent="0.2"/>
    <row r="111" s="95" customFormat="1" x14ac:dyDescent="0.2"/>
    <row r="112" s="95" customFormat="1" x14ac:dyDescent="0.2"/>
    <row r="113" s="95" customFormat="1" x14ac:dyDescent="0.2"/>
    <row r="114" s="95" customFormat="1" x14ac:dyDescent="0.2"/>
    <row r="115" s="95" customFormat="1" x14ac:dyDescent="0.2"/>
    <row r="116" s="95" customFormat="1" x14ac:dyDescent="0.2"/>
    <row r="117" s="95" customFormat="1" x14ac:dyDescent="0.2"/>
    <row r="118" s="95" customFormat="1" x14ac:dyDescent="0.2"/>
    <row r="119" s="95" customFormat="1" x14ac:dyDescent="0.2"/>
    <row r="120" s="95" customFormat="1" x14ac:dyDescent="0.2"/>
    <row r="121" s="95" customFormat="1" x14ac:dyDescent="0.2"/>
    <row r="122" s="95" customFormat="1" x14ac:dyDescent="0.2"/>
    <row r="123" s="95" customFormat="1" x14ac:dyDescent="0.2"/>
    <row r="124" s="95" customFormat="1" x14ac:dyDescent="0.2"/>
    <row r="125" s="95" customFormat="1" x14ac:dyDescent="0.2"/>
  </sheetData>
  <sheetProtection password="C584" sheet="1" objects="1" scenarios="1"/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2">
    <pageSetUpPr autoPageBreaks="0"/>
  </sheetPr>
  <dimension ref="A1:K79"/>
  <sheetViews>
    <sheetView tabSelected="1" zoomScaleNormal="100" workbookViewId="0">
      <selection activeCell="B2" sqref="B2"/>
    </sheetView>
  </sheetViews>
  <sheetFormatPr defaultColWidth="7.109375" defaultRowHeight="12.75" x14ac:dyDescent="0.2"/>
  <cols>
    <col min="1" max="1" width="3.109375" style="50" customWidth="1"/>
    <col min="2" max="2" width="4.44140625" style="58" customWidth="1"/>
    <col min="3" max="3" width="5.109375" style="58" customWidth="1"/>
    <col min="4" max="4" width="29.33203125" style="58" customWidth="1"/>
    <col min="5" max="5" width="7.77734375" style="50" customWidth="1"/>
    <col min="6" max="6" width="34.44140625" style="50" customWidth="1"/>
    <col min="7" max="7" width="9.44140625" style="150" bestFit="1" customWidth="1"/>
    <col min="8" max="9" width="3.6640625" style="51" customWidth="1"/>
    <col min="10" max="10" width="6.77734375" style="51" customWidth="1"/>
    <col min="11" max="11" width="6.77734375" style="50" customWidth="1"/>
    <col min="12" max="16384" width="7.109375" style="50"/>
  </cols>
  <sheetData>
    <row r="1" spans="1:11" ht="24" thickBot="1" x14ac:dyDescent="0.25">
      <c r="B1" s="135" t="s">
        <v>41</v>
      </c>
      <c r="C1" s="136"/>
      <c r="D1" s="136"/>
      <c r="E1" s="136"/>
      <c r="F1" s="136"/>
      <c r="G1" s="136"/>
      <c r="H1" s="136"/>
      <c r="I1" s="136"/>
      <c r="J1" s="136"/>
      <c r="K1" s="137"/>
    </row>
    <row r="2" spans="1:11" x14ac:dyDescent="0.2">
      <c r="B2" s="90"/>
      <c r="C2" s="90"/>
      <c r="D2" s="90"/>
    </row>
    <row r="3" spans="1:11" ht="23.25" x14ac:dyDescent="0.2">
      <c r="B3" s="143" t="s">
        <v>16</v>
      </c>
      <c r="C3" s="144"/>
      <c r="D3" s="145" t="s">
        <v>75</v>
      </c>
      <c r="E3" s="146" t="s">
        <v>50</v>
      </c>
      <c r="F3" s="146"/>
      <c r="G3" s="149" t="s">
        <v>87</v>
      </c>
      <c r="H3" s="147" t="s">
        <v>88</v>
      </c>
      <c r="I3" s="148"/>
      <c r="J3" s="148"/>
      <c r="K3" s="148"/>
    </row>
    <row r="4" spans="1:11" ht="23.25" x14ac:dyDescent="0.35">
      <c r="B4" s="142" t="s">
        <v>44</v>
      </c>
      <c r="C4" s="133"/>
      <c r="F4" s="133"/>
      <c r="G4" s="151"/>
      <c r="H4" s="148"/>
      <c r="I4" s="148"/>
      <c r="J4" s="148"/>
      <c r="K4" s="148"/>
    </row>
    <row r="5" spans="1:11" ht="13.5" thickBot="1" x14ac:dyDescent="0.25"/>
    <row r="6" spans="1:11" x14ac:dyDescent="0.2">
      <c r="B6" s="89"/>
      <c r="C6" s="52"/>
      <c r="D6" s="52"/>
      <c r="E6" s="52"/>
      <c r="F6" s="52" t="s">
        <v>46</v>
      </c>
      <c r="G6" s="152"/>
      <c r="H6" s="53"/>
      <c r="I6" s="53"/>
      <c r="J6" s="52" t="s">
        <v>12</v>
      </c>
      <c r="K6" s="54" t="s">
        <v>12</v>
      </c>
    </row>
    <row r="7" spans="1:11" ht="13.5" thickBot="1" x14ac:dyDescent="0.25">
      <c r="B7" s="55" t="s">
        <v>0</v>
      </c>
      <c r="C7" s="56" t="s">
        <v>49</v>
      </c>
      <c r="D7" s="56" t="s">
        <v>45</v>
      </c>
      <c r="E7" s="56" t="s">
        <v>47</v>
      </c>
      <c r="F7" s="56" t="s">
        <v>48</v>
      </c>
      <c r="G7" s="153" t="s">
        <v>81</v>
      </c>
      <c r="H7" s="56" t="s">
        <v>13</v>
      </c>
      <c r="I7" s="56" t="s">
        <v>13</v>
      </c>
      <c r="J7" s="56" t="s">
        <v>82</v>
      </c>
      <c r="K7" s="57" t="s">
        <v>14</v>
      </c>
    </row>
    <row r="8" spans="1:11" x14ac:dyDescent="0.2">
      <c r="E8" s="58"/>
      <c r="F8" s="58"/>
      <c r="G8" s="154"/>
      <c r="H8" s="58"/>
      <c r="I8" s="58"/>
      <c r="J8" s="58"/>
      <c r="K8" s="58"/>
    </row>
    <row r="9" spans="1:11" x14ac:dyDescent="0.2">
      <c r="B9" s="84">
        <v>1</v>
      </c>
      <c r="C9" s="84">
        <v>100</v>
      </c>
      <c r="D9" s="86" t="s">
        <v>54</v>
      </c>
      <c r="E9" s="84"/>
      <c r="F9" s="86" t="s">
        <v>53</v>
      </c>
      <c r="G9" s="155"/>
      <c r="H9" s="84"/>
      <c r="I9" s="84"/>
      <c r="J9" s="58"/>
      <c r="K9" s="60">
        <f>IF(COUNTA(J10:J13)&lt;3,0,IF(COUNTA(J10:J13)=3,SUM(J10:J13),IF(SUM(J10:J13)&gt;0,SUM(J10:J13)-MINA(J10:J13),0)))</f>
        <v>0</v>
      </c>
    </row>
    <row r="10" spans="1:11" x14ac:dyDescent="0.2">
      <c r="A10" s="59"/>
      <c r="B10" s="84"/>
      <c r="C10" s="84"/>
      <c r="D10" s="84"/>
      <c r="E10" s="88" t="s">
        <v>15</v>
      </c>
      <c r="F10" s="87" t="s">
        <v>83</v>
      </c>
      <c r="G10" s="156"/>
      <c r="H10" s="85"/>
      <c r="I10" s="85"/>
      <c r="J10" s="51">
        <f>SUM(H10:I10)</f>
        <v>0</v>
      </c>
    </row>
    <row r="11" spans="1:11" x14ac:dyDescent="0.2">
      <c r="A11" s="59"/>
      <c r="B11" s="84"/>
      <c r="C11" s="84"/>
      <c r="D11" s="84"/>
      <c r="E11" s="88" t="s">
        <v>15</v>
      </c>
      <c r="F11" s="87" t="s">
        <v>84</v>
      </c>
      <c r="G11" s="156"/>
      <c r="H11" s="85"/>
      <c r="I11" s="85"/>
      <c r="J11" s="51">
        <f>SUM(H11:I11)</f>
        <v>0</v>
      </c>
      <c r="K11" s="59"/>
    </row>
    <row r="12" spans="1:11" x14ac:dyDescent="0.2">
      <c r="A12" s="59"/>
      <c r="B12" s="84"/>
      <c r="C12" s="84"/>
      <c r="D12" s="84"/>
      <c r="E12" s="88" t="s">
        <v>15</v>
      </c>
      <c r="F12" s="87" t="s">
        <v>85</v>
      </c>
      <c r="G12" s="156"/>
      <c r="H12" s="85"/>
      <c r="I12" s="85"/>
      <c r="J12" s="51">
        <f>SUM(H12:I12)</f>
        <v>0</v>
      </c>
      <c r="K12" s="59"/>
    </row>
    <row r="13" spans="1:11" x14ac:dyDescent="0.2">
      <c r="A13" s="59"/>
      <c r="B13" s="84"/>
      <c r="C13" s="84"/>
      <c r="D13" s="84"/>
      <c r="E13" s="88" t="s">
        <v>15</v>
      </c>
      <c r="F13" s="87" t="s">
        <v>86</v>
      </c>
      <c r="G13" s="156"/>
      <c r="H13" s="85"/>
      <c r="I13" s="85"/>
      <c r="J13" s="51">
        <f>SUM(H13:I13)</f>
        <v>0</v>
      </c>
      <c r="K13" s="59"/>
    </row>
    <row r="14" spans="1:11" x14ac:dyDescent="0.2">
      <c r="A14" s="59"/>
      <c r="B14" s="84"/>
      <c r="C14" s="84"/>
      <c r="D14" s="84"/>
      <c r="E14" s="85"/>
      <c r="F14" s="87"/>
      <c r="G14" s="156"/>
      <c r="H14" s="85"/>
      <c r="I14" s="85"/>
      <c r="K14" s="59"/>
    </row>
    <row r="15" spans="1:11" x14ac:dyDescent="0.2">
      <c r="B15" s="84">
        <v>2</v>
      </c>
      <c r="C15" s="84">
        <v>100</v>
      </c>
      <c r="D15" s="86" t="s">
        <v>55</v>
      </c>
      <c r="E15" s="84"/>
      <c r="F15" s="86" t="s">
        <v>51</v>
      </c>
      <c r="G15" s="155"/>
      <c r="H15" s="85"/>
      <c r="I15" s="85"/>
      <c r="J15" s="58"/>
      <c r="K15" s="60">
        <f>IF(COUNTA(J16:J19)&lt;3,0,IF(COUNTA(J16:J19)=3,SUM(J16:J19),IF(SUM(J16:J19)&gt;0,SUM(J16:J19)-MINA(J16:J19),0)))</f>
        <v>0</v>
      </c>
    </row>
    <row r="16" spans="1:11" x14ac:dyDescent="0.2">
      <c r="B16" s="84"/>
      <c r="C16" s="84"/>
      <c r="D16" s="84"/>
      <c r="E16" s="88" t="s">
        <v>15</v>
      </c>
      <c r="F16" s="87" t="s">
        <v>83</v>
      </c>
      <c r="G16" s="156"/>
      <c r="H16" s="85"/>
      <c r="I16" s="85"/>
      <c r="J16" s="51">
        <f>SUM(H16:I16)</f>
        <v>0</v>
      </c>
    </row>
    <row r="17" spans="2:11" x14ac:dyDescent="0.2">
      <c r="B17" s="84"/>
      <c r="C17" s="84"/>
      <c r="D17" s="84"/>
      <c r="E17" s="88" t="s">
        <v>15</v>
      </c>
      <c r="F17" s="87" t="s">
        <v>84</v>
      </c>
      <c r="G17" s="156"/>
      <c r="H17" s="85"/>
      <c r="I17" s="85"/>
      <c r="J17" s="51">
        <f>SUM(H17:I17)</f>
        <v>0</v>
      </c>
    </row>
    <row r="18" spans="2:11" x14ac:dyDescent="0.2">
      <c r="B18" s="84"/>
      <c r="C18" s="84"/>
      <c r="D18" s="84"/>
      <c r="E18" s="88" t="s">
        <v>15</v>
      </c>
      <c r="F18" s="87" t="s">
        <v>85</v>
      </c>
      <c r="G18" s="156"/>
      <c r="H18" s="85"/>
      <c r="I18" s="85"/>
      <c r="J18" s="51">
        <f>SUM(H18:I18)</f>
        <v>0</v>
      </c>
    </row>
    <row r="19" spans="2:11" x14ac:dyDescent="0.2">
      <c r="B19" s="84"/>
      <c r="C19" s="84"/>
      <c r="D19" s="84"/>
      <c r="E19" s="88" t="s">
        <v>15</v>
      </c>
      <c r="F19" s="87" t="s">
        <v>86</v>
      </c>
      <c r="G19" s="156"/>
      <c r="H19" s="85"/>
      <c r="I19" s="85"/>
      <c r="J19" s="51">
        <f>SUM(H19:I19)</f>
        <v>0</v>
      </c>
    </row>
    <row r="20" spans="2:11" x14ac:dyDescent="0.2">
      <c r="B20" s="84"/>
      <c r="C20" s="84"/>
      <c r="D20" s="84"/>
      <c r="E20" s="85"/>
      <c r="F20" s="87"/>
      <c r="G20" s="156"/>
      <c r="H20" s="85"/>
      <c r="I20" s="85"/>
    </row>
    <row r="21" spans="2:11" x14ac:dyDescent="0.2">
      <c r="B21" s="84">
        <v>3</v>
      </c>
      <c r="C21" s="84">
        <v>100</v>
      </c>
      <c r="D21" s="86" t="s">
        <v>56</v>
      </c>
      <c r="E21" s="84"/>
      <c r="F21" s="86" t="s">
        <v>52</v>
      </c>
      <c r="G21" s="155"/>
      <c r="H21" s="85"/>
      <c r="I21" s="85"/>
      <c r="J21" s="58"/>
      <c r="K21" s="60">
        <f>IF(COUNTA(J22:J25)&lt;3,0,IF(COUNTA(J22:J25)=3,SUM(J22:J25),IF(SUM(J22:J25)&gt;0,SUM(J22:J25)-MINA(J22:J25),0)))</f>
        <v>0</v>
      </c>
    </row>
    <row r="22" spans="2:11" x14ac:dyDescent="0.2">
      <c r="B22" s="84"/>
      <c r="C22" s="84"/>
      <c r="D22" s="84"/>
      <c r="E22" s="88" t="s">
        <v>15</v>
      </c>
      <c r="F22" s="87" t="s">
        <v>83</v>
      </c>
      <c r="G22" s="156"/>
      <c r="H22" s="85"/>
      <c r="I22" s="85"/>
      <c r="J22" s="51">
        <f>SUM(H22:I22)</f>
        <v>0</v>
      </c>
    </row>
    <row r="23" spans="2:11" x14ac:dyDescent="0.2">
      <c r="B23" s="84"/>
      <c r="C23" s="84"/>
      <c r="D23" s="84"/>
      <c r="E23" s="88" t="s">
        <v>15</v>
      </c>
      <c r="F23" s="87" t="s">
        <v>84</v>
      </c>
      <c r="G23" s="156"/>
      <c r="H23" s="85"/>
      <c r="I23" s="85"/>
      <c r="J23" s="51">
        <f>SUM(H23:I23)</f>
        <v>0</v>
      </c>
    </row>
    <row r="24" spans="2:11" x14ac:dyDescent="0.2">
      <c r="B24" s="84"/>
      <c r="C24" s="84"/>
      <c r="D24" s="84"/>
      <c r="E24" s="88" t="s">
        <v>15</v>
      </c>
      <c r="F24" s="87" t="s">
        <v>85</v>
      </c>
      <c r="G24" s="156"/>
      <c r="H24" s="85"/>
      <c r="I24" s="85"/>
      <c r="J24" s="51">
        <f>SUM(H24:I24)</f>
        <v>0</v>
      </c>
    </row>
    <row r="25" spans="2:11" x14ac:dyDescent="0.2">
      <c r="B25" s="84"/>
      <c r="C25" s="84"/>
      <c r="D25" s="84"/>
      <c r="E25" s="88" t="s">
        <v>15</v>
      </c>
      <c r="F25" s="87" t="s">
        <v>86</v>
      </c>
      <c r="G25" s="156"/>
      <c r="H25" s="85"/>
      <c r="I25" s="85"/>
      <c r="J25" s="51">
        <f>SUM(H25:I25)</f>
        <v>0</v>
      </c>
    </row>
    <row r="26" spans="2:11" x14ac:dyDescent="0.2">
      <c r="B26" s="84"/>
      <c r="C26" s="84"/>
      <c r="D26" s="84"/>
      <c r="E26" s="85"/>
      <c r="F26" s="87"/>
      <c r="G26" s="156"/>
      <c r="H26" s="85"/>
      <c r="I26" s="85"/>
    </row>
    <row r="27" spans="2:11" x14ac:dyDescent="0.2">
      <c r="B27" s="84">
        <v>4</v>
      </c>
      <c r="C27" s="84">
        <v>100</v>
      </c>
      <c r="D27" s="86" t="s">
        <v>72</v>
      </c>
      <c r="E27" s="84"/>
      <c r="F27" s="86" t="s">
        <v>57</v>
      </c>
      <c r="G27" s="155"/>
      <c r="H27" s="85"/>
      <c r="I27" s="85"/>
      <c r="J27" s="58"/>
      <c r="K27" s="60">
        <f>IF(COUNTA(J28:J31)&lt;3,0,IF(COUNTA(J28:J31)=3,SUM(J28:J31),IF(SUM(J28:J31)&gt;0,SUM(J28:J31)-MINA(J28:J31),0)))</f>
        <v>0</v>
      </c>
    </row>
    <row r="28" spans="2:11" x14ac:dyDescent="0.2">
      <c r="B28" s="84"/>
      <c r="C28" s="84"/>
      <c r="D28" s="84"/>
      <c r="E28" s="88" t="s">
        <v>15</v>
      </c>
      <c r="F28" s="87" t="s">
        <v>83</v>
      </c>
      <c r="G28" s="156"/>
      <c r="H28" s="85"/>
      <c r="I28" s="85"/>
      <c r="J28" s="51">
        <f>SUM(H28:I28)</f>
        <v>0</v>
      </c>
    </row>
    <row r="29" spans="2:11" x14ac:dyDescent="0.2">
      <c r="B29" s="84"/>
      <c r="C29" s="84"/>
      <c r="D29" s="84"/>
      <c r="E29" s="88" t="s">
        <v>15</v>
      </c>
      <c r="F29" s="87" t="s">
        <v>84</v>
      </c>
      <c r="G29" s="156"/>
      <c r="H29" s="85"/>
      <c r="I29" s="85"/>
      <c r="J29" s="51">
        <f>SUM(H29:I29)</f>
        <v>0</v>
      </c>
    </row>
    <row r="30" spans="2:11" x14ac:dyDescent="0.2">
      <c r="B30" s="84"/>
      <c r="C30" s="84"/>
      <c r="D30" s="84"/>
      <c r="E30" s="88" t="s">
        <v>15</v>
      </c>
      <c r="F30" s="87" t="s">
        <v>85</v>
      </c>
      <c r="G30" s="156"/>
      <c r="H30" s="85"/>
      <c r="I30" s="85"/>
      <c r="J30" s="51">
        <f>SUM(H30:I30)</f>
        <v>0</v>
      </c>
    </row>
    <row r="31" spans="2:11" x14ac:dyDescent="0.2">
      <c r="B31" s="84"/>
      <c r="C31" s="84"/>
      <c r="D31" s="84"/>
      <c r="E31" s="88" t="s">
        <v>15</v>
      </c>
      <c r="F31" s="87" t="s">
        <v>86</v>
      </c>
      <c r="G31" s="156"/>
      <c r="H31" s="85"/>
      <c r="I31" s="85"/>
      <c r="J31" s="51">
        <f>SUM(H31:I31)</f>
        <v>0</v>
      </c>
    </row>
    <row r="32" spans="2:11" x14ac:dyDescent="0.2">
      <c r="B32" s="84"/>
      <c r="C32" s="84"/>
      <c r="D32" s="84"/>
      <c r="E32" s="85"/>
      <c r="F32" s="87"/>
      <c r="G32" s="156"/>
      <c r="H32" s="85"/>
      <c r="I32" s="85"/>
    </row>
    <row r="33" spans="2:11" x14ac:dyDescent="0.2">
      <c r="B33" s="84">
        <v>5</v>
      </c>
      <c r="C33" s="84">
        <v>100</v>
      </c>
      <c r="D33" s="86" t="s">
        <v>73</v>
      </c>
      <c r="E33" s="84"/>
      <c r="F33" s="86" t="s">
        <v>74</v>
      </c>
      <c r="G33" s="155"/>
      <c r="H33" s="85"/>
      <c r="I33" s="85"/>
      <c r="J33" s="58"/>
      <c r="K33" s="60">
        <f>IF(COUNTA(J34:J37)&lt;3,0,IF(COUNTA(J34:J37)=3,SUM(J34:J37),IF(SUM(J34:J37)&gt;0,SUM(J34:J37)-MINA(J34:J37),0)))</f>
        <v>0</v>
      </c>
    </row>
    <row r="34" spans="2:11" x14ac:dyDescent="0.2">
      <c r="B34" s="84"/>
      <c r="C34" s="84"/>
      <c r="D34" s="84"/>
      <c r="E34" s="88" t="s">
        <v>15</v>
      </c>
      <c r="F34" s="87" t="s">
        <v>83</v>
      </c>
      <c r="G34" s="156"/>
      <c r="H34" s="85"/>
      <c r="I34" s="85"/>
      <c r="J34" s="51">
        <f>SUM(H34:I34)</f>
        <v>0</v>
      </c>
    </row>
    <row r="35" spans="2:11" x14ac:dyDescent="0.2">
      <c r="B35" s="84"/>
      <c r="C35" s="84"/>
      <c r="D35" s="84"/>
      <c r="E35" s="88" t="s">
        <v>15</v>
      </c>
      <c r="F35" s="87" t="s">
        <v>84</v>
      </c>
      <c r="G35" s="156"/>
      <c r="H35" s="85"/>
      <c r="I35" s="85"/>
      <c r="J35" s="51">
        <f>SUM(H35:I35)</f>
        <v>0</v>
      </c>
    </row>
    <row r="36" spans="2:11" x14ac:dyDescent="0.2">
      <c r="B36" s="84"/>
      <c r="C36" s="84"/>
      <c r="D36" s="84"/>
      <c r="E36" s="88" t="s">
        <v>15</v>
      </c>
      <c r="F36" s="87" t="s">
        <v>85</v>
      </c>
      <c r="G36" s="156"/>
      <c r="H36" s="85"/>
      <c r="I36" s="85"/>
      <c r="J36" s="51">
        <f>SUM(H36:I36)</f>
        <v>0</v>
      </c>
    </row>
    <row r="37" spans="2:11" x14ac:dyDescent="0.2">
      <c r="B37" s="84"/>
      <c r="C37" s="84"/>
      <c r="D37" s="84"/>
      <c r="E37" s="88" t="s">
        <v>15</v>
      </c>
      <c r="F37" s="87" t="s">
        <v>86</v>
      </c>
      <c r="G37" s="156"/>
      <c r="H37" s="85"/>
      <c r="I37" s="85"/>
      <c r="J37" s="51">
        <f>SUM(H37:I37)</f>
        <v>0</v>
      </c>
    </row>
    <row r="38" spans="2:11" x14ac:dyDescent="0.2">
      <c r="B38" s="84"/>
      <c r="C38" s="84"/>
      <c r="D38" s="84"/>
      <c r="E38" s="85"/>
      <c r="F38" s="87"/>
      <c r="G38" s="156"/>
      <c r="H38" s="85"/>
      <c r="I38" s="85"/>
    </row>
    <row r="39" spans="2:11" x14ac:dyDescent="0.2">
      <c r="B39" s="84">
        <v>6</v>
      </c>
      <c r="C39" s="84">
        <v>100</v>
      </c>
      <c r="D39" s="86" t="s">
        <v>70</v>
      </c>
      <c r="E39" s="84"/>
      <c r="F39" s="86" t="s">
        <v>71</v>
      </c>
      <c r="G39" s="155"/>
      <c r="H39" s="85"/>
      <c r="I39" s="85"/>
      <c r="J39" s="58"/>
      <c r="K39" s="60">
        <f>IF(COUNTA(J40:J43)&lt;3,0,IF(COUNTA(J40:J43)=3,SUM(J40:J43),IF(SUM(J40:J43)&gt;0,SUM(J40:J43)-MINA(J40:J43),0)))</f>
        <v>0</v>
      </c>
    </row>
    <row r="40" spans="2:11" x14ac:dyDescent="0.2">
      <c r="B40" s="84"/>
      <c r="C40" s="84"/>
      <c r="D40" s="84"/>
      <c r="E40" s="88" t="s">
        <v>15</v>
      </c>
      <c r="F40" s="87" t="s">
        <v>83</v>
      </c>
      <c r="G40" s="156"/>
      <c r="H40" s="85"/>
      <c r="I40" s="85"/>
      <c r="J40" s="51">
        <f>SUM(H40:I40)</f>
        <v>0</v>
      </c>
    </row>
    <row r="41" spans="2:11" x14ac:dyDescent="0.2">
      <c r="B41" s="84"/>
      <c r="C41" s="84"/>
      <c r="D41" s="84"/>
      <c r="E41" s="88" t="s">
        <v>15</v>
      </c>
      <c r="F41" s="87" t="s">
        <v>84</v>
      </c>
      <c r="G41" s="156"/>
      <c r="H41" s="85"/>
      <c r="I41" s="85"/>
      <c r="J41" s="51">
        <f>SUM(H41:I41)</f>
        <v>0</v>
      </c>
    </row>
    <row r="42" spans="2:11" x14ac:dyDescent="0.2">
      <c r="B42" s="84"/>
      <c r="C42" s="84"/>
      <c r="D42" s="84"/>
      <c r="E42" s="88" t="s">
        <v>15</v>
      </c>
      <c r="F42" s="87" t="s">
        <v>85</v>
      </c>
      <c r="G42" s="156"/>
      <c r="H42" s="85"/>
      <c r="I42" s="85"/>
      <c r="J42" s="51">
        <f>SUM(H42:I42)</f>
        <v>0</v>
      </c>
    </row>
    <row r="43" spans="2:11" x14ac:dyDescent="0.2">
      <c r="B43" s="84"/>
      <c r="C43" s="84"/>
      <c r="D43" s="84"/>
      <c r="E43" s="88" t="s">
        <v>15</v>
      </c>
      <c r="F43" s="87" t="s">
        <v>86</v>
      </c>
      <c r="G43" s="156"/>
      <c r="H43" s="85"/>
      <c r="I43" s="85"/>
      <c r="J43" s="51">
        <f>SUM(H43:I43)</f>
        <v>0</v>
      </c>
    </row>
    <row r="44" spans="2:11" x14ac:dyDescent="0.2">
      <c r="B44" s="84"/>
      <c r="C44" s="84"/>
      <c r="D44" s="84"/>
      <c r="E44" s="85"/>
      <c r="F44" s="87"/>
      <c r="G44" s="156"/>
      <c r="H44" s="85"/>
      <c r="I44" s="85"/>
    </row>
    <row r="45" spans="2:11" x14ac:dyDescent="0.2">
      <c r="B45" s="84">
        <v>7</v>
      </c>
      <c r="C45" s="84">
        <v>100</v>
      </c>
      <c r="D45" s="86" t="s">
        <v>68</v>
      </c>
      <c r="E45" s="84"/>
      <c r="F45" s="86" t="s">
        <v>69</v>
      </c>
      <c r="G45" s="155"/>
      <c r="H45" s="85"/>
      <c r="I45" s="85"/>
      <c r="J45" s="58"/>
      <c r="K45" s="60">
        <f>IF(COUNTA(J46:J49)&lt;3,0,IF(COUNTA(J46:J49)=3,SUM(J46:J49),IF(SUM(J46:J49)&gt;0,SUM(J46:J49)-MINA(J46:J49),0)))</f>
        <v>0</v>
      </c>
    </row>
    <row r="46" spans="2:11" x14ac:dyDescent="0.2">
      <c r="B46" s="84"/>
      <c r="C46" s="84"/>
      <c r="D46" s="84"/>
      <c r="E46" s="88" t="s">
        <v>15</v>
      </c>
      <c r="F46" s="87" t="s">
        <v>83</v>
      </c>
      <c r="G46" s="156"/>
      <c r="H46" s="85"/>
      <c r="I46" s="85"/>
      <c r="J46" s="51">
        <f>SUM(H46:I46)</f>
        <v>0</v>
      </c>
    </row>
    <row r="47" spans="2:11" x14ac:dyDescent="0.2">
      <c r="B47" s="84"/>
      <c r="C47" s="84"/>
      <c r="D47" s="84"/>
      <c r="E47" s="88" t="s">
        <v>15</v>
      </c>
      <c r="F47" s="87" t="s">
        <v>84</v>
      </c>
      <c r="G47" s="156"/>
      <c r="H47" s="85"/>
      <c r="I47" s="85"/>
      <c r="J47" s="51">
        <f>SUM(H47:I47)</f>
        <v>0</v>
      </c>
    </row>
    <row r="48" spans="2:11" x14ac:dyDescent="0.2">
      <c r="B48" s="84"/>
      <c r="C48" s="84"/>
      <c r="D48" s="84"/>
      <c r="E48" s="88" t="s">
        <v>15</v>
      </c>
      <c r="F48" s="87" t="s">
        <v>85</v>
      </c>
      <c r="G48" s="156"/>
      <c r="H48" s="85"/>
      <c r="I48" s="85"/>
      <c r="J48" s="51">
        <f>SUM(H48:I48)</f>
        <v>0</v>
      </c>
    </row>
    <row r="49" spans="1:11" x14ac:dyDescent="0.2">
      <c r="B49" s="84"/>
      <c r="C49" s="84"/>
      <c r="D49" s="84"/>
      <c r="E49" s="88" t="s">
        <v>15</v>
      </c>
      <c r="F49" s="87" t="s">
        <v>86</v>
      </c>
      <c r="G49" s="156"/>
      <c r="H49" s="85"/>
      <c r="I49" s="85"/>
      <c r="J49" s="51">
        <f>SUM(H49:I49)</f>
        <v>0</v>
      </c>
    </row>
    <row r="50" spans="1:11" x14ac:dyDescent="0.2">
      <c r="B50" s="84"/>
      <c r="C50" s="84"/>
      <c r="D50" s="84"/>
      <c r="E50" s="85"/>
      <c r="F50" s="87"/>
      <c r="G50" s="156"/>
      <c r="H50" s="85"/>
      <c r="I50" s="85"/>
    </row>
    <row r="51" spans="1:11" x14ac:dyDescent="0.2">
      <c r="B51" s="84">
        <v>8</v>
      </c>
      <c r="C51" s="84">
        <v>100</v>
      </c>
      <c r="D51" s="86" t="s">
        <v>66</v>
      </c>
      <c r="E51" s="84"/>
      <c r="F51" s="86" t="s">
        <v>67</v>
      </c>
      <c r="G51" s="155"/>
      <c r="H51" s="85"/>
      <c r="I51" s="85"/>
      <c r="J51" s="58"/>
      <c r="K51" s="60">
        <f>IF(COUNTA(J52:J55)&lt;3,0,IF(COUNTA(J52:J55)=3,SUM(J52:J55),IF(SUM(J52:J55)&gt;0,SUM(J52:J55)-MINA(J52:J55),0)))</f>
        <v>0</v>
      </c>
    </row>
    <row r="52" spans="1:11" x14ac:dyDescent="0.2">
      <c r="B52" s="84"/>
      <c r="C52" s="84"/>
      <c r="D52" s="84"/>
      <c r="E52" s="88" t="s">
        <v>15</v>
      </c>
      <c r="F52" s="87" t="s">
        <v>83</v>
      </c>
      <c r="G52" s="156"/>
      <c r="H52" s="85"/>
      <c r="I52" s="85"/>
      <c r="J52" s="51">
        <f>SUM(H52:I52)</f>
        <v>0</v>
      </c>
    </row>
    <row r="53" spans="1:11" x14ac:dyDescent="0.2">
      <c r="B53" s="84"/>
      <c r="C53" s="84"/>
      <c r="D53" s="84"/>
      <c r="E53" s="88" t="s">
        <v>15</v>
      </c>
      <c r="F53" s="87" t="s">
        <v>84</v>
      </c>
      <c r="G53" s="156"/>
      <c r="H53" s="85"/>
      <c r="I53" s="85"/>
      <c r="J53" s="51">
        <f>SUM(H53:I53)</f>
        <v>0</v>
      </c>
    </row>
    <row r="54" spans="1:11" x14ac:dyDescent="0.2">
      <c r="B54" s="84"/>
      <c r="C54" s="84"/>
      <c r="D54" s="84"/>
      <c r="E54" s="88" t="s">
        <v>15</v>
      </c>
      <c r="F54" s="87" t="s">
        <v>85</v>
      </c>
      <c r="G54" s="156"/>
      <c r="H54" s="85"/>
      <c r="I54" s="85"/>
      <c r="J54" s="51">
        <f>SUM(H54:I54)</f>
        <v>0</v>
      </c>
    </row>
    <row r="55" spans="1:11" x14ac:dyDescent="0.2">
      <c r="B55" s="84"/>
      <c r="C55" s="84"/>
      <c r="D55" s="84"/>
      <c r="E55" s="88" t="s">
        <v>15</v>
      </c>
      <c r="F55" s="87" t="s">
        <v>86</v>
      </c>
      <c r="G55" s="156"/>
      <c r="H55" s="85"/>
      <c r="I55" s="85"/>
      <c r="J55" s="51">
        <f>SUM(H55:I55)</f>
        <v>0</v>
      </c>
    </row>
    <row r="56" spans="1:11" x14ac:dyDescent="0.2">
      <c r="B56" s="84"/>
      <c r="C56" s="84"/>
      <c r="D56" s="84"/>
      <c r="E56" s="85"/>
      <c r="F56" s="87"/>
      <c r="G56" s="156"/>
      <c r="H56" s="85"/>
      <c r="I56" s="85"/>
    </row>
    <row r="57" spans="1:11" x14ac:dyDescent="0.2">
      <c r="B57" s="84">
        <v>9</v>
      </c>
      <c r="C57" s="84">
        <v>100</v>
      </c>
      <c r="D57" s="86" t="s">
        <v>64</v>
      </c>
      <c r="E57" s="84"/>
      <c r="F57" s="86" t="s">
        <v>65</v>
      </c>
      <c r="G57" s="155"/>
      <c r="H57" s="85"/>
      <c r="I57" s="85"/>
      <c r="J57" s="58"/>
      <c r="K57" s="60">
        <f>IF(COUNTA(J58:J61)&lt;3,0,IF(COUNTA(J58:J61)=3,SUM(J58:J61),IF(SUM(J58:J61)&gt;0,SUM(J58:J61)-MINA(J58:J61),0)))</f>
        <v>0</v>
      </c>
    </row>
    <row r="58" spans="1:11" x14ac:dyDescent="0.2">
      <c r="B58" s="84"/>
      <c r="C58" s="84"/>
      <c r="D58" s="84"/>
      <c r="E58" s="88" t="s">
        <v>15</v>
      </c>
      <c r="F58" s="87" t="s">
        <v>83</v>
      </c>
      <c r="G58" s="156"/>
      <c r="H58" s="85"/>
      <c r="I58" s="85"/>
      <c r="J58" s="51">
        <f>SUM(H58:I58)</f>
        <v>0</v>
      </c>
    </row>
    <row r="59" spans="1:11" x14ac:dyDescent="0.2">
      <c r="B59" s="84"/>
      <c r="C59" s="84"/>
      <c r="D59" s="84"/>
      <c r="E59" s="88" t="s">
        <v>15</v>
      </c>
      <c r="F59" s="87" t="s">
        <v>84</v>
      </c>
      <c r="G59" s="156"/>
      <c r="H59" s="85"/>
      <c r="I59" s="85"/>
      <c r="J59" s="51">
        <f>SUM(H59:I59)</f>
        <v>0</v>
      </c>
    </row>
    <row r="60" spans="1:11" x14ac:dyDescent="0.2">
      <c r="B60" s="84"/>
      <c r="C60" s="84"/>
      <c r="D60" s="84"/>
      <c r="E60" s="88" t="s">
        <v>15</v>
      </c>
      <c r="F60" s="87" t="s">
        <v>85</v>
      </c>
      <c r="G60" s="156"/>
      <c r="H60" s="85"/>
      <c r="I60" s="85"/>
      <c r="J60" s="51">
        <f>SUM(H60:I60)</f>
        <v>0</v>
      </c>
    </row>
    <row r="61" spans="1:11" x14ac:dyDescent="0.2">
      <c r="B61" s="84"/>
      <c r="C61" s="84"/>
      <c r="D61" s="84"/>
      <c r="E61" s="88" t="s">
        <v>15</v>
      </c>
      <c r="F61" s="87" t="s">
        <v>86</v>
      </c>
      <c r="G61" s="156"/>
      <c r="H61" s="85"/>
      <c r="I61" s="85"/>
      <c r="J61" s="51">
        <f>SUM(H61:I61)</f>
        <v>0</v>
      </c>
    </row>
    <row r="62" spans="1:11" ht="15" x14ac:dyDescent="0.2">
      <c r="A62"/>
      <c r="B62"/>
      <c r="C62"/>
      <c r="D62"/>
      <c r="E62"/>
      <c r="F62"/>
      <c r="G62" s="157"/>
      <c r="H62" s="85"/>
      <c r="I62" s="85"/>
      <c r="J62"/>
      <c r="K62"/>
    </row>
    <row r="63" spans="1:11" x14ac:dyDescent="0.2">
      <c r="B63" s="84">
        <v>10</v>
      </c>
      <c r="C63" s="84">
        <v>100</v>
      </c>
      <c r="D63" s="86" t="s">
        <v>62</v>
      </c>
      <c r="E63" s="84"/>
      <c r="F63" s="86" t="s">
        <v>63</v>
      </c>
      <c r="G63" s="155"/>
      <c r="H63" s="85"/>
      <c r="I63" s="85"/>
      <c r="J63" s="58"/>
      <c r="K63" s="60">
        <f>IF(COUNTA(J64:J67)&lt;3,0,IF(COUNTA(J64:J67)=3,SUM(J64:J67),IF(SUM(J64:J67)&gt;0,SUM(J64:J67)-MINA(J64:J67),0)))</f>
        <v>0</v>
      </c>
    </row>
    <row r="64" spans="1:11" x14ac:dyDescent="0.2">
      <c r="B64" s="84"/>
      <c r="C64" s="84"/>
      <c r="D64" s="84"/>
      <c r="E64" s="88" t="s">
        <v>15</v>
      </c>
      <c r="F64" s="87" t="s">
        <v>83</v>
      </c>
      <c r="G64" s="156"/>
      <c r="H64" s="85"/>
      <c r="I64" s="85"/>
      <c r="J64" s="51">
        <f>SUM(H64:I64)</f>
        <v>0</v>
      </c>
    </row>
    <row r="65" spans="2:11" x14ac:dyDescent="0.2">
      <c r="B65" s="84"/>
      <c r="C65" s="84"/>
      <c r="D65" s="84"/>
      <c r="E65" s="88" t="s">
        <v>15</v>
      </c>
      <c r="F65" s="87" t="s">
        <v>84</v>
      </c>
      <c r="G65" s="156"/>
      <c r="H65" s="85"/>
      <c r="I65" s="85"/>
      <c r="J65" s="51">
        <f>SUM(H65:I65)</f>
        <v>0</v>
      </c>
    </row>
    <row r="66" spans="2:11" x14ac:dyDescent="0.2">
      <c r="B66" s="84"/>
      <c r="C66" s="84"/>
      <c r="D66" s="84"/>
      <c r="E66" s="88" t="s">
        <v>15</v>
      </c>
      <c r="F66" s="87" t="s">
        <v>85</v>
      </c>
      <c r="G66" s="156"/>
      <c r="H66" s="85"/>
      <c r="I66" s="85"/>
      <c r="J66" s="51">
        <f>SUM(H66:I66)</f>
        <v>0</v>
      </c>
    </row>
    <row r="67" spans="2:11" x14ac:dyDescent="0.2">
      <c r="B67" s="84"/>
      <c r="C67" s="84"/>
      <c r="D67" s="84"/>
      <c r="E67" s="88" t="s">
        <v>15</v>
      </c>
      <c r="F67" s="87" t="s">
        <v>86</v>
      </c>
      <c r="G67" s="156"/>
      <c r="H67" s="85"/>
      <c r="I67" s="85"/>
      <c r="J67" s="51">
        <f>SUM(H67:I67)</f>
        <v>0</v>
      </c>
    </row>
    <row r="68" spans="2:11" x14ac:dyDescent="0.2">
      <c r="H68" s="85"/>
      <c r="I68" s="85"/>
    </row>
    <row r="69" spans="2:11" x14ac:dyDescent="0.2">
      <c r="B69" s="84">
        <v>11</v>
      </c>
      <c r="C69" s="84">
        <v>100</v>
      </c>
      <c r="D69" s="86" t="s">
        <v>61</v>
      </c>
      <c r="E69" s="84"/>
      <c r="F69" s="86" t="s">
        <v>60</v>
      </c>
      <c r="G69" s="155"/>
      <c r="H69" s="85"/>
      <c r="I69" s="85"/>
      <c r="J69" s="58"/>
      <c r="K69" s="60">
        <f>IF(COUNTA(J70:J73)&lt;3,0,IF(COUNTA(J70:J73)=3,SUM(J70:J73),IF(SUM(J70:J73)&gt;0,SUM(J70:J73)-MINA(J70:J73),0)))</f>
        <v>0</v>
      </c>
    </row>
    <row r="70" spans="2:11" x14ac:dyDescent="0.2">
      <c r="B70" s="84"/>
      <c r="C70" s="84"/>
      <c r="D70" s="84"/>
      <c r="E70" s="88" t="s">
        <v>15</v>
      </c>
      <c r="F70" s="87" t="s">
        <v>83</v>
      </c>
      <c r="G70" s="156"/>
      <c r="H70" s="85"/>
      <c r="I70" s="85"/>
      <c r="J70" s="51">
        <f>SUM(H70:I70)</f>
        <v>0</v>
      </c>
    </row>
    <row r="71" spans="2:11" x14ac:dyDescent="0.2">
      <c r="B71" s="84"/>
      <c r="C71" s="84"/>
      <c r="D71" s="84"/>
      <c r="E71" s="88" t="s">
        <v>15</v>
      </c>
      <c r="F71" s="87" t="s">
        <v>84</v>
      </c>
      <c r="G71" s="156"/>
      <c r="H71" s="85"/>
      <c r="I71" s="85"/>
      <c r="J71" s="51">
        <f>SUM(H71:I71)</f>
        <v>0</v>
      </c>
    </row>
    <row r="72" spans="2:11" x14ac:dyDescent="0.2">
      <c r="B72" s="84"/>
      <c r="C72" s="84"/>
      <c r="D72" s="84"/>
      <c r="E72" s="88" t="s">
        <v>15</v>
      </c>
      <c r="F72" s="87" t="s">
        <v>85</v>
      </c>
      <c r="G72" s="156"/>
      <c r="H72" s="85"/>
      <c r="I72" s="85"/>
      <c r="J72" s="51">
        <f>SUM(H72:I72)</f>
        <v>0</v>
      </c>
    </row>
    <row r="73" spans="2:11" x14ac:dyDescent="0.2">
      <c r="B73" s="84"/>
      <c r="C73" s="84"/>
      <c r="D73" s="84"/>
      <c r="E73" s="88" t="s">
        <v>15</v>
      </c>
      <c r="F73" s="87" t="s">
        <v>86</v>
      </c>
      <c r="G73" s="156"/>
      <c r="H73" s="85"/>
      <c r="I73" s="85"/>
      <c r="J73" s="51">
        <f>SUM(H73:I73)</f>
        <v>0</v>
      </c>
    </row>
    <row r="74" spans="2:11" x14ac:dyDescent="0.2">
      <c r="H74" s="85"/>
      <c r="I74" s="85"/>
    </row>
    <row r="75" spans="2:11" x14ac:dyDescent="0.2">
      <c r="B75" s="84">
        <v>12</v>
      </c>
      <c r="C75" s="84">
        <v>100</v>
      </c>
      <c r="D75" s="86" t="s">
        <v>58</v>
      </c>
      <c r="E75" s="84"/>
      <c r="F75" s="86" t="s">
        <v>59</v>
      </c>
      <c r="G75" s="155"/>
      <c r="H75" s="85"/>
      <c r="I75" s="85"/>
      <c r="J75" s="58"/>
      <c r="K75" s="60">
        <f>IF(COUNTA(J76:J79)&lt;3,0,IF(COUNTA(J76:J79)=3,SUM(J76:J79),IF(SUM(J76:J79)&gt;0,SUM(J76:J79)-MINA(J76:J79),0)))</f>
        <v>0</v>
      </c>
    </row>
    <row r="76" spans="2:11" x14ac:dyDescent="0.2">
      <c r="B76" s="84"/>
      <c r="C76" s="84"/>
      <c r="D76" s="84"/>
      <c r="E76" s="88" t="s">
        <v>15</v>
      </c>
      <c r="F76" s="87" t="s">
        <v>83</v>
      </c>
      <c r="G76" s="156"/>
      <c r="H76" s="85"/>
      <c r="I76" s="85"/>
      <c r="J76" s="51">
        <f>SUM(H76:I76)</f>
        <v>0</v>
      </c>
    </row>
    <row r="77" spans="2:11" x14ac:dyDescent="0.2">
      <c r="B77" s="84"/>
      <c r="C77" s="84"/>
      <c r="D77" s="84"/>
      <c r="E77" s="88" t="s">
        <v>15</v>
      </c>
      <c r="F77" s="87" t="s">
        <v>84</v>
      </c>
      <c r="G77" s="156"/>
      <c r="H77" s="85"/>
      <c r="I77" s="85"/>
      <c r="J77" s="51">
        <f>SUM(H77:I77)</f>
        <v>0</v>
      </c>
    </row>
    <row r="78" spans="2:11" x14ac:dyDescent="0.2">
      <c r="B78" s="84"/>
      <c r="C78" s="84"/>
      <c r="D78" s="84"/>
      <c r="E78" s="88" t="s">
        <v>15</v>
      </c>
      <c r="F78" s="87" t="s">
        <v>85</v>
      </c>
      <c r="G78" s="156"/>
      <c r="H78" s="85"/>
      <c r="I78" s="85"/>
      <c r="J78" s="51">
        <f>SUM(H78:I78)</f>
        <v>0</v>
      </c>
    </row>
    <row r="79" spans="2:11" x14ac:dyDescent="0.2">
      <c r="B79" s="84"/>
      <c r="C79" s="84"/>
      <c r="D79" s="84"/>
      <c r="E79" s="88" t="s">
        <v>15</v>
      </c>
      <c r="F79" s="87" t="s">
        <v>86</v>
      </c>
      <c r="G79" s="156"/>
      <c r="H79" s="85"/>
      <c r="I79" s="85"/>
      <c r="J79" s="51">
        <f>SUM(H79:I79)</f>
        <v>0</v>
      </c>
    </row>
  </sheetData>
  <sheetProtection selectLockedCells="1"/>
  <protectedRanges>
    <protectedRange password="E95F" sqref="E8:I79" name="Invoer"/>
  </protectedRanges>
  <dataConsolidate/>
  <mergeCells count="3">
    <mergeCell ref="B1:K1"/>
    <mergeCell ref="E3:F3"/>
    <mergeCell ref="H3:K4"/>
  </mergeCells>
  <phoneticPr fontId="0" type="noConversion"/>
  <pageMargins left="0.49" right="0.42" top="0.49" bottom="1.38" header="0.5" footer="0.6"/>
  <pageSetup paperSize="9" scale="90"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transitionEvaluation="1" codeName="Blad3">
    <pageSetUpPr fitToPage="1"/>
  </sheetPr>
  <dimension ref="A2:V22"/>
  <sheetViews>
    <sheetView showGridLines="0" defaultGridColor="0" colorId="22" zoomScale="75" workbookViewId="0">
      <selection activeCell="U11" sqref="U11"/>
    </sheetView>
  </sheetViews>
  <sheetFormatPr defaultColWidth="9.77734375" defaultRowHeight="15" x14ac:dyDescent="0.2"/>
  <cols>
    <col min="1" max="1" width="2.77734375" customWidth="1"/>
    <col min="2" max="2" width="5.77734375" style="1" customWidth="1"/>
    <col min="3" max="3" width="23.5546875" customWidth="1"/>
    <col min="4" max="4" width="23.33203125" customWidth="1"/>
    <col min="5" max="8" width="6.109375" customWidth="1"/>
    <col min="9" max="9" width="1.77734375" customWidth="1"/>
    <col min="10" max="13" width="6.109375" customWidth="1"/>
    <col min="14" max="14" width="1.77734375" customWidth="1"/>
    <col min="15" max="18" width="6.33203125" customWidth="1"/>
    <col min="19" max="19" width="9.77734375" customWidth="1"/>
    <col min="20" max="20" width="4.77734375" customWidth="1"/>
    <col min="21" max="21" width="6.5546875" customWidth="1"/>
    <col min="22" max="22" width="11.5546875" customWidth="1"/>
    <col min="23" max="23" width="4.77734375" customWidth="1"/>
    <col min="24" max="24" width="1.77734375" customWidth="1"/>
  </cols>
  <sheetData>
    <row r="2" spans="1:22" ht="30" customHeight="1" x14ac:dyDescent="0.3">
      <c r="B2" s="79" t="str">
        <f>scores!B1</f>
        <v>Rayon kampioenschappen Indoor Teams   Rayon 3</v>
      </c>
      <c r="C2" s="80"/>
      <c r="D2" s="80"/>
      <c r="E2" s="80"/>
      <c r="F2" s="80"/>
      <c r="G2" s="80"/>
      <c r="H2" s="80"/>
      <c r="I2" s="80"/>
      <c r="J2" s="81"/>
      <c r="K2" s="82"/>
      <c r="L2" s="82"/>
      <c r="M2" s="80"/>
      <c r="N2" s="80"/>
      <c r="O2" s="82"/>
      <c r="P2" s="81"/>
      <c r="Q2" s="134" t="str">
        <f>scores!D3</f>
        <v>yyyy-mm-dd</v>
      </c>
      <c r="R2" s="81"/>
      <c r="S2" s="83"/>
    </row>
    <row r="4" spans="1:22" ht="28.5" customHeight="1" x14ac:dyDescent="0.25">
      <c r="B4" s="2" t="str">
        <f>scores!B4</f>
        <v>Klasse: ???</v>
      </c>
      <c r="E4" s="3"/>
    </row>
    <row r="5" spans="1:22" ht="12.95" customHeight="1" x14ac:dyDescent="0.2"/>
    <row r="7" spans="1:22" ht="21" customHeight="1" x14ac:dyDescent="0.25">
      <c r="B7" s="4"/>
      <c r="C7" s="5"/>
      <c r="D7" s="6"/>
      <c r="E7" s="138" t="s">
        <v>76</v>
      </c>
      <c r="F7" s="139"/>
      <c r="G7" s="139"/>
      <c r="H7" s="140"/>
      <c r="I7" s="7"/>
      <c r="J7" s="138" t="s">
        <v>77</v>
      </c>
      <c r="K7" s="139"/>
      <c r="L7" s="139"/>
      <c r="M7" s="140"/>
      <c r="N7" s="7"/>
      <c r="O7" s="138" t="s">
        <v>78</v>
      </c>
      <c r="P7" s="139"/>
      <c r="Q7" s="139"/>
      <c r="R7" s="140"/>
      <c r="S7" s="8"/>
      <c r="U7" s="33" t="s">
        <v>8</v>
      </c>
      <c r="V7" s="34" t="s">
        <v>9</v>
      </c>
    </row>
    <row r="8" spans="1:22" ht="21" customHeight="1" x14ac:dyDescent="0.2">
      <c r="A8" s="1"/>
      <c r="B8" s="9" t="s">
        <v>0</v>
      </c>
      <c r="C8" s="131" t="s">
        <v>45</v>
      </c>
      <c r="D8" s="132" t="s">
        <v>46</v>
      </c>
      <c r="E8" s="11" t="s">
        <v>1</v>
      </c>
      <c r="F8" s="9" t="s">
        <v>2</v>
      </c>
      <c r="G8" s="9" t="s">
        <v>3</v>
      </c>
      <c r="H8" s="12" t="s">
        <v>4</v>
      </c>
      <c r="I8" s="13"/>
      <c r="J8" s="11" t="s">
        <v>1</v>
      </c>
      <c r="K8" s="9" t="s">
        <v>2</v>
      </c>
      <c r="L8" s="9" t="s">
        <v>3</v>
      </c>
      <c r="M8" s="12" t="s">
        <v>4</v>
      </c>
      <c r="N8" s="13"/>
      <c r="O8" s="11">
        <v>1</v>
      </c>
      <c r="P8" s="9">
        <v>2</v>
      </c>
      <c r="Q8" s="9">
        <v>3</v>
      </c>
      <c r="R8" s="10">
        <v>4</v>
      </c>
      <c r="S8" s="14" t="s">
        <v>5</v>
      </c>
      <c r="U8" s="35" t="s">
        <v>10</v>
      </c>
      <c r="V8" s="35" t="s">
        <v>11</v>
      </c>
    </row>
    <row r="9" spans="1:22" ht="15.75" x14ac:dyDescent="0.2">
      <c r="A9" s="1"/>
      <c r="C9" s="1"/>
      <c r="D9" s="15"/>
      <c r="E9" s="1"/>
      <c r="F9" s="1"/>
      <c r="G9" s="1"/>
      <c r="H9" s="1"/>
      <c r="I9" s="16"/>
      <c r="J9" s="1"/>
      <c r="K9" s="1"/>
      <c r="L9" s="1"/>
      <c r="M9" s="1"/>
      <c r="N9" s="16"/>
      <c r="O9" s="1"/>
      <c r="P9" s="1"/>
      <c r="Q9" s="1"/>
      <c r="R9" s="15"/>
      <c r="S9" s="17" t="s">
        <v>79</v>
      </c>
      <c r="U9" s="36"/>
      <c r="V9" s="36"/>
    </row>
    <row r="10" spans="1:22" ht="15.75" x14ac:dyDescent="0.2">
      <c r="A10" s="1"/>
      <c r="C10" s="1"/>
      <c r="D10" s="15"/>
      <c r="E10" s="1"/>
      <c r="F10" s="1"/>
      <c r="G10" s="1"/>
      <c r="H10" s="1"/>
      <c r="I10" s="16"/>
      <c r="J10" s="1"/>
      <c r="K10" s="1"/>
      <c r="L10" s="1"/>
      <c r="M10" s="1"/>
      <c r="N10" s="16"/>
      <c r="O10" s="1"/>
      <c r="P10" s="1"/>
      <c r="Q10" s="1"/>
      <c r="R10" s="15"/>
      <c r="S10" s="17" t="s">
        <v>80</v>
      </c>
      <c r="U10" s="36"/>
      <c r="V10" s="36"/>
    </row>
    <row r="11" spans="1:22" ht="19.899999999999999" customHeight="1" x14ac:dyDescent="0.2">
      <c r="A11" s="1">
        <f>A10+1</f>
        <v>1</v>
      </c>
      <c r="B11" s="61">
        <f>IF(scores!B9&gt;0,scores!B9,"")</f>
        <v>1</v>
      </c>
      <c r="C11" s="62" t="str">
        <f>IF(scores!F9="","",scores!F9)</f>
        <v>Team naam 1</v>
      </c>
      <c r="D11" s="63" t="str">
        <f>scores!D9</f>
        <v>Vereniging 1</v>
      </c>
      <c r="E11" s="64" t="str">
        <f>IF(scores!H10=0,"",scores!H10)</f>
        <v/>
      </c>
      <c r="F11" s="64" t="str">
        <f>IF(scores!H11=0,"",scores!H11)</f>
        <v/>
      </c>
      <c r="G11" s="64" t="str">
        <f>IF(scores!H12=0,"",scores!H12)</f>
        <v/>
      </c>
      <c r="H11" s="64" t="str">
        <f>IF(scores!H13=0,"",scores!H13)</f>
        <v/>
      </c>
      <c r="I11" s="65"/>
      <c r="J11" s="64" t="str">
        <f>IF(scores!I10=0,"",scores!I10)</f>
        <v/>
      </c>
      <c r="K11" s="64" t="str">
        <f>IF(scores!I11=0,"",scores!I11)</f>
        <v/>
      </c>
      <c r="L11" s="64" t="str">
        <f>IF(scores!I12=0,"",scores!I12)</f>
        <v/>
      </c>
      <c r="M11" s="64" t="str">
        <f>IF(scores!I13=0,"",scores!I13)</f>
        <v/>
      </c>
      <c r="N11" s="65"/>
      <c r="O11" s="66" t="str">
        <f t="shared" ref="O11:O22" si="0">IF(+E11+J11&gt;0,+E11+J11,"")</f>
        <v/>
      </c>
      <c r="P11" s="67" t="str">
        <f t="shared" ref="P11:P22" si="1">IF(+F11+K11&gt;0,+F11+K11,"")</f>
        <v/>
      </c>
      <c r="Q11" s="67" t="str">
        <f t="shared" ref="Q11:Q22" si="2">IF(+G11+L11&gt;0,+G11+L11,"")</f>
        <v/>
      </c>
      <c r="R11" s="68" t="str">
        <f t="shared" ref="R11:R22" si="3">IF(+H11+M11&gt;0,+H11+M11,"")</f>
        <v/>
      </c>
      <c r="S11" s="69">
        <f t="shared" ref="S11:S22" si="4">IF(COUNTA(O11:R11)&lt;3,0,IF(COUNTA(O11:R11)=3,SUM(O11:R11),IF(SUM(O11:R11)&gt;0,SUM(O11:R11)-MINA(O11:R11),0)))</f>
        <v>0</v>
      </c>
      <c r="U11" s="70"/>
      <c r="V11" s="37">
        <f t="shared" ref="V11:V22" si="5">+S11+U11</f>
        <v>0</v>
      </c>
    </row>
    <row r="12" spans="1:22" ht="19.899999999999999" customHeight="1" x14ac:dyDescent="0.2">
      <c r="A12" s="1">
        <f t="shared" ref="A12:A22" si="6">A11+1</f>
        <v>2</v>
      </c>
      <c r="B12" s="61">
        <f>IF(scores!B15&gt;0,scores!B15,"")</f>
        <v>2</v>
      </c>
      <c r="C12" s="62" t="str">
        <f>IF(scores!F15="","",scores!F15)</f>
        <v>Team naam 2</v>
      </c>
      <c r="D12" s="63" t="str">
        <f>scores!D15</f>
        <v>Vereniging 2</v>
      </c>
      <c r="E12" s="64" t="str">
        <f>IF(scores!H16=0,"",scores!H16)</f>
        <v/>
      </c>
      <c r="F12" s="64" t="str">
        <f>IF(scores!H17=0,"",scores!H17)</f>
        <v/>
      </c>
      <c r="G12" s="64" t="str">
        <f>IF(scores!H18=0,"",scores!H18)</f>
        <v/>
      </c>
      <c r="H12" s="64" t="str">
        <f>IF(scores!H19=0,"",scores!H19)</f>
        <v/>
      </c>
      <c r="I12" s="65"/>
      <c r="J12" s="64" t="str">
        <f>IF(scores!I16=0,"",scores!I16)</f>
        <v/>
      </c>
      <c r="K12" s="64" t="str">
        <f>IF(scores!I17=0,"",scores!I17)</f>
        <v/>
      </c>
      <c r="L12" s="64" t="str">
        <f>IF(scores!I18=0,"",scores!I18)</f>
        <v/>
      </c>
      <c r="M12" s="64" t="str">
        <f>IF(scores!I19=0,"",scores!I19)</f>
        <v/>
      </c>
      <c r="N12" s="65"/>
      <c r="O12" s="66" t="str">
        <f t="shared" si="0"/>
        <v/>
      </c>
      <c r="P12" s="67" t="str">
        <f t="shared" si="1"/>
        <v/>
      </c>
      <c r="Q12" s="67" t="str">
        <f t="shared" si="2"/>
        <v/>
      </c>
      <c r="R12" s="68" t="str">
        <f t="shared" si="3"/>
        <v/>
      </c>
      <c r="S12" s="69">
        <f t="shared" si="4"/>
        <v>0</v>
      </c>
      <c r="U12" s="70"/>
      <c r="V12" s="37">
        <f t="shared" si="5"/>
        <v>0</v>
      </c>
    </row>
    <row r="13" spans="1:22" ht="19.899999999999999" customHeight="1" x14ac:dyDescent="0.2">
      <c r="A13" s="1">
        <f t="shared" si="6"/>
        <v>3</v>
      </c>
      <c r="B13" s="61">
        <f>IF(scores!B21&gt;0,scores!B21,"")</f>
        <v>3</v>
      </c>
      <c r="C13" s="62" t="str">
        <f>IF(scores!F21="","",scores!F21)</f>
        <v>Team naam 3</v>
      </c>
      <c r="D13" s="63" t="str">
        <f>scores!D21</f>
        <v>Vereniging 3</v>
      </c>
      <c r="E13" s="64" t="str">
        <f>IF(scores!H22=0,"",scores!H22)</f>
        <v/>
      </c>
      <c r="F13" s="64" t="str">
        <f>IF(scores!H23=0,"",scores!H23)</f>
        <v/>
      </c>
      <c r="G13" s="64" t="str">
        <f>IF(scores!H24=0,"",scores!H24)</f>
        <v/>
      </c>
      <c r="H13" s="64" t="str">
        <f>IF(scores!H25=0,"",scores!H25)</f>
        <v/>
      </c>
      <c r="I13" s="65"/>
      <c r="J13" s="64" t="str">
        <f>IF(scores!I22=0,"",scores!I22)</f>
        <v/>
      </c>
      <c r="K13" s="64" t="str">
        <f>IF(scores!I23=0,"",scores!I23)</f>
        <v/>
      </c>
      <c r="L13" s="64" t="str">
        <f>IF(scores!I24=0,"",scores!I24)</f>
        <v/>
      </c>
      <c r="M13" s="64" t="str">
        <f>IF(scores!I25=0,"",scores!I25)</f>
        <v/>
      </c>
      <c r="N13" s="65"/>
      <c r="O13" s="66" t="str">
        <f t="shared" si="0"/>
        <v/>
      </c>
      <c r="P13" s="67" t="str">
        <f t="shared" si="1"/>
        <v/>
      </c>
      <c r="Q13" s="67" t="str">
        <f t="shared" si="2"/>
        <v/>
      </c>
      <c r="R13" s="68" t="str">
        <f t="shared" si="3"/>
        <v/>
      </c>
      <c r="S13" s="69">
        <f t="shared" si="4"/>
        <v>0</v>
      </c>
      <c r="U13" s="70"/>
      <c r="V13" s="37">
        <f t="shared" si="5"/>
        <v>0</v>
      </c>
    </row>
    <row r="14" spans="1:22" ht="19.899999999999999" customHeight="1" x14ac:dyDescent="0.2">
      <c r="A14" s="1">
        <f t="shared" si="6"/>
        <v>4</v>
      </c>
      <c r="B14" s="61">
        <f>IF(scores!B27&gt;0,scores!B27,"")</f>
        <v>4</v>
      </c>
      <c r="C14" s="62" t="str">
        <f>IF(scores!F27="","",scores!F27)</f>
        <v>Team naam 4</v>
      </c>
      <c r="D14" s="63" t="str">
        <f>scores!D27</f>
        <v>Vereniging 4</v>
      </c>
      <c r="E14" s="64" t="str">
        <f>IF(scores!H28=0,"",scores!H28)</f>
        <v/>
      </c>
      <c r="F14" s="64" t="str">
        <f>IF(scores!H29=0,"",scores!H29)</f>
        <v/>
      </c>
      <c r="G14" s="64" t="str">
        <f>IF(scores!H30=0,"",scores!H30)</f>
        <v/>
      </c>
      <c r="H14" s="64" t="str">
        <f>IF(scores!H31=0,"",scores!H31)</f>
        <v/>
      </c>
      <c r="I14" s="65"/>
      <c r="J14" s="64" t="str">
        <f>IF(scores!I28=0,"",scores!I28)</f>
        <v/>
      </c>
      <c r="K14" s="64" t="str">
        <f>IF(scores!I29=0,"",scores!I29)</f>
        <v/>
      </c>
      <c r="L14" s="64" t="str">
        <f>IF(scores!I30=0,"",scores!I30)</f>
        <v/>
      </c>
      <c r="M14" s="64" t="str">
        <f>IF(scores!I31=0,"",scores!I31)</f>
        <v/>
      </c>
      <c r="N14" s="65"/>
      <c r="O14" s="66" t="str">
        <f t="shared" si="0"/>
        <v/>
      </c>
      <c r="P14" s="67" t="str">
        <f t="shared" si="1"/>
        <v/>
      </c>
      <c r="Q14" s="67" t="str">
        <f t="shared" si="2"/>
        <v/>
      </c>
      <c r="R14" s="68" t="str">
        <f t="shared" si="3"/>
        <v/>
      </c>
      <c r="S14" s="69">
        <f t="shared" si="4"/>
        <v>0</v>
      </c>
      <c r="U14" s="70"/>
      <c r="V14" s="37">
        <f t="shared" si="5"/>
        <v>0</v>
      </c>
    </row>
    <row r="15" spans="1:22" ht="19.899999999999999" customHeight="1" x14ac:dyDescent="0.2">
      <c r="A15" s="1">
        <f t="shared" si="6"/>
        <v>5</v>
      </c>
      <c r="B15" s="61">
        <f>IF(scores!B33&gt;0,scores!B33,"")</f>
        <v>5</v>
      </c>
      <c r="C15" s="62" t="str">
        <f>IF(scores!F33="","",scores!F33)</f>
        <v>Team naam 5</v>
      </c>
      <c r="D15" s="63" t="str">
        <f>scores!D33</f>
        <v>Vereniging 5</v>
      </c>
      <c r="E15" s="64" t="str">
        <f>IF(scores!H34=0,"",scores!H34)</f>
        <v/>
      </c>
      <c r="F15" s="64" t="str">
        <f>IF(scores!H35=0,"",scores!H35)</f>
        <v/>
      </c>
      <c r="G15" s="64" t="str">
        <f>IF(scores!H36=0,"",scores!H36)</f>
        <v/>
      </c>
      <c r="H15" s="64" t="str">
        <f>IF(scores!H37=0,"",scores!H37)</f>
        <v/>
      </c>
      <c r="I15" s="65"/>
      <c r="J15" s="64" t="str">
        <f>IF(scores!I34=0,"",scores!I34)</f>
        <v/>
      </c>
      <c r="K15" s="64" t="str">
        <f>IF(scores!I35=0,"",scores!I35)</f>
        <v/>
      </c>
      <c r="L15" s="64" t="str">
        <f>IF(scores!I36=0,"",scores!I36)</f>
        <v/>
      </c>
      <c r="M15" s="64" t="str">
        <f>IF(scores!I37=0,"",scores!I37)</f>
        <v/>
      </c>
      <c r="N15" s="65"/>
      <c r="O15" s="66" t="str">
        <f t="shared" si="0"/>
        <v/>
      </c>
      <c r="P15" s="67" t="str">
        <f t="shared" si="1"/>
        <v/>
      </c>
      <c r="Q15" s="67" t="str">
        <f t="shared" si="2"/>
        <v/>
      </c>
      <c r="R15" s="68" t="str">
        <f t="shared" si="3"/>
        <v/>
      </c>
      <c r="S15" s="69">
        <f t="shared" si="4"/>
        <v>0</v>
      </c>
      <c r="U15" s="70"/>
      <c r="V15" s="37">
        <f t="shared" si="5"/>
        <v>0</v>
      </c>
    </row>
    <row r="16" spans="1:22" ht="19.899999999999999" customHeight="1" x14ac:dyDescent="0.2">
      <c r="A16" s="1">
        <f t="shared" si="6"/>
        <v>6</v>
      </c>
      <c r="B16" s="61">
        <f>IF(scores!B39&gt;0,scores!B39,"")</f>
        <v>6</v>
      </c>
      <c r="C16" s="62" t="str">
        <f>IF(scores!F39="","",scores!F39)</f>
        <v>Team naam 6</v>
      </c>
      <c r="D16" s="63" t="str">
        <f>scores!D39</f>
        <v>Vereniging 6</v>
      </c>
      <c r="E16" s="64" t="str">
        <f>IF(scores!H40=0,"",scores!H40)</f>
        <v/>
      </c>
      <c r="F16" s="64" t="str">
        <f>IF(scores!H41=0,"",scores!H41)</f>
        <v/>
      </c>
      <c r="G16" s="64" t="str">
        <f>IF(scores!H42=0,"",scores!H42)</f>
        <v/>
      </c>
      <c r="H16" s="64" t="str">
        <f>IF(scores!H43=0,"",scores!H43)</f>
        <v/>
      </c>
      <c r="I16" s="65"/>
      <c r="J16" s="64" t="str">
        <f>IF(scores!I40=0,"",scores!I40)</f>
        <v/>
      </c>
      <c r="K16" s="64" t="str">
        <f>IF(scores!I41=0,"",scores!I41)</f>
        <v/>
      </c>
      <c r="L16" s="64" t="str">
        <f>IF(scores!I42=0,"",scores!I42)</f>
        <v/>
      </c>
      <c r="M16" s="64" t="str">
        <f>IF(scores!I43=0,"",scores!I43)</f>
        <v/>
      </c>
      <c r="N16" s="65"/>
      <c r="O16" s="66" t="str">
        <f t="shared" si="0"/>
        <v/>
      </c>
      <c r="P16" s="67" t="str">
        <f t="shared" si="1"/>
        <v/>
      </c>
      <c r="Q16" s="67" t="str">
        <f t="shared" si="2"/>
        <v/>
      </c>
      <c r="R16" s="68" t="str">
        <f t="shared" si="3"/>
        <v/>
      </c>
      <c r="S16" s="69">
        <f t="shared" si="4"/>
        <v>0</v>
      </c>
      <c r="U16" s="70"/>
      <c r="V16" s="37">
        <f t="shared" si="5"/>
        <v>0</v>
      </c>
    </row>
    <row r="17" spans="1:22" ht="19.899999999999999" customHeight="1" x14ac:dyDescent="0.2">
      <c r="A17" s="1">
        <f t="shared" si="6"/>
        <v>7</v>
      </c>
      <c r="B17" s="61">
        <f>IF(scores!B45&gt;0,scores!B45,"")</f>
        <v>7</v>
      </c>
      <c r="C17" s="62" t="str">
        <f>IF(scores!F45="","",scores!F45)</f>
        <v>Team naam 7</v>
      </c>
      <c r="D17" s="63" t="str">
        <f>scores!D45</f>
        <v>Vereniging 7</v>
      </c>
      <c r="E17" s="64" t="str">
        <f>IF(scores!H46=0,"",scores!H46)</f>
        <v/>
      </c>
      <c r="F17" s="64" t="str">
        <f>IF(scores!H47=0,"",scores!H47)</f>
        <v/>
      </c>
      <c r="G17" s="64" t="str">
        <f>IF(scores!H48=0,"",scores!H48)</f>
        <v/>
      </c>
      <c r="H17" s="64" t="str">
        <f>IF(scores!H49=0,"",scores!H49)</f>
        <v/>
      </c>
      <c r="I17" s="65"/>
      <c r="J17" s="64" t="str">
        <f>IF(scores!I46=0,"",scores!I46)</f>
        <v/>
      </c>
      <c r="K17" s="64" t="str">
        <f>IF(scores!I47=0,"",scores!I47)</f>
        <v/>
      </c>
      <c r="L17" s="64" t="str">
        <f>IF(scores!I48=0,"",scores!I48)</f>
        <v/>
      </c>
      <c r="M17" s="64" t="str">
        <f>IF(scores!I49=0,"",scores!I49)</f>
        <v/>
      </c>
      <c r="N17" s="65"/>
      <c r="O17" s="66" t="str">
        <f t="shared" si="0"/>
        <v/>
      </c>
      <c r="P17" s="67" t="str">
        <f t="shared" si="1"/>
        <v/>
      </c>
      <c r="Q17" s="67" t="str">
        <f t="shared" si="2"/>
        <v/>
      </c>
      <c r="R17" s="68" t="str">
        <f t="shared" si="3"/>
        <v/>
      </c>
      <c r="S17" s="69">
        <f t="shared" si="4"/>
        <v>0</v>
      </c>
      <c r="U17" s="70"/>
      <c r="V17" s="37">
        <f t="shared" si="5"/>
        <v>0</v>
      </c>
    </row>
    <row r="18" spans="1:22" ht="19.899999999999999" customHeight="1" x14ac:dyDescent="0.2">
      <c r="A18" s="1">
        <f t="shared" si="6"/>
        <v>8</v>
      </c>
      <c r="B18" s="61">
        <f>IF(scores!B51&gt;0,scores!B51,"")</f>
        <v>8</v>
      </c>
      <c r="C18" s="62" t="str">
        <f>IF(scores!F51="","",scores!F51)</f>
        <v>Team naam 8</v>
      </c>
      <c r="D18" s="63" t="str">
        <f>scores!D51</f>
        <v>Vereniging 8</v>
      </c>
      <c r="E18" s="64" t="str">
        <f>IF(scores!H52=0,"",scores!H52)</f>
        <v/>
      </c>
      <c r="F18" s="64" t="str">
        <f>IF(scores!H53=0,"",scores!H53)</f>
        <v/>
      </c>
      <c r="G18" s="64" t="str">
        <f>IF(scores!H54=0,"",scores!H54)</f>
        <v/>
      </c>
      <c r="H18" s="64" t="str">
        <f>IF(scores!H55=0,"",scores!H55)</f>
        <v/>
      </c>
      <c r="I18" s="65"/>
      <c r="J18" s="64" t="str">
        <f>IF(scores!I52=0,"",scores!I52)</f>
        <v/>
      </c>
      <c r="K18" s="64" t="str">
        <f>IF(scores!I53=0,"",scores!I53)</f>
        <v/>
      </c>
      <c r="L18" s="64" t="str">
        <f>IF(scores!I54=0,"",scores!I54)</f>
        <v/>
      </c>
      <c r="M18" s="64" t="str">
        <f>IF(scores!I55=0,"",scores!I55)</f>
        <v/>
      </c>
      <c r="N18" s="65"/>
      <c r="O18" s="66" t="str">
        <f t="shared" si="0"/>
        <v/>
      </c>
      <c r="P18" s="67" t="str">
        <f t="shared" si="1"/>
        <v/>
      </c>
      <c r="Q18" s="67" t="str">
        <f t="shared" si="2"/>
        <v/>
      </c>
      <c r="R18" s="68" t="str">
        <f t="shared" si="3"/>
        <v/>
      </c>
      <c r="S18" s="69">
        <f t="shared" si="4"/>
        <v>0</v>
      </c>
      <c r="U18" s="70"/>
      <c r="V18" s="37">
        <f t="shared" si="5"/>
        <v>0</v>
      </c>
    </row>
    <row r="19" spans="1:22" ht="20.25" customHeight="1" x14ac:dyDescent="0.2">
      <c r="A19" s="1">
        <f t="shared" si="6"/>
        <v>9</v>
      </c>
      <c r="B19" s="61">
        <f>IF(scores!B57&gt;0,scores!B57,"")</f>
        <v>9</v>
      </c>
      <c r="C19" s="62" t="str">
        <f>IF(scores!F57="","",scores!F57)</f>
        <v>Team naam 9</v>
      </c>
      <c r="D19" s="63" t="str">
        <f>scores!D57</f>
        <v>Vereniging 9</v>
      </c>
      <c r="E19" s="64" t="str">
        <f>IF(scores!H58=0,"",scores!H58)</f>
        <v/>
      </c>
      <c r="F19" s="64" t="str">
        <f>IF(scores!H59=0,"",scores!H59)</f>
        <v/>
      </c>
      <c r="G19" s="64" t="str">
        <f>IF(scores!H60=0,"",scores!H60)</f>
        <v/>
      </c>
      <c r="H19" s="64" t="str">
        <f>IF(scores!H61=0,"",scores!H61)</f>
        <v/>
      </c>
      <c r="I19" s="65"/>
      <c r="J19" s="64" t="str">
        <f>IF(scores!I58=0,"",scores!I58)</f>
        <v/>
      </c>
      <c r="K19" s="64" t="str">
        <f>IF(scores!I59=0,"",scores!I59)</f>
        <v/>
      </c>
      <c r="L19" s="64" t="str">
        <f>IF(scores!I60=0,"",scores!I60)</f>
        <v/>
      </c>
      <c r="M19" s="64" t="str">
        <f>IF(scores!I61=0,"",scores!I61)</f>
        <v/>
      </c>
      <c r="N19" s="65"/>
      <c r="O19" s="66" t="str">
        <f t="shared" si="0"/>
        <v/>
      </c>
      <c r="P19" s="67" t="str">
        <f t="shared" si="1"/>
        <v/>
      </c>
      <c r="Q19" s="67" t="str">
        <f t="shared" si="2"/>
        <v/>
      </c>
      <c r="R19" s="68" t="str">
        <f t="shared" si="3"/>
        <v/>
      </c>
      <c r="S19" s="69">
        <f t="shared" si="4"/>
        <v>0</v>
      </c>
      <c r="U19" s="70"/>
      <c r="V19" s="37">
        <f t="shared" si="5"/>
        <v>0</v>
      </c>
    </row>
    <row r="20" spans="1:22" ht="20.25" customHeight="1" x14ac:dyDescent="0.2">
      <c r="A20" s="1">
        <f t="shared" si="6"/>
        <v>10</v>
      </c>
      <c r="B20" s="61">
        <f>IF(scores!B63&gt;0,scores!B63,"")</f>
        <v>10</v>
      </c>
      <c r="C20" s="62" t="str">
        <f>IF(scores!F63="","",scores!F63)</f>
        <v>Team naam 10</v>
      </c>
      <c r="D20" s="63" t="str">
        <f>scores!D63</f>
        <v>Vereniging 10</v>
      </c>
      <c r="E20" s="64" t="str">
        <f>IF(scores!H64=0,"",scores!H64)</f>
        <v/>
      </c>
      <c r="F20" s="64" t="str">
        <f>IF(scores!H65=0,"",scores!H65)</f>
        <v/>
      </c>
      <c r="G20" s="64" t="str">
        <f>IF(scores!H66=0,"",scores!H66)</f>
        <v/>
      </c>
      <c r="H20" s="64" t="str">
        <f>IF(scores!H67=0,"",scores!H67)</f>
        <v/>
      </c>
      <c r="I20" s="65"/>
      <c r="J20" s="64" t="str">
        <f>IF(scores!I64=0,"",scores!I64)</f>
        <v/>
      </c>
      <c r="K20" s="64" t="str">
        <f>IF(scores!I65=0,"",scores!I65)</f>
        <v/>
      </c>
      <c r="L20" s="64" t="str">
        <f>IF(scores!I66=0,"",scores!I66)</f>
        <v/>
      </c>
      <c r="M20" s="64" t="str">
        <f>IF(scores!I67=0,"",scores!I67)</f>
        <v/>
      </c>
      <c r="N20" s="65"/>
      <c r="O20" s="66" t="str">
        <f t="shared" si="0"/>
        <v/>
      </c>
      <c r="P20" s="67" t="str">
        <f t="shared" si="1"/>
        <v/>
      </c>
      <c r="Q20" s="67" t="str">
        <f t="shared" si="2"/>
        <v/>
      </c>
      <c r="R20" s="68" t="str">
        <f t="shared" si="3"/>
        <v/>
      </c>
      <c r="S20" s="69">
        <f t="shared" si="4"/>
        <v>0</v>
      </c>
      <c r="U20" s="70"/>
      <c r="V20" s="37">
        <f t="shared" si="5"/>
        <v>0</v>
      </c>
    </row>
    <row r="21" spans="1:22" ht="20.25" customHeight="1" x14ac:dyDescent="0.2">
      <c r="A21" s="1">
        <f t="shared" si="6"/>
        <v>11</v>
      </c>
      <c r="B21" s="61">
        <f>IF(scores!B69&gt;0,scores!B69,"")</f>
        <v>11</v>
      </c>
      <c r="C21" s="62" t="str">
        <f>IF(scores!F69="","",scores!F69)</f>
        <v>Team naam 11</v>
      </c>
      <c r="D21" s="63" t="str">
        <f>scores!D69</f>
        <v>Vereniging 11</v>
      </c>
      <c r="E21" s="64" t="str">
        <f>IF(scores!H70=0,"",scores!H70)</f>
        <v/>
      </c>
      <c r="F21" s="64" t="str">
        <f>IF(scores!H71=0,"",scores!H71)</f>
        <v/>
      </c>
      <c r="G21" s="64" t="str">
        <f>IF(scores!H72=0,"",scores!H72)</f>
        <v/>
      </c>
      <c r="H21" s="64" t="str">
        <f>IF(scores!H73=0,"",scores!H73)</f>
        <v/>
      </c>
      <c r="I21" s="65"/>
      <c r="J21" s="64" t="str">
        <f>IF(scores!I70=0,"",scores!I70)</f>
        <v/>
      </c>
      <c r="K21" s="64" t="str">
        <f>IF(scores!I71=0,"",scores!I71)</f>
        <v/>
      </c>
      <c r="L21" s="64" t="str">
        <f>IF(scores!I72=0,"",scores!I72)</f>
        <v/>
      </c>
      <c r="M21" s="64" t="str">
        <f>IF(scores!I73=0,"",scores!I73)</f>
        <v/>
      </c>
      <c r="N21" s="65"/>
      <c r="O21" s="66" t="str">
        <f t="shared" si="0"/>
        <v/>
      </c>
      <c r="P21" s="67" t="str">
        <f t="shared" si="1"/>
        <v/>
      </c>
      <c r="Q21" s="67" t="str">
        <f t="shared" si="2"/>
        <v/>
      </c>
      <c r="R21" s="68" t="str">
        <f t="shared" si="3"/>
        <v/>
      </c>
      <c r="S21" s="69">
        <f t="shared" si="4"/>
        <v>0</v>
      </c>
      <c r="U21" s="70"/>
      <c r="V21" s="37">
        <f t="shared" si="5"/>
        <v>0</v>
      </c>
    </row>
    <row r="22" spans="1:22" ht="20.25" customHeight="1" x14ac:dyDescent="0.2">
      <c r="A22" s="1">
        <f t="shared" si="6"/>
        <v>12</v>
      </c>
      <c r="B22" s="61">
        <f>IF(scores!B75&gt;0,scores!B75,"")</f>
        <v>12</v>
      </c>
      <c r="C22" s="62" t="str">
        <f>IF(scores!F75="","",scores!F75)</f>
        <v>Team naam 12</v>
      </c>
      <c r="D22" s="63" t="str">
        <f>scores!D75</f>
        <v>Vereniging 12</v>
      </c>
      <c r="E22" s="64" t="str">
        <f>IF(scores!H76=0,"",scores!H76)</f>
        <v/>
      </c>
      <c r="F22" s="64" t="str">
        <f>IF(scores!H77=0,"",scores!H77)</f>
        <v/>
      </c>
      <c r="G22" s="64" t="str">
        <f>IF(scores!H78=0,"",scores!H78)</f>
        <v/>
      </c>
      <c r="H22" s="64" t="str">
        <f>IF(scores!H79=0,"",scores!H79)</f>
        <v/>
      </c>
      <c r="I22" s="65"/>
      <c r="J22" s="64" t="str">
        <f>IF(scores!I76=0,"",scores!I76)</f>
        <v/>
      </c>
      <c r="K22" s="64" t="str">
        <f>IF(scores!I77=0,"",scores!I77)</f>
        <v/>
      </c>
      <c r="L22" s="64" t="str">
        <f>IF(scores!I78=0,"",scores!I78)</f>
        <v/>
      </c>
      <c r="M22" s="64" t="str">
        <f>IF(scores!I79=0,"",scores!I79)</f>
        <v/>
      </c>
      <c r="N22" s="65"/>
      <c r="O22" s="66" t="str">
        <f t="shared" si="0"/>
        <v/>
      </c>
      <c r="P22" s="67" t="str">
        <f t="shared" si="1"/>
        <v/>
      </c>
      <c r="Q22" s="67" t="str">
        <f t="shared" si="2"/>
        <v/>
      </c>
      <c r="R22" s="68" t="str">
        <f t="shared" si="3"/>
        <v/>
      </c>
      <c r="S22" s="69">
        <f t="shared" si="4"/>
        <v>0</v>
      </c>
      <c r="U22" s="70"/>
      <c r="V22" s="37">
        <f t="shared" si="5"/>
        <v>0</v>
      </c>
    </row>
  </sheetData>
  <sheetProtection sheet="1" objects="1" scenarios="1" selectLockedCells="1" selectUnlockedCells="1"/>
  <sortState xmlns:xlrd2="http://schemas.microsoft.com/office/spreadsheetml/2017/richdata2" ref="B11:V22">
    <sortCondition ref="B11"/>
  </sortState>
  <mergeCells count="3">
    <mergeCell ref="E7:H7"/>
    <mergeCell ref="J7:M7"/>
    <mergeCell ref="O7:R7"/>
  </mergeCells>
  <phoneticPr fontId="0" type="noConversion"/>
  <pageMargins left="0.19685039370078741" right="0.39370078740157483" top="0.78740157480314965" bottom="0.39370078740157483" header="0.51181102362204722" footer="0.51181102362204722"/>
  <pageSetup paperSize="9" scale="73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0" r:id="rId4" name="Button 8">
              <controlPr locked="0" defaultSize="0" print="0" autoFill="0" autoLine="0" autoPict="0" macro="[0]!Macro3">
                <anchor moveWithCells="1" sizeWithCells="1">
                  <from>
                    <xdr:col>7</xdr:col>
                    <xdr:colOff>38100</xdr:colOff>
                    <xdr:row>3</xdr:row>
                    <xdr:rowOff>171450</xdr:rowOff>
                  </from>
                  <to>
                    <xdr:col>10</xdr:col>
                    <xdr:colOff>190500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5" name="Button 9">
              <controlPr locked="0" defaultSize="0" print="0" autoFill="0" autoLine="0" autoPict="0" macro="[0]!Macro4">
                <anchor moveWithCells="1" sizeWithCells="1">
                  <from>
                    <xdr:col>7</xdr:col>
                    <xdr:colOff>38100</xdr:colOff>
                    <xdr:row>4</xdr:row>
                    <xdr:rowOff>66675</xdr:rowOff>
                  </from>
                  <to>
                    <xdr:col>10</xdr:col>
                    <xdr:colOff>190500</xdr:colOff>
                    <xdr:row>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4"/>
  <dimension ref="A1:Z19"/>
  <sheetViews>
    <sheetView zoomScale="70" workbookViewId="0">
      <selection activeCell="E19" sqref="E19"/>
    </sheetView>
  </sheetViews>
  <sheetFormatPr defaultColWidth="9.5546875" defaultRowHeight="15" x14ac:dyDescent="0.2"/>
  <cols>
    <col min="1" max="1" width="4" style="99" customWidth="1"/>
    <col min="2" max="2" width="35.109375" style="99" customWidth="1"/>
    <col min="3" max="3" width="2" style="99" customWidth="1"/>
    <col min="4" max="4" width="30.6640625" style="99" customWidth="1"/>
    <col min="5" max="5" width="2.77734375" style="99" customWidth="1"/>
    <col min="6" max="6" width="9.77734375" style="99" customWidth="1"/>
    <col min="7" max="8" width="5.77734375" style="99" customWidth="1"/>
    <col min="9" max="10" width="6.77734375" style="99" customWidth="1"/>
    <col min="11" max="11" width="35.109375" style="99" customWidth="1"/>
    <col min="12" max="12" width="2.77734375" style="99" customWidth="1"/>
    <col min="13" max="13" width="9.77734375" style="99" customWidth="1"/>
    <col min="14" max="14" width="5.77734375" style="99" customWidth="1"/>
    <col min="15" max="15" width="7.77734375" style="99" customWidth="1"/>
    <col min="16" max="16" width="5.77734375" style="99" customWidth="1"/>
    <col min="17" max="17" width="9.33203125" style="99" customWidth="1"/>
    <col min="18" max="16384" width="9.5546875" style="99"/>
  </cols>
  <sheetData>
    <row r="1" spans="1:26" ht="16.5" customHeight="1" x14ac:dyDescent="0.2"/>
    <row r="2" spans="1:26" ht="19.5" customHeight="1" x14ac:dyDescent="0.2"/>
    <row r="3" spans="1:26" ht="19.5" customHeight="1" x14ac:dyDescent="0.2"/>
    <row r="4" spans="1:26" ht="40.5" customHeight="1" x14ac:dyDescent="0.5">
      <c r="B4" s="98" t="str">
        <f>scores!B1</f>
        <v>Rayon kampioenschappen Indoor Teams   Rayon 3</v>
      </c>
      <c r="C4" s="21"/>
      <c r="D4" s="21"/>
      <c r="E4" s="21"/>
      <c r="F4" s="21"/>
      <c r="G4" s="21"/>
      <c r="H4" s="21"/>
      <c r="I4" s="21"/>
      <c r="J4" s="21"/>
      <c r="K4" s="49"/>
      <c r="L4" s="21"/>
      <c r="M4" s="141" t="str">
        <f>IF(scores!D3="","",scores!D3)</f>
        <v>yyyy-mm-dd</v>
      </c>
      <c r="N4" s="141"/>
      <c r="O4" s="141"/>
      <c r="P4" s="141"/>
      <c r="Q4" s="141"/>
      <c r="R4" s="122"/>
      <c r="S4" s="110"/>
      <c r="T4" s="110"/>
      <c r="U4" s="110"/>
      <c r="V4" s="110"/>
      <c r="W4" s="123"/>
      <c r="X4" s="110"/>
      <c r="Y4" s="110"/>
      <c r="Z4" s="110"/>
    </row>
    <row r="5" spans="1:26" ht="21" customHeight="1" x14ac:dyDescent="0.2"/>
    <row r="6" spans="1:26" ht="42" customHeight="1" x14ac:dyDescent="0.5">
      <c r="B6" s="101" t="str">
        <f>uitslag!B4</f>
        <v>Klasse: ???</v>
      </c>
    </row>
    <row r="7" spans="1:26" ht="19.5" customHeight="1" x14ac:dyDescent="0.2"/>
    <row r="8" spans="1:26" ht="34.5" customHeight="1" x14ac:dyDescent="0.4">
      <c r="B8" s="23" t="s">
        <v>6</v>
      </c>
      <c r="C8" s="42"/>
      <c r="D8" s="42"/>
      <c r="E8" s="21"/>
      <c r="F8" s="22"/>
      <c r="G8" s="110"/>
      <c r="H8" s="110"/>
      <c r="I8" s="103"/>
      <c r="J8" s="103"/>
      <c r="K8" s="23" t="s">
        <v>7</v>
      </c>
      <c r="L8" s="21"/>
      <c r="M8" s="22"/>
      <c r="N8" s="110"/>
      <c r="S8" s="123"/>
      <c r="T8" s="110"/>
      <c r="U8" s="110"/>
      <c r="V8" s="124"/>
      <c r="W8" s="124"/>
      <c r="X8" s="124"/>
      <c r="Y8" s="124"/>
      <c r="Z8" s="124"/>
    </row>
    <row r="9" spans="1:26" x14ac:dyDescent="0.2">
      <c r="S9" s="124"/>
      <c r="T9" s="124"/>
      <c r="U9" s="124"/>
      <c r="V9" s="124"/>
      <c r="W9" s="124"/>
      <c r="X9" s="124"/>
      <c r="Y9" s="124"/>
      <c r="Z9" s="124"/>
    </row>
    <row r="10" spans="1:26" ht="30" customHeight="1" x14ac:dyDescent="0.2">
      <c r="B10" s="102"/>
      <c r="C10" s="102"/>
      <c r="D10" s="102"/>
      <c r="E10" s="103"/>
      <c r="F10" s="102"/>
      <c r="G10" s="102"/>
      <c r="H10" s="102"/>
      <c r="I10" s="102"/>
      <c r="J10" s="102"/>
      <c r="K10" s="102"/>
      <c r="L10" s="102"/>
      <c r="M10" s="102"/>
      <c r="N10" s="102"/>
      <c r="O10" s="102"/>
      <c r="S10" s="124"/>
      <c r="T10" s="124"/>
      <c r="U10" s="124"/>
      <c r="V10" s="124"/>
      <c r="W10" s="124"/>
      <c r="X10" s="124"/>
      <c r="Y10" s="124"/>
      <c r="Z10" s="124"/>
    </row>
    <row r="11" spans="1:26" ht="30" customHeight="1" x14ac:dyDescent="0.2">
      <c r="B11" s="102"/>
      <c r="C11" s="102"/>
      <c r="D11" s="102"/>
      <c r="E11" s="103"/>
      <c r="F11" s="102"/>
      <c r="G11" s="102"/>
      <c r="H11" s="102"/>
      <c r="I11" s="102"/>
      <c r="J11" s="102"/>
      <c r="K11" s="102"/>
      <c r="L11" s="102"/>
      <c r="M11" s="102"/>
      <c r="N11" s="102"/>
      <c r="O11" s="102"/>
      <c r="S11" s="124"/>
      <c r="T11" s="124"/>
      <c r="U11" s="124"/>
      <c r="V11" s="124"/>
      <c r="W11" s="124"/>
      <c r="X11" s="124"/>
      <c r="Y11" s="124"/>
      <c r="Z11" s="124"/>
    </row>
    <row r="12" spans="1:26" ht="30" customHeight="1" x14ac:dyDescent="0.2">
      <c r="A12" s="100">
        <v>1</v>
      </c>
      <c r="B12" s="45" t="str">
        <f>uitslag!$C$11</f>
        <v>Team naam 1</v>
      </c>
      <c r="C12" s="46"/>
      <c r="D12" s="45" t="str">
        <f>uitslag!$D$11</f>
        <v>Vereniging 1</v>
      </c>
      <c r="E12" s="25"/>
      <c r="F12" s="71"/>
      <c r="G12" s="75"/>
      <c r="H12" s="76"/>
      <c r="I12" s="111" t="str">
        <f>IF(F12&lt;1,"",IF(F12+G12&gt;F14+G14,"--&gt;&gt;",IF(OR(F12+G12&gt;F16+G16,F12+G12&gt;F18+G18),"  3e","")))</f>
        <v/>
      </c>
      <c r="J12" s="111"/>
      <c r="K12" s="102"/>
      <c r="L12" s="102"/>
      <c r="M12" s="102"/>
      <c r="N12" s="102"/>
      <c r="O12" s="102"/>
      <c r="S12" s="124"/>
      <c r="T12" s="124"/>
      <c r="U12" s="124"/>
      <c r="V12" s="124"/>
      <c r="W12" s="124"/>
      <c r="X12" s="124"/>
      <c r="Y12" s="124"/>
      <c r="Z12" s="124"/>
    </row>
    <row r="13" spans="1:26" ht="30" customHeight="1" x14ac:dyDescent="0.4">
      <c r="A13" s="100"/>
      <c r="B13" s="104"/>
      <c r="C13" s="104"/>
      <c r="D13" s="104"/>
      <c r="E13" s="103"/>
      <c r="F13" s="105"/>
      <c r="G13" s="106"/>
      <c r="H13" s="106"/>
      <c r="I13" s="107"/>
      <c r="J13" s="107"/>
      <c r="K13" s="43" t="str">
        <f>IF(AND(F12&lt;1,F14&lt;1),"",IF(F12+G12&gt;F14+G14,B12,B14))</f>
        <v/>
      </c>
      <c r="L13" s="25"/>
      <c r="M13" s="48"/>
      <c r="N13" s="78"/>
      <c r="O13" s="111" t="str">
        <f>IF(M13&lt;1,"",IF(M13+N13&gt;M17+N17,"--&gt;&gt;",IF(M13+N13&lt;M17+N17,"  2e","")))</f>
        <v/>
      </c>
      <c r="P13" s="112"/>
      <c r="S13" s="124"/>
      <c r="T13" s="124"/>
      <c r="U13" s="124"/>
      <c r="V13" s="124"/>
      <c r="W13" s="124"/>
      <c r="X13" s="124"/>
      <c r="Y13" s="124"/>
      <c r="Z13" s="124"/>
    </row>
    <row r="14" spans="1:26" ht="30" customHeight="1" thickBot="1" x14ac:dyDescent="0.3">
      <c r="A14" s="100">
        <v>4</v>
      </c>
      <c r="B14" s="45" t="str">
        <f>uitslag!$C$14</f>
        <v>Team naam 4</v>
      </c>
      <c r="C14" s="46"/>
      <c r="D14" s="45" t="str">
        <f>uitslag!$D$14</f>
        <v>Vereniging 4</v>
      </c>
      <c r="E14" s="25"/>
      <c r="F14" s="71"/>
      <c r="G14" s="75"/>
      <c r="H14" s="76"/>
      <c r="I14" s="38" t="str">
        <f>IF(F14&lt;1,"",IF(F14+G14&gt;F12+G12,"--&gt;&gt;",IF(OR(F14+G14&gt;F16+G16,F14+G14&gt;F18+G18),"  3e","")))</f>
        <v/>
      </c>
      <c r="J14" s="111"/>
      <c r="K14" s="113"/>
      <c r="L14" s="102"/>
      <c r="M14" s="114"/>
      <c r="N14" s="115"/>
      <c r="O14" s="112"/>
      <c r="P14" s="112"/>
      <c r="S14" s="124"/>
      <c r="T14" s="124"/>
      <c r="U14" s="124"/>
      <c r="V14" s="124"/>
      <c r="W14" s="124"/>
      <c r="X14" s="124"/>
      <c r="Y14" s="124"/>
      <c r="Z14" s="124"/>
    </row>
    <row r="15" spans="1:26" ht="30" customHeight="1" thickTop="1" thickBot="1" x14ac:dyDescent="0.4">
      <c r="A15" s="100"/>
      <c r="B15" s="108"/>
      <c r="C15" s="108"/>
      <c r="D15" s="108"/>
      <c r="E15" s="103"/>
      <c r="F15" s="105"/>
      <c r="G15" s="106"/>
      <c r="H15" s="106"/>
      <c r="K15" s="109"/>
      <c r="L15" s="102"/>
      <c r="M15" s="118" t="str">
        <f>IF(AND(M13&lt;1,M17&lt;1),"",IF(M13+N13&gt;M17+N17,K13,K17))</f>
        <v/>
      </c>
      <c r="N15" s="119"/>
      <c r="O15" s="120"/>
      <c r="P15" s="120"/>
      <c r="Q15" s="121"/>
      <c r="R15" s="124"/>
      <c r="S15" s="124"/>
      <c r="T15" s="124"/>
      <c r="U15" s="124"/>
      <c r="V15" s="124"/>
      <c r="W15" s="124"/>
      <c r="X15" s="124"/>
      <c r="Y15" s="124"/>
      <c r="Z15" s="124"/>
    </row>
    <row r="16" spans="1:26" ht="30" customHeight="1" thickTop="1" x14ac:dyDescent="0.25">
      <c r="A16" s="100">
        <v>3</v>
      </c>
      <c r="B16" s="45" t="str">
        <f>uitslag!$C$13</f>
        <v>Team naam 3</v>
      </c>
      <c r="C16" s="46"/>
      <c r="D16" s="45" t="str">
        <f>uitslag!$D$13</f>
        <v>Vereniging 3</v>
      </c>
      <c r="E16" s="25"/>
      <c r="F16" s="71"/>
      <c r="G16" s="75"/>
      <c r="H16" s="76"/>
      <c r="I16" s="111" t="str">
        <f>IF(F16&lt;1,"",IF(F16+G16&gt;F18+G18,"--&gt;&gt;",IF(OR(F16+G16&gt;F12+G12,F16+G16&gt;F14+G14),"  3e","")))</f>
        <v/>
      </c>
      <c r="J16" s="111"/>
      <c r="K16" s="113"/>
      <c r="L16" s="102"/>
      <c r="M16" s="116"/>
      <c r="N16" s="117"/>
      <c r="O16" s="112"/>
      <c r="P16" s="112"/>
      <c r="S16" s="124"/>
      <c r="T16" s="124"/>
      <c r="U16" s="124"/>
      <c r="V16" s="124"/>
      <c r="W16" s="124"/>
      <c r="X16" s="124"/>
      <c r="Y16" s="124"/>
      <c r="Z16" s="124"/>
    </row>
    <row r="17" spans="1:26" ht="27" customHeight="1" x14ac:dyDescent="0.4">
      <c r="A17" s="100"/>
      <c r="B17" s="104"/>
      <c r="C17" s="104"/>
      <c r="D17" s="104"/>
      <c r="E17" s="103"/>
      <c r="F17" s="105"/>
      <c r="G17" s="106"/>
      <c r="H17" s="106"/>
      <c r="K17" s="43" t="str">
        <f>IF(AND(F16&lt;1,F18&lt;1),"",IF(F16+G16&gt;F18+G18,B16,B18))</f>
        <v/>
      </c>
      <c r="L17" s="25"/>
      <c r="M17" s="48"/>
      <c r="N17" s="78"/>
      <c r="O17" s="111" t="str">
        <f>IF(M17&lt;1,"",IF(M17+N17&gt;M13+N13,"--&gt;&gt;",IF(M17+N17&lt;M13+N13,"  2e","")))</f>
        <v/>
      </c>
      <c r="P17" s="112"/>
      <c r="S17" s="125"/>
      <c r="T17" s="126"/>
      <c r="U17" s="127"/>
      <c r="V17" s="128"/>
      <c r="W17" s="129"/>
      <c r="X17" s="117"/>
      <c r="Y17" s="124"/>
      <c r="Z17" s="124"/>
    </row>
    <row r="18" spans="1:26" ht="27" customHeight="1" x14ac:dyDescent="0.25">
      <c r="A18" s="100">
        <v>2</v>
      </c>
      <c r="B18" s="45" t="str">
        <f>uitslag!$C$12</f>
        <v>Team naam 2</v>
      </c>
      <c r="C18" s="46"/>
      <c r="D18" s="45" t="str">
        <f>uitslag!$D$12</f>
        <v>Vereniging 2</v>
      </c>
      <c r="E18" s="25"/>
      <c r="F18" s="71"/>
      <c r="G18" s="75"/>
      <c r="H18" s="76"/>
      <c r="I18" s="111" t="str">
        <f>IF(F18&lt;1,"",IF(F18+G18&gt;F16+G16,"--&gt;&gt;",IF(OR(F18+G18&gt;F12+G12,F18+G18&gt;F14+G14),"  3e","")))</f>
        <v/>
      </c>
      <c r="J18" s="111"/>
      <c r="S18" s="130"/>
      <c r="T18" s="126"/>
      <c r="U18" s="115"/>
      <c r="V18" s="115"/>
      <c r="W18" s="117"/>
      <c r="X18" s="117"/>
      <c r="Y18" s="124"/>
      <c r="Z18" s="124"/>
    </row>
    <row r="19" spans="1:26" x14ac:dyDescent="0.2">
      <c r="S19" s="124"/>
      <c r="T19" s="124"/>
      <c r="U19" s="124"/>
      <c r="V19" s="124"/>
      <c r="W19" s="124"/>
      <c r="X19" s="124"/>
      <c r="Y19" s="124"/>
      <c r="Z19" s="124"/>
    </row>
  </sheetData>
  <mergeCells count="1">
    <mergeCell ref="M4:Q4"/>
  </mergeCells>
  <phoneticPr fontId="24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transitionEvaluation="1" codeName="Blad9">
    <pageSetUpPr fitToPage="1"/>
  </sheetPr>
  <dimension ref="A1:Z27"/>
  <sheetViews>
    <sheetView showGridLines="0" defaultGridColor="0" colorId="22" zoomScale="48" workbookViewId="0">
      <selection activeCell="K49" sqref="K49"/>
    </sheetView>
  </sheetViews>
  <sheetFormatPr defaultColWidth="9.77734375" defaultRowHeight="15" x14ac:dyDescent="0.2"/>
  <cols>
    <col min="1" max="1" width="4" customWidth="1"/>
    <col min="2" max="2" width="35.109375" customWidth="1"/>
    <col min="3" max="3" width="2" customWidth="1"/>
    <col min="4" max="4" width="30.6640625" customWidth="1"/>
    <col min="5" max="5" width="2.77734375" customWidth="1"/>
    <col min="7" max="8" width="5.77734375" customWidth="1"/>
    <col min="9" max="10" width="6.77734375" customWidth="1"/>
    <col min="11" max="11" width="35.109375" customWidth="1"/>
    <col min="12" max="12" width="2.77734375" customWidth="1"/>
    <col min="14" max="14" width="5.77734375" customWidth="1"/>
    <col min="15" max="15" width="7.77734375" customWidth="1"/>
    <col min="16" max="16" width="5.77734375" customWidth="1"/>
    <col min="17" max="18" width="9.33203125" customWidth="1"/>
    <col min="19" max="19" width="31" bestFit="1" customWidth="1"/>
  </cols>
  <sheetData>
    <row r="1" spans="1:26" ht="16.5" customHeight="1" x14ac:dyDescent="0.2"/>
    <row r="2" spans="1:26" ht="19.5" customHeight="1" x14ac:dyDescent="0.2"/>
    <row r="3" spans="1:26" ht="19.5" customHeight="1" x14ac:dyDescent="0.2"/>
    <row r="4" spans="1:26" ht="40.5" customHeight="1" x14ac:dyDescent="0.5">
      <c r="B4" s="98" t="str">
        <f>scores!B1</f>
        <v>Rayon kampioenschappen Indoor Teams   Rayon 3</v>
      </c>
      <c r="C4" s="21"/>
      <c r="D4" s="21"/>
      <c r="E4" s="21"/>
      <c r="F4" s="21"/>
      <c r="G4" s="21"/>
      <c r="H4" s="21"/>
      <c r="I4" s="21"/>
      <c r="J4" s="21"/>
      <c r="K4" s="49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42" t="str">
        <f>IF(scores!D3="","",scores!D3)</f>
        <v>yyyy-mm-dd</v>
      </c>
      <c r="X4" s="21"/>
      <c r="Y4" s="21"/>
      <c r="Z4" s="22"/>
    </row>
    <row r="5" spans="1:26" ht="21" customHeight="1" x14ac:dyDescent="0.2"/>
    <row r="6" spans="1:26" ht="42" customHeight="1" x14ac:dyDescent="0.5">
      <c r="B6" s="96" t="str">
        <f>uitslag!B4</f>
        <v>Klasse: ???</v>
      </c>
    </row>
    <row r="7" spans="1:26" ht="19.5" customHeight="1" x14ac:dyDescent="0.2"/>
    <row r="8" spans="1:26" ht="34.5" customHeight="1" x14ac:dyDescent="0.4">
      <c r="B8" s="23" t="s">
        <v>42</v>
      </c>
      <c r="C8" s="42"/>
      <c r="D8" s="42"/>
      <c r="E8" s="21"/>
      <c r="F8" s="22"/>
      <c r="G8" s="39"/>
      <c r="H8" s="39"/>
      <c r="I8" s="20"/>
      <c r="J8" s="20"/>
      <c r="K8" s="23" t="s">
        <v>6</v>
      </c>
      <c r="L8" s="21"/>
      <c r="M8" s="22"/>
      <c r="N8" s="39"/>
      <c r="S8" s="23" t="s">
        <v>7</v>
      </c>
      <c r="T8" s="21"/>
      <c r="U8" s="22"/>
    </row>
    <row r="10" spans="1:26" ht="30" customHeight="1" x14ac:dyDescent="0.2">
      <c r="B10" s="26"/>
      <c r="C10" s="26"/>
      <c r="D10" s="26"/>
      <c r="E10" s="20"/>
      <c r="F10" s="26"/>
      <c r="G10" s="26"/>
      <c r="H10" s="26"/>
      <c r="I10" s="26"/>
      <c r="J10" s="26"/>
      <c r="K10" s="26"/>
      <c r="L10" s="26"/>
      <c r="M10" s="26"/>
      <c r="N10" s="26"/>
      <c r="O10" s="26"/>
    </row>
    <row r="11" spans="1:26" ht="30" customHeight="1" x14ac:dyDescent="0.2">
      <c r="B11" s="26"/>
      <c r="C11" s="26"/>
      <c r="D11" s="26"/>
      <c r="E11" s="20"/>
      <c r="F11" s="26"/>
      <c r="G11" s="26"/>
      <c r="H11" s="26"/>
      <c r="I11" s="26"/>
      <c r="J11" s="26"/>
      <c r="K11" s="26"/>
      <c r="L11" s="26"/>
      <c r="M11" s="26"/>
      <c r="N11" s="26"/>
      <c r="O11" s="26"/>
    </row>
    <row r="12" spans="1:26" ht="30" customHeight="1" x14ac:dyDescent="0.2">
      <c r="A12" s="1">
        <v>1</v>
      </c>
      <c r="B12" s="45" t="str">
        <f>uitslag!$C$11</f>
        <v>Team naam 1</v>
      </c>
      <c r="C12" s="46"/>
      <c r="D12" s="45" t="str">
        <f>uitslag!$D$11</f>
        <v>Vereniging 1</v>
      </c>
      <c r="E12" s="25"/>
      <c r="F12" s="71"/>
      <c r="G12" s="75"/>
      <c r="H12" s="76"/>
      <c r="I12" s="38" t="str">
        <f>IF(F12&lt;1,"",IF(F12+G12&gt;F14+G14,"--&gt;&gt;",""))</f>
        <v/>
      </c>
      <c r="J12" s="38"/>
      <c r="K12" s="26"/>
      <c r="L12" s="26"/>
      <c r="M12" s="26"/>
      <c r="N12" s="26"/>
      <c r="O12" s="26"/>
    </row>
    <row r="13" spans="1:26" ht="30" customHeight="1" x14ac:dyDescent="0.4">
      <c r="A13" s="1"/>
      <c r="B13" s="27"/>
      <c r="C13" s="27"/>
      <c r="D13" s="27"/>
      <c r="E13" s="20"/>
      <c r="F13" s="72"/>
      <c r="G13" s="77"/>
      <c r="H13" s="77"/>
      <c r="I13" s="18"/>
      <c r="J13" s="18"/>
      <c r="K13" s="43" t="str">
        <f>IF(AND(F12&lt;1,F14&lt;1),"",IF(F12+G12&gt;F14+G14,B12,B14))</f>
        <v/>
      </c>
      <c r="L13" s="25"/>
      <c r="M13" s="48"/>
      <c r="N13" s="78"/>
      <c r="O13" s="38" t="str">
        <f>IF(M13&lt;1,"",IF(M13+N13&gt;M17+N17,"--&gt;&gt;",IF(OR(M13+N13&gt;M21+N21,M13+N13&gt;M25+N25),"  3e","")))</f>
        <v/>
      </c>
      <c r="P13" s="28"/>
    </row>
    <row r="14" spans="1:26" ht="30" customHeight="1" thickBot="1" x14ac:dyDescent="0.3">
      <c r="A14" s="1">
        <v>8</v>
      </c>
      <c r="B14" s="45" t="str">
        <f>uitslag!$C$18</f>
        <v>Team naam 8</v>
      </c>
      <c r="C14" s="46"/>
      <c r="D14" s="45" t="str">
        <f>uitslag!$D$18</f>
        <v>Vereniging 8</v>
      </c>
      <c r="E14" s="25"/>
      <c r="F14" s="71"/>
      <c r="G14" s="75"/>
      <c r="H14" s="76"/>
      <c r="I14" s="38" t="str">
        <f>IF(F14&lt;1,"",IF(F14+G14&gt;F12+G12,"--&gt;&gt;",""))</f>
        <v/>
      </c>
      <c r="J14" s="38"/>
      <c r="K14" s="44"/>
      <c r="L14" s="26"/>
      <c r="M14" s="73"/>
      <c r="N14" s="74"/>
      <c r="O14" s="28"/>
      <c r="P14" s="28"/>
    </row>
    <row r="15" spans="1:26" ht="30" customHeight="1" thickTop="1" thickBot="1" x14ac:dyDescent="0.4">
      <c r="A15" s="1"/>
      <c r="B15" s="47"/>
      <c r="C15" s="47"/>
      <c r="D15" s="47"/>
      <c r="E15" s="20"/>
      <c r="F15" s="72"/>
      <c r="G15" s="77"/>
      <c r="H15" s="77"/>
      <c r="K15" s="19"/>
      <c r="L15" s="26"/>
      <c r="M15" s="32" t="str">
        <f>IF(AND(M13&lt;1,M17&lt;1),"",IF(M13+N13&gt;M17+N17,K13,K17))</f>
        <v/>
      </c>
      <c r="N15" s="41"/>
      <c r="O15" s="30"/>
      <c r="P15" s="30"/>
      <c r="Q15" s="31"/>
      <c r="R15" s="97"/>
    </row>
    <row r="16" spans="1:26" ht="30" customHeight="1" thickTop="1" x14ac:dyDescent="0.25">
      <c r="A16" s="1">
        <v>5</v>
      </c>
      <c r="B16" s="45" t="str">
        <f>uitslag!$C$15</f>
        <v>Team naam 5</v>
      </c>
      <c r="C16" s="46"/>
      <c r="D16" s="45" t="str">
        <f>uitslag!$D$15</f>
        <v>Vereniging 5</v>
      </c>
      <c r="E16" s="25"/>
      <c r="F16" s="71"/>
      <c r="G16" s="75"/>
      <c r="H16" s="76"/>
      <c r="I16" s="38" t="str">
        <f>IF(F16&lt;1,"",IF(F16+G16&gt;F18+G18,"--&gt;&gt;",""))</f>
        <v/>
      </c>
      <c r="J16" s="38"/>
      <c r="K16" s="44"/>
      <c r="L16" s="26"/>
      <c r="M16" s="29"/>
      <c r="N16" s="40"/>
      <c r="O16" s="28"/>
      <c r="P16" s="28"/>
    </row>
    <row r="17" spans="1:25" ht="27" customHeight="1" x14ac:dyDescent="0.4">
      <c r="A17" s="1"/>
      <c r="B17" s="27"/>
      <c r="C17" s="27"/>
      <c r="D17" s="27"/>
      <c r="E17" s="20"/>
      <c r="F17" s="72"/>
      <c r="G17" s="77"/>
      <c r="H17" s="77"/>
      <c r="K17" s="43" t="str">
        <f>IF(AND(F16&lt;1,F18&lt;1),"",IF(F16+G16&gt;F18+G18,B16,B18))</f>
        <v/>
      </c>
      <c r="L17" s="25"/>
      <c r="M17" s="48"/>
      <c r="N17" s="78"/>
      <c r="O17" s="38" t="str">
        <f>IF(M17&lt;1,"",IF(M17+N17&gt;M13+N13,"--&gt;&gt;",IF(OR(M17+N17&gt;M21+N21,M17+N17&gt;M25+N25),"  3e","")))</f>
        <v/>
      </c>
      <c r="P17" s="28"/>
      <c r="S17" s="43" t="str">
        <f>M15</f>
        <v/>
      </c>
      <c r="T17" s="25"/>
      <c r="U17" s="48"/>
      <c r="V17" s="78"/>
      <c r="W17" s="18" t="str">
        <f>IF(U17&lt;1,"",IF(U17+V17&lt;U21+V21,"  2e",""))</f>
        <v/>
      </c>
      <c r="X17" s="28"/>
    </row>
    <row r="18" spans="1:25" ht="27" customHeight="1" thickBot="1" x14ac:dyDescent="0.3">
      <c r="A18" s="1">
        <v>4</v>
      </c>
      <c r="B18" s="45" t="str">
        <f>uitslag!$C$14</f>
        <v>Team naam 4</v>
      </c>
      <c r="C18" s="46"/>
      <c r="D18" s="45" t="str">
        <f>uitslag!$D$14</f>
        <v>Vereniging 4</v>
      </c>
      <c r="E18" s="25"/>
      <c r="F18" s="71"/>
      <c r="G18" s="75"/>
      <c r="H18" s="76"/>
      <c r="I18" s="38" t="str">
        <f>IF(F18&lt;1,"",IF(F18+G18&gt;F16+G16,"--&gt;&gt;",""))</f>
        <v/>
      </c>
      <c r="J18" s="38"/>
      <c r="S18" s="44"/>
      <c r="T18" s="26"/>
      <c r="U18" s="73"/>
      <c r="V18" s="74"/>
      <c r="W18" s="28"/>
      <c r="X18" s="28"/>
    </row>
    <row r="19" spans="1:25" ht="27" customHeight="1" thickTop="1" thickBot="1" x14ac:dyDescent="0.45">
      <c r="B19" s="24"/>
      <c r="C19" s="24"/>
      <c r="D19" s="24"/>
      <c r="S19" s="19"/>
      <c r="T19" s="26"/>
      <c r="U19" s="32" t="str">
        <f>IF(AND(U17&lt;1,U21&lt;1),"",IF(U17+V17&gt;U21+V21,S17,S21))</f>
        <v/>
      </c>
      <c r="V19" s="41"/>
      <c r="W19" s="30"/>
      <c r="X19" s="30"/>
      <c r="Y19" s="31"/>
    </row>
    <row r="20" spans="1:25" ht="30.75" thickTop="1" x14ac:dyDescent="0.25">
      <c r="A20" s="1">
        <v>3</v>
      </c>
      <c r="B20" s="45" t="str">
        <f>uitslag!$C$13</f>
        <v>Team naam 3</v>
      </c>
      <c r="C20" s="46"/>
      <c r="D20" s="45" t="str">
        <f>uitslag!$D$13</f>
        <v>Vereniging 3</v>
      </c>
      <c r="E20" s="25"/>
      <c r="F20" s="71"/>
      <c r="G20" s="75"/>
      <c r="H20" s="76"/>
      <c r="I20" s="38" t="str">
        <f>IF(F20&lt;1,"",IF(F20+G20&gt;F22+G22,"--&gt;&gt;",""))</f>
        <v/>
      </c>
      <c r="J20" s="38"/>
      <c r="K20" s="26"/>
      <c r="L20" s="26"/>
      <c r="M20" s="26"/>
      <c r="N20" s="26"/>
      <c r="O20" s="26"/>
      <c r="S20" s="44"/>
      <c r="T20" s="26"/>
      <c r="U20" s="29"/>
      <c r="V20" s="40"/>
      <c r="W20" s="28"/>
      <c r="X20" s="28"/>
    </row>
    <row r="21" spans="1:25" ht="30" x14ac:dyDescent="0.4">
      <c r="A21" s="1"/>
      <c r="B21" s="27"/>
      <c r="C21" s="27"/>
      <c r="D21" s="27"/>
      <c r="E21" s="20"/>
      <c r="F21" s="72"/>
      <c r="G21" s="77"/>
      <c r="H21" s="77"/>
      <c r="I21" s="18"/>
      <c r="J21" s="18"/>
      <c r="K21" s="43" t="str">
        <f>IF(AND(F20&lt;1,F22&lt;1),"",IF(F20+G20&gt;F22+G22,B20,B22))</f>
        <v/>
      </c>
      <c r="L21" s="25"/>
      <c r="M21" s="48"/>
      <c r="N21" s="78"/>
      <c r="O21" s="38" t="str">
        <f>IF(M21&lt;1,"",IF(M21+N21&gt;M25+N25,"--&gt;&gt;",IF(OR(M21+N21&gt;M17+N17,M21+N21&gt;M13+N13),"  3e","")))</f>
        <v/>
      </c>
      <c r="P21" s="28"/>
      <c r="S21" s="43" t="str">
        <f>M23</f>
        <v/>
      </c>
      <c r="T21" s="25"/>
      <c r="U21" s="48"/>
      <c r="V21" s="78"/>
      <c r="W21" s="18" t="str">
        <f>IF(U21&lt;1,"",IF(U21+V21&lt;U17+V17,"  2e",""))</f>
        <v/>
      </c>
      <c r="X21" s="28"/>
    </row>
    <row r="22" spans="1:25" ht="30.75" thickBot="1" x14ac:dyDescent="0.3">
      <c r="A22" s="1">
        <v>6</v>
      </c>
      <c r="B22" s="45" t="str">
        <f>uitslag!$C$16</f>
        <v>Team naam 6</v>
      </c>
      <c r="C22" s="46"/>
      <c r="D22" s="45" t="str">
        <f>uitslag!$D$16</f>
        <v>Vereniging 6</v>
      </c>
      <c r="E22" s="25"/>
      <c r="F22" s="71"/>
      <c r="G22" s="75"/>
      <c r="H22" s="76"/>
      <c r="I22" s="38" t="str">
        <f>IF(F22&lt;1,"",IF(F22+G22&gt;F20+G20,"--&gt;&gt;",""))</f>
        <v/>
      </c>
      <c r="J22" s="38"/>
      <c r="K22" s="44"/>
      <c r="L22" s="26"/>
      <c r="M22" s="73"/>
      <c r="N22" s="74"/>
      <c r="O22" s="28"/>
      <c r="P22" s="28"/>
    </row>
    <row r="23" spans="1:25" ht="29.25" thickTop="1" thickBot="1" x14ac:dyDescent="0.4">
      <c r="A23" s="1"/>
      <c r="B23" s="47"/>
      <c r="C23" s="47"/>
      <c r="D23" s="47"/>
      <c r="E23" s="20"/>
      <c r="F23" s="72"/>
      <c r="G23" s="77"/>
      <c r="H23" s="77"/>
      <c r="K23" s="19"/>
      <c r="L23" s="26"/>
      <c r="M23" s="32" t="str">
        <f>IF(AND(M21&lt;1,M25&lt;1),"",IF(M21+N21&gt;M25+N25,K21,K25))</f>
        <v/>
      </c>
      <c r="N23" s="41"/>
      <c r="O23" s="30"/>
      <c r="P23" s="30"/>
      <c r="Q23" s="31"/>
      <c r="R23" s="97"/>
    </row>
    <row r="24" spans="1:25" ht="30.75" thickTop="1" x14ac:dyDescent="0.25">
      <c r="A24" s="1">
        <v>7</v>
      </c>
      <c r="B24" s="45" t="str">
        <f>uitslag!$C$17</f>
        <v>Team naam 7</v>
      </c>
      <c r="C24" s="46"/>
      <c r="D24" s="45" t="str">
        <f>uitslag!$D$17</f>
        <v>Vereniging 7</v>
      </c>
      <c r="E24" s="25"/>
      <c r="F24" s="71"/>
      <c r="G24" s="75"/>
      <c r="H24" s="76"/>
      <c r="I24" s="38" t="str">
        <f>IF(F24&lt;1,"",IF(F24+G24&gt;F26+G26,"--&gt;&gt;",""))</f>
        <v/>
      </c>
      <c r="J24" s="38"/>
      <c r="K24" s="44"/>
      <c r="L24" s="26"/>
      <c r="M24" s="29"/>
      <c r="N24" s="40"/>
      <c r="O24" s="28"/>
      <c r="P24" s="28"/>
    </row>
    <row r="25" spans="1:25" ht="30" x14ac:dyDescent="0.4">
      <c r="A25" s="1"/>
      <c r="B25" s="27"/>
      <c r="C25" s="27"/>
      <c r="D25" s="27"/>
      <c r="E25" s="20"/>
      <c r="F25" s="72"/>
      <c r="G25" s="77"/>
      <c r="H25" s="77"/>
      <c r="K25" s="43" t="str">
        <f>IF(AND(F24&lt;1,F26&lt;1),"",IF(F24+G24&gt;F26+G26,B24,B26))</f>
        <v/>
      </c>
      <c r="L25" s="25"/>
      <c r="M25" s="48"/>
      <c r="N25" s="78"/>
      <c r="O25" s="38" t="str">
        <f>IF(M25&lt;1,"",IF(M25+N25&gt;M21+N21,"--&gt;&gt;",IF(OR(M25+N25&gt;M17+N17,M25+N25&gt;M13+N13),"  3e","")))</f>
        <v/>
      </c>
      <c r="P25" s="28"/>
    </row>
    <row r="26" spans="1:25" ht="30" x14ac:dyDescent="0.2">
      <c r="A26" s="1">
        <v>2</v>
      </c>
      <c r="B26" s="45" t="str">
        <f>uitslag!$C$12</f>
        <v>Team naam 2</v>
      </c>
      <c r="C26" s="46"/>
      <c r="D26" s="45" t="str">
        <f>uitslag!$D$12</f>
        <v>Vereniging 2</v>
      </c>
      <c r="E26" s="25"/>
      <c r="F26" s="71"/>
      <c r="G26" s="75"/>
      <c r="H26" s="76"/>
      <c r="I26" s="38" t="str">
        <f>IF(F26&lt;1,"",IF(F26+G26&gt;F24+G24,"--&gt;&gt;",""))</f>
        <v/>
      </c>
      <c r="J26" s="38"/>
      <c r="K26" s="26"/>
      <c r="L26" s="26"/>
      <c r="M26" s="26"/>
      <c r="N26" s="26"/>
      <c r="O26" s="26"/>
    </row>
    <row r="27" spans="1:25" x14ac:dyDescent="0.2">
      <c r="B27" s="26"/>
      <c r="C27" s="26"/>
      <c r="D27" s="26"/>
      <c r="E27" s="20"/>
      <c r="F27" s="26"/>
      <c r="G27" s="26"/>
      <c r="H27" s="26"/>
      <c r="I27" s="26"/>
      <c r="J27" s="26"/>
      <c r="K27" s="26"/>
      <c r="L27" s="26"/>
      <c r="M27" s="26"/>
      <c r="N27" s="26"/>
      <c r="O27" s="26"/>
    </row>
  </sheetData>
  <phoneticPr fontId="0" type="noConversion"/>
  <pageMargins left="0.39370078740157483" right="0.39370078740157483" top="0.39370078740157483" bottom="0.39370078740157483" header="0.51181102362204722" footer="0.51181102362204722"/>
  <pageSetup paperSize="9" scale="38" orientation="landscape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5">
    <tabColor indexed="63"/>
  </sheetPr>
  <dimension ref="A1"/>
  <sheetViews>
    <sheetView workbookViewId="0">
      <selection activeCell="C38" sqref="C38"/>
    </sheetView>
  </sheetViews>
  <sheetFormatPr defaultRowHeight="15" x14ac:dyDescent="0.2"/>
  <sheetData>
    <row r="1" spans="1:1" x14ac:dyDescent="0.2">
      <c r="A1" t="s">
        <v>43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HELP</vt:lpstr>
      <vt:lpstr>scores</vt:lpstr>
      <vt:lpstr>uitslag</vt:lpstr>
      <vt:lpstr>FINALE</vt:lpstr>
      <vt:lpstr>FINALE incl kwart</vt:lpstr>
      <vt:lpstr>wachtwoord</vt:lpstr>
      <vt:lpstr>'FINALE incl kwart'!Print_Area</vt:lpstr>
      <vt:lpstr>scores!Print_Area</vt:lpstr>
      <vt:lpstr>uitslag!Print_Area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Willy Brouns</dc:creator>
  <cp:lastModifiedBy>Ramon</cp:lastModifiedBy>
  <cp:lastPrinted>2013-03-03T13:15:07Z</cp:lastPrinted>
  <dcterms:created xsi:type="dcterms:W3CDTF">1998-02-10T19:58:49Z</dcterms:created>
  <dcterms:modified xsi:type="dcterms:W3CDTF">2021-12-12T17:09:51Z</dcterms:modified>
</cp:coreProperties>
</file>