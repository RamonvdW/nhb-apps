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"/>
    </mc:Choice>
  </mc:AlternateContent>
  <xr:revisionPtr revIDLastSave="0" documentId="13_ncr:1_{D338091E-AC95-4882-B089-D41F30EF2E7E}" xr6:coauthVersionLast="47" xr6:coauthVersionMax="47" xr10:uidLastSave="{00000000-0000-0000-0000-000000000000}"/>
  <bookViews>
    <workbookView xWindow="1980" yWindow="1230" windowWidth="25815" windowHeight="13065" tabRatio="546" xr2:uid="{00000000-000D-0000-FFFF-FFFF00000000}"/>
  </bookViews>
  <sheets>
    <sheet name="Uitleg" sheetId="16" r:id="rId1"/>
    <sheet name="Toegestane deelnemers" sheetId="18" r:id="rId2"/>
    <sheet name="Deelnemers en Scores" sheetId="12" r:id="rId3"/>
    <sheet name="Uitslag" sheetId="3" r:id="rId4"/>
    <sheet name="Finales 8 teams" sheetId="19" r:id="rId5"/>
    <sheet name="Finales 4 teams" sheetId="15" r:id="rId6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5">'Finales 4 teams'!$A$1:$R$34</definedName>
    <definedName name="_xlnm.Print_Area" localSheetId="4">'Finales 8 teams'!$A$1:$V$34</definedName>
    <definedName name="_xlnm.Print_Area" localSheetId="3">Uitslag!$A$2:$V$22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6" i="19" l="1"/>
  <c r="W25" i="19"/>
  <c r="Z24" i="19"/>
  <c r="Z22" i="19"/>
  <c r="W21" i="19"/>
  <c r="Z20" i="19"/>
  <c r="Z18" i="19"/>
  <c r="W17" i="19"/>
  <c r="Z16" i="19"/>
  <c r="Z14" i="19"/>
  <c r="W13" i="19"/>
  <c r="Z12" i="19"/>
  <c r="D22" i="19"/>
  <c r="D12" i="19"/>
  <c r="B4" i="19"/>
  <c r="AK32" i="19"/>
  <c r="AI32" i="19"/>
  <c r="AI31" i="19"/>
  <c r="AJ31" i="19" s="1"/>
  <c r="U31" i="19" s="1"/>
  <c r="AK30" i="19"/>
  <c r="AF24" i="19"/>
  <c r="AC23" i="19"/>
  <c r="AE23" i="19" s="1"/>
  <c r="AF22" i="19"/>
  <c r="AK17" i="19"/>
  <c r="AI17" i="19"/>
  <c r="AI16" i="19"/>
  <c r="AJ16" i="19" s="1"/>
  <c r="U19" i="19" s="1"/>
  <c r="AK15" i="19"/>
  <c r="AF16" i="19"/>
  <c r="AC15" i="19"/>
  <c r="AF14" i="19"/>
  <c r="K6" i="19"/>
  <c r="B6" i="19"/>
  <c r="AA32" i="15"/>
  <c r="Y32" i="15"/>
  <c r="Y31" i="15"/>
  <c r="Z31" i="15" s="1"/>
  <c r="AA30" i="15"/>
  <c r="D3" i="18"/>
  <c r="B1" i="18"/>
  <c r="M6" i="15"/>
  <c r="P4" i="3"/>
  <c r="B4" i="18"/>
  <c r="S19" i="15"/>
  <c r="T19" i="15" s="1"/>
  <c r="S13" i="15"/>
  <c r="T13" i="15" s="1"/>
  <c r="H13" i="15" s="1"/>
  <c r="Y16" i="15"/>
  <c r="Z16" i="15" s="1"/>
  <c r="AB16" i="15" s="1"/>
  <c r="Y17" i="15"/>
  <c r="AA17" i="15"/>
  <c r="AA15" i="15"/>
  <c r="V20" i="15"/>
  <c r="V18" i="15"/>
  <c r="V14" i="15"/>
  <c r="V12" i="15"/>
  <c r="B6" i="15"/>
  <c r="D22" i="3"/>
  <c r="D20" i="3"/>
  <c r="D19" i="3"/>
  <c r="D18" i="3"/>
  <c r="D14" i="19" s="1"/>
  <c r="D17" i="3"/>
  <c r="D24" i="19" s="1"/>
  <c r="D16" i="3"/>
  <c r="D21" i="3"/>
  <c r="D15" i="3"/>
  <c r="D16" i="19" s="1"/>
  <c r="D14" i="3"/>
  <c r="D18" i="19" s="1"/>
  <c r="D13" i="3"/>
  <c r="D20" i="19" s="1"/>
  <c r="D12" i="3"/>
  <c r="D26" i="19" s="1"/>
  <c r="D11" i="3"/>
  <c r="J10" i="12"/>
  <c r="J11" i="12"/>
  <c r="J12" i="12"/>
  <c r="J13" i="12"/>
  <c r="C13" i="3"/>
  <c r="B20" i="19" s="1"/>
  <c r="C20" i="3"/>
  <c r="C14" i="3"/>
  <c r="B18" i="19" s="1"/>
  <c r="C19" i="3"/>
  <c r="C22" i="3"/>
  <c r="C12" i="3"/>
  <c r="B26" i="19" s="1"/>
  <c r="C11" i="3"/>
  <c r="B12" i="19" s="1"/>
  <c r="C21" i="3"/>
  <c r="B4" i="3"/>
  <c r="B4" i="15"/>
  <c r="B22" i="3"/>
  <c r="J79" i="12"/>
  <c r="J78" i="12"/>
  <c r="J77" i="12"/>
  <c r="J76" i="12"/>
  <c r="J73" i="12"/>
  <c r="J72" i="12"/>
  <c r="J71" i="12"/>
  <c r="J70" i="12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J21" i="3"/>
  <c r="J20" i="3"/>
  <c r="J19" i="3"/>
  <c r="O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B16" i="19" s="1"/>
  <c r="C18" i="3"/>
  <c r="B14" i="19" s="1"/>
  <c r="E14" i="3"/>
  <c r="F14" i="3"/>
  <c r="G14" i="3"/>
  <c r="H14" i="3"/>
  <c r="J14" i="3"/>
  <c r="K14" i="3"/>
  <c r="P14" i="3" s="1"/>
  <c r="L14" i="3"/>
  <c r="Q14" i="3" s="1"/>
  <c r="M14" i="3"/>
  <c r="B15" i="3"/>
  <c r="E15" i="3"/>
  <c r="F15" i="3"/>
  <c r="G15" i="3"/>
  <c r="H15" i="3"/>
  <c r="J15" i="3"/>
  <c r="O15" i="3" s="1"/>
  <c r="K15" i="3"/>
  <c r="P15" i="3" s="1"/>
  <c r="L15" i="3"/>
  <c r="Q15" i="3" s="1"/>
  <c r="M15" i="3"/>
  <c r="R15" i="3" s="1"/>
  <c r="B16" i="3"/>
  <c r="C16" i="3"/>
  <c r="B22" i="19" s="1"/>
  <c r="C17" i="3"/>
  <c r="B24" i="19" s="1"/>
  <c r="E16" i="3"/>
  <c r="F16" i="3"/>
  <c r="G16" i="3"/>
  <c r="H16" i="3"/>
  <c r="J16" i="3"/>
  <c r="O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AE15" i="19" l="1"/>
  <c r="AG14" i="19" s="1"/>
  <c r="X25" i="19"/>
  <c r="H25" i="19" s="1"/>
  <c r="X21" i="19"/>
  <c r="H21" i="19" s="1"/>
  <c r="X17" i="19"/>
  <c r="H17" i="19" s="1"/>
  <c r="X13" i="19"/>
  <c r="H13" i="19" s="1"/>
  <c r="AM17" i="19"/>
  <c r="AM30" i="19"/>
  <c r="AL31" i="19"/>
  <c r="V32" i="19" s="1"/>
  <c r="AM32" i="19"/>
  <c r="AG24" i="19"/>
  <c r="AG22" i="19"/>
  <c r="AL16" i="19"/>
  <c r="AD15" i="19"/>
  <c r="N15" i="19" s="1"/>
  <c r="AM15" i="19"/>
  <c r="AD23" i="19"/>
  <c r="N23" i="19" s="1"/>
  <c r="AC30" i="15"/>
  <c r="AC32" i="15"/>
  <c r="AB31" i="15"/>
  <c r="Q31" i="15"/>
  <c r="Q16" i="15"/>
  <c r="U13" i="15"/>
  <c r="U19" i="15"/>
  <c r="AC17" i="15"/>
  <c r="R17" i="15" s="1"/>
  <c r="AC15" i="15"/>
  <c r="R15" i="15" s="1"/>
  <c r="D12" i="15"/>
  <c r="D20" i="15"/>
  <c r="O20" i="3"/>
  <c r="Q20" i="3"/>
  <c r="B18" i="15"/>
  <c r="P20" i="3"/>
  <c r="R20" i="3"/>
  <c r="B20" i="15"/>
  <c r="P21" i="3"/>
  <c r="R21" i="3"/>
  <c r="Q21" i="3"/>
  <c r="O21" i="3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K75" i="12"/>
  <c r="K21" i="12"/>
  <c r="K69" i="12"/>
  <c r="S22" i="3"/>
  <c r="V22" i="3" s="1"/>
  <c r="K63" i="12"/>
  <c r="K45" i="12"/>
  <c r="K57" i="12"/>
  <c r="K51" i="12"/>
  <c r="K39" i="12"/>
  <c r="K27" i="12"/>
  <c r="K15" i="12"/>
  <c r="K33" i="12"/>
  <c r="B14" i="15"/>
  <c r="B12" i="15"/>
  <c r="K9" i="12"/>
  <c r="D14" i="15"/>
  <c r="D18" i="15"/>
  <c r="AG16" i="19" l="1"/>
  <c r="Q18" i="19" s="1"/>
  <c r="Y25" i="19"/>
  <c r="Y21" i="19"/>
  <c r="Y17" i="19"/>
  <c r="Y13" i="19"/>
  <c r="V30" i="19"/>
  <c r="V20" i="19"/>
  <c r="V18" i="19"/>
  <c r="Q32" i="19"/>
  <c r="Q20" i="19"/>
  <c r="R30" i="15"/>
  <c r="R32" i="15"/>
  <c r="W14" i="15"/>
  <c r="W12" i="15"/>
  <c r="W20" i="15"/>
  <c r="W18" i="15"/>
  <c r="H19" i="15"/>
  <c r="S20" i="3"/>
  <c r="V20" i="3" s="1"/>
  <c r="S16" i="3"/>
  <c r="V16" i="3" s="1"/>
  <c r="S21" i="3"/>
  <c r="V21" i="3" s="1"/>
  <c r="S17" i="3"/>
  <c r="V17" i="3" s="1"/>
  <c r="S15" i="3"/>
  <c r="V15" i="3" s="1"/>
  <c r="S14" i="3"/>
  <c r="V14" i="3" s="1"/>
  <c r="S13" i="3"/>
  <c r="V13" i="3" s="1"/>
  <c r="S12" i="3"/>
  <c r="V12" i="3" s="1"/>
  <c r="S18" i="3"/>
  <c r="V18" i="3" s="1"/>
  <c r="S19" i="3"/>
  <c r="V19" i="3" s="1"/>
  <c r="S11" i="3"/>
  <c r="V11" i="3" s="1"/>
  <c r="Q30" i="19" l="1"/>
  <c r="AA24" i="19"/>
  <c r="AA26" i="19"/>
  <c r="AA22" i="19"/>
  <c r="AA20" i="19"/>
  <c r="AA18" i="19"/>
  <c r="AA16" i="19"/>
  <c r="J16" i="19" s="1"/>
  <c r="AA14" i="19"/>
  <c r="AA12" i="19"/>
  <c r="J14" i="19" s="1"/>
  <c r="K18" i="15"/>
  <c r="M32" i="15"/>
  <c r="M30" i="15"/>
  <c r="K12" i="15"/>
  <c r="M15" i="15"/>
  <c r="M17" i="15"/>
  <c r="J22" i="19" l="1"/>
  <c r="J24" i="19"/>
</calcChain>
</file>

<file path=xl/sharedStrings.xml><?xml version="1.0" encoding="utf-8"?>
<sst xmlns="http://schemas.openxmlformats.org/spreadsheetml/2006/main" count="235" uniqueCount="129">
  <si>
    <t>Baan</t>
  </si>
  <si>
    <t>TOTAAL</t>
  </si>
  <si>
    <t>HALVE FINALE</t>
  </si>
  <si>
    <t>FINALE</t>
  </si>
  <si>
    <t>shoot-</t>
  </si>
  <si>
    <t>Totaal incl.</t>
  </si>
  <si>
    <t>off</t>
  </si>
  <si>
    <t>shoot-off</t>
  </si>
  <si>
    <t>Totaal</t>
  </si>
  <si>
    <t>team</t>
  </si>
  <si>
    <t>Datum:</t>
  </si>
  <si>
    <t>Opmerking: Indien er moet worden gemeten hier toch een puntenverschil invullen.</t>
  </si>
  <si>
    <t>Rayon kampioenschappen Indoor Teams   Rayon 3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</si>
  <si>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</si>
  <si>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</si>
  <si>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</si>
  <si>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</si>
  <si>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</si>
  <si>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</si>
  <si>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</si>
  <si>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</si>
  <si>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</si>
  <si>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</si>
  <si>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</si>
  <si>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</si>
  <si>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</si>
  <si>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</si>
  <si>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</si>
  <si>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</si>
  <si>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</si>
  <si>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</si>
  <si>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</si>
  <si>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</si>
  <si>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</si>
  <si>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</si>
  <si>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</si>
  <si>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</si>
  <si>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</si>
  <si>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</si>
  <si>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</si>
  <si>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</si>
  <si>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</si>
  <si>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</si>
  <si>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</si>
  <si>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</si>
  <si>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</si>
  <si>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</si>
  <si>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</si>
  <si>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</si>
  <si>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</si>
  <si>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</si>
  <si>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</si>
  <si>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</si>
  <si>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</si>
  <si>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</si>
  <si>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</si>
  <si>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</si>
  <si>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</si>
  <si>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</si>
  <si>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</si>
  <si>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</si>
  <si>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</si>
  <si>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</si>
  <si>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Je hebt dit blad vooringevuld gekregen vanuit MijnHandboogsport met de laatste stand van zaken op moment van download.</t>
  </si>
  <si>
    <t>Deelnemers en Scores</t>
  </si>
  <si>
    <t>Uitslag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</si>
  <si>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</si>
  <si>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</si>
  <si>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</si>
  <si>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</si>
  <si>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</si>
  <si>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</si>
  <si>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</si>
  <si>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</si>
  <si>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</si>
  <si>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t>Instinctive Bow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</si>
  <si>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</si>
  <si>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</si>
  <si>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De scores van de voorrondes moeten ingevuld worden in kolommen H en I.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</si>
  <si>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</si>
  <si>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</si>
  <si>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</si>
  <si>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</si>
  <si>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</si>
  <si>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De teams worden automatisch overgenomen op dit blad.</t>
  </si>
  <si>
    <t>Score</t>
  </si>
  <si>
    <t>Shoot-off</t>
  </si>
  <si>
    <t>Score+SO1</t>
  </si>
  <si>
    <t>Naar finale</t>
  </si>
  <si>
    <t>SO1 nodig</t>
  </si>
  <si>
    <t>so nodig</t>
  </si>
  <si>
    <t>Score + SO</t>
  </si>
  <si>
    <t>ingevuld 1</t>
  </si>
  <si>
    <t>Ingevuld 2</t>
  </si>
  <si>
    <t>Ingevuld 1</t>
  </si>
  <si>
    <r>
      <t xml:space="preserve">Zorg dat het blad </t>
    </r>
    <r>
      <rPr>
        <b/>
        <sz val="12"/>
        <rFont val="Arial"/>
        <family val="2"/>
      </rPr>
      <t>Uitslag</t>
    </r>
    <r>
      <rPr>
        <sz val="12"/>
        <rFont val="Arial"/>
        <family val="2"/>
      </rPr>
      <t xml:space="preserve"> gesorteerd is op score zodat de beste teams bovenaan staan (gebruik de knop!)</t>
    </r>
  </si>
  <si>
    <t>Indien nodig zal het blad aangeven dat een shoot-off nodig (de grijze kleur verdwijnt).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</si>
  <si>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</si>
  <si>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</si>
  <si>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</si>
  <si>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handmatig vragen om te sorteren, want dan gaat transport tussen de bladen kapot.</t>
    </r>
  </si>
  <si>
    <t>KLEINE FINALE</t>
  </si>
  <si>
    <t>Instructies voor juist gebruik van dit RK programma</t>
  </si>
  <si>
    <r>
      <t>Toegestane deelnemers</t>
    </r>
    <r>
      <rPr>
        <sz val="12"/>
        <rFont val="Arial"/>
        <family val="2"/>
      </rPr>
      <t>: alle RK-gerechtigde deelnemers met hun gemiddelde kunnen hier gevonden worden</t>
    </r>
  </si>
  <si>
    <t>Toegestane deelnemers</t>
  </si>
  <si>
    <t>Dit blad bevat alle RK-gerechtigde deelnemers met hun gemiddelde + boogtype</t>
  </si>
  <si>
    <t>Toegestane invallers mogen geen hoger gemiddelde hebben dan de uitvaller.</t>
  </si>
  <si>
    <t>Op dit blad kan je invallers vinden, maar ook de al geselecteerde sporters.</t>
  </si>
  <si>
    <r>
      <t xml:space="preserve">Invallers moeten handmatig doorgevoerd worden op dit blad in kolom E, F en G. Kopieer van </t>
    </r>
    <r>
      <rPr>
        <b/>
        <sz val="12"/>
        <rFont val="Arial"/>
        <family val="2"/>
      </rPr>
      <t>Toegestane deelnemers</t>
    </r>
    <r>
      <rPr>
        <sz val="12"/>
        <rFont val="Arial"/>
        <family val="2"/>
      </rPr>
      <t>.</t>
    </r>
  </si>
  <si>
    <t>De baannummers mag je wijzigen.</t>
  </si>
  <si>
    <t>Winnaar?</t>
  </si>
  <si>
    <t>KWARTFINALE</t>
  </si>
  <si>
    <t>Halve finale</t>
  </si>
  <si>
    <t>Finale</t>
  </si>
  <si>
    <t>Kwartfinale</t>
  </si>
  <si>
    <t>SO nodig</t>
  </si>
  <si>
    <t>Ingevuld</t>
  </si>
  <si>
    <t>SO ingevuld</t>
  </si>
  <si>
    <t>Score+SO</t>
  </si>
  <si>
    <t>Naar halve finale</t>
  </si>
  <si>
    <r>
      <rPr>
        <b/>
        <sz val="12"/>
        <rFont val="Arial"/>
        <family val="2"/>
      </rPr>
      <t>Finales 8 teams</t>
    </r>
    <r>
      <rPr>
        <sz val="12"/>
        <rFont val="Arial"/>
        <family val="2"/>
      </rPr>
      <t>: voor de finales met 8 teams (neemt informatie automatisch over van de andere bladen)</t>
    </r>
  </si>
  <si>
    <r>
      <rPr>
        <b/>
        <sz val="12"/>
        <rFont val="Arial"/>
        <family val="2"/>
      </rPr>
      <t>Finales 4 teams</t>
    </r>
    <r>
      <rPr>
        <sz val="12"/>
        <rFont val="Arial"/>
        <family val="2"/>
      </rPr>
      <t>: voor de finales met 4 teams (neemt informatie automatisch over van de andere bladen)</t>
    </r>
  </si>
  <si>
    <t>Finales met 8/4 teams</t>
  </si>
  <si>
    <t>Bij 4 teams of minder, gebruik het blad Finales met 4 teams, anders Finales met 8 teams.</t>
  </si>
  <si>
    <t>Vul de scores in.</t>
  </si>
  <si>
    <t>De juiste team namen worden doorgezet naar de volgende ronde.</t>
  </si>
  <si>
    <t>Vul de scores van de finale.</t>
  </si>
  <si>
    <t>Vul de resultaten van de shoot-off in.</t>
  </si>
  <si>
    <t>Dit werkboek bestaat uit 6 bladen: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</si>
</sst>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2" x14ac:knownFonts="1">
    <font>
      <sz val="12"/>
      <name val="Arial"/>
    </font>
    <font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b/>
      <sz val="22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2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20"/>
      <color indexed="12"/>
      <name val="Arial"/>
      <family val="2"/>
    </font>
    <font>
      <sz val="20"/>
      <name val="Arial"/>
      <family val="2"/>
    </font>
    <font>
      <sz val="8"/>
      <name val="Arial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sz val="24"/>
      <name val="Arial"/>
      <family val="2"/>
    </font>
  </fonts>
  <fills count="10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indexed="8"/>
      </patternFill>
    </fill>
  </fills>
  <borders count="3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81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0" xfId="0" applyProtection="1"/>
    <xf numFmtId="0" fontId="2" fillId="0" borderId="0" xfId="0" applyFont="1" applyProtection="1"/>
    <xf numFmtId="0" fontId="5" fillId="0" borderId="0" xfId="0" applyFont="1" applyAlignment="1" applyProtection="1">
      <alignment horizontal="center" vertical="center"/>
    </xf>
    <xf numFmtId="0" fontId="6" fillId="0" borderId="0" xfId="0" applyFont="1"/>
    <xf numFmtId="0" fontId="5" fillId="0" borderId="17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horizontal="left" vertical="center"/>
    </xf>
    <xf numFmtId="0" fontId="11" fillId="0" borderId="0" xfId="0" applyFont="1" applyAlignment="1" applyProtection="1">
      <alignment horizontal="left" vertical="center"/>
    </xf>
    <xf numFmtId="0" fontId="1" fillId="0" borderId="0" xfId="1"/>
    <xf numFmtId="0" fontId="1" fillId="0" borderId="0" xfId="1" applyAlignment="1">
      <alignment horizontal="center"/>
    </xf>
    <xf numFmtId="0" fontId="14" fillId="0" borderId="0" xfId="1" applyFont="1" applyAlignment="1">
      <alignment horizontal="center"/>
    </xf>
    <xf numFmtId="0" fontId="1" fillId="0" borderId="0" xfId="1" applyAlignment="1"/>
    <xf numFmtId="1" fontId="15" fillId="0" borderId="0" xfId="0" applyNumberFormat="1" applyFont="1" applyBorder="1" applyAlignment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6" fillId="0" borderId="17" xfId="0" applyFont="1" applyBorder="1" applyAlignment="1" applyProtection="1">
      <alignment horizontal="left" vertical="center"/>
    </xf>
    <xf numFmtId="0" fontId="6" fillId="0" borderId="23" xfId="0" applyFont="1" applyBorder="1" applyAlignment="1" applyProtection="1">
      <alignment horizontal="left" vertical="center"/>
    </xf>
    <xf numFmtId="1" fontId="9" fillId="2" borderId="24" xfId="0" applyNumberFormat="1" applyFont="1" applyFill="1" applyBorder="1" applyAlignment="1" applyProtection="1">
      <alignment horizontal="center" vertical="center"/>
    </xf>
    <xf numFmtId="1" fontId="9" fillId="0" borderId="26" xfId="0" applyNumberFormat="1" applyFont="1" applyBorder="1" applyAlignment="1" applyProtection="1">
      <alignment horizontal="center" vertical="center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4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" fillId="0" borderId="0" xfId="1" applyFont="1" applyAlignment="1" applyProtection="1">
      <alignment horizontal="center"/>
      <protection locked="0"/>
    </xf>
    <xf numFmtId="0" fontId="14" fillId="0" borderId="0" xfId="1" applyFont="1" applyAlignme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2" fillId="3" borderId="0" xfId="0" applyFont="1" applyFill="1"/>
    <xf numFmtId="0" fontId="0" fillId="3" borderId="0" xfId="0" applyFill="1" applyAlignment="1" applyProtection="1">
      <alignment horizontal="left" vertical="center"/>
    </xf>
    <xf numFmtId="0" fontId="0" fillId="3" borderId="0" xfId="0" applyFill="1" applyProtection="1"/>
    <xf numFmtId="0" fontId="5" fillId="3" borderId="0" xfId="0" applyFont="1" applyFill="1" applyAlignment="1" applyProtection="1">
      <alignment horizontal="center" vertical="center"/>
    </xf>
    <xf numFmtId="0" fontId="13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/>
    <xf numFmtId="0" fontId="11" fillId="3" borderId="0" xfId="0" applyFont="1" applyFill="1" applyAlignment="1" applyProtection="1">
      <alignment horizontal="left" vertical="center"/>
    </xf>
    <xf numFmtId="0" fontId="2" fillId="3" borderId="0" xfId="0" applyFont="1" applyFill="1" applyAlignment="1" applyProtection="1">
      <alignment horizontal="left" vertical="center"/>
    </xf>
    <xf numFmtId="0" fontId="3" fillId="3" borderId="0" xfId="0" applyFont="1" applyFill="1" applyProtection="1"/>
    <xf numFmtId="0" fontId="11" fillId="3" borderId="0" xfId="0" applyFont="1" applyFill="1" applyAlignment="1">
      <alignment horizontal="left" vertical="center"/>
    </xf>
    <xf numFmtId="0" fontId="0" fillId="3" borderId="0" xfId="0" applyFill="1" applyBorder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Alignme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4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4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4" fillId="0" borderId="0" xfId="1" applyNumberFormat="1" applyFont="1" applyAlignment="1" applyProtection="1">
      <alignment horizontal="right"/>
      <protection locked="0"/>
    </xf>
    <xf numFmtId="0" fontId="21" fillId="0" borderId="0" xfId="1" applyFont="1" applyAlignment="1">
      <alignment horizontal="left"/>
    </xf>
    <xf numFmtId="0" fontId="22" fillId="0" borderId="0" xfId="0" applyFont="1"/>
    <xf numFmtId="0" fontId="23" fillId="0" borderId="0" xfId="0" applyFont="1"/>
    <xf numFmtId="164" fontId="14" fillId="0" borderId="18" xfId="1" applyNumberFormat="1" applyFont="1" applyBorder="1" applyAlignment="1">
      <alignment horizontal="right" vertical="center"/>
    </xf>
    <xf numFmtId="164" fontId="14" fillId="0" borderId="21" xfId="1" applyNumberFormat="1" applyFont="1" applyBorder="1" applyAlignment="1">
      <alignment horizontal="left" vertical="center"/>
    </xf>
    <xf numFmtId="0" fontId="14" fillId="0" borderId="28" xfId="1" applyFont="1" applyBorder="1" applyAlignment="1">
      <alignment horizontal="center" vertical="center"/>
    </xf>
    <xf numFmtId="0" fontId="14" fillId="0" borderId="18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21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4" borderId="21" xfId="1" applyFont="1" applyFill="1" applyBorder="1" applyAlignment="1">
      <alignment horizontal="center"/>
    </xf>
    <xf numFmtId="0" fontId="14" fillId="0" borderId="18" xfId="1" applyFont="1" applyBorder="1" applyAlignment="1">
      <alignment horizontal="left" vertical="center"/>
    </xf>
    <xf numFmtId="0" fontId="14" fillId="0" borderId="21" xfId="1" applyFont="1" applyBorder="1" applyAlignment="1">
      <alignment horizontal="left" vertical="center"/>
    </xf>
    <xf numFmtId="0" fontId="21" fillId="0" borderId="0" xfId="1" applyFont="1" applyAlignment="1" applyProtection="1">
      <alignment horizontal="left"/>
      <protection locked="0"/>
    </xf>
    <xf numFmtId="0" fontId="21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 applyProtection="1">
      <alignment horizontal="center" vertical="center"/>
    </xf>
    <xf numFmtId="1" fontId="7" fillId="0" borderId="25" xfId="0" applyNumberFormat="1" applyFont="1" applyBorder="1" applyAlignment="1" applyProtection="1">
      <alignment horizontal="center" vertical="center"/>
    </xf>
    <xf numFmtId="1" fontId="7" fillId="0" borderId="17" xfId="0" applyNumberFormat="1" applyFont="1" applyBorder="1" applyAlignment="1" applyProtection="1">
      <alignment horizontal="center" vertical="center"/>
    </xf>
    <xf numFmtId="1" fontId="7" fillId="0" borderId="23" xfId="0" applyNumberFormat="1" applyFont="1" applyBorder="1" applyAlignment="1" applyProtection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26" fillId="0" borderId="11" xfId="0" applyFont="1" applyBorder="1" applyAlignment="1">
      <alignment horizontal="center" vertical="center"/>
    </xf>
    <xf numFmtId="0" fontId="6" fillId="3" borderId="0" xfId="0" applyFont="1" applyFill="1" applyAlignment="1" applyProtection="1">
      <alignment horizontal="left" vertical="center"/>
    </xf>
    <xf numFmtId="0" fontId="16" fillId="0" borderId="0" xfId="0" applyFont="1" applyBorder="1" applyAlignment="1" applyProtection="1">
      <alignment horizontal="center" vertical="center"/>
      <protection locked="0"/>
    </xf>
    <xf numFmtId="0" fontId="17" fillId="0" borderId="27" xfId="0" applyFont="1" applyBorder="1" applyAlignment="1" applyProtection="1">
      <alignment horizontal="center" vertical="center"/>
      <protection locked="0"/>
    </xf>
    <xf numFmtId="0" fontId="6" fillId="3" borderId="0" xfId="0" applyFont="1" applyFill="1"/>
    <xf numFmtId="0" fontId="6" fillId="3" borderId="0" xfId="0" applyFont="1" applyFill="1" applyBorder="1" applyProtection="1"/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0" fillId="5" borderId="0" xfId="0" applyFill="1"/>
    <xf numFmtId="0" fontId="8" fillId="5" borderId="0" xfId="0" applyFont="1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0" fontId="0" fillId="0" borderId="0" xfId="0" applyFill="1" applyAlignment="1" applyProtection="1">
      <alignment horizontal="left" vertical="center"/>
    </xf>
    <xf numFmtId="49" fontId="22" fillId="0" borderId="0" xfId="1" applyNumberFormat="1" applyFont="1" applyAlignment="1" applyProtection="1">
      <alignment horizontal="left" vertical="center"/>
      <protection locked="0"/>
    </xf>
    <xf numFmtId="0" fontId="14" fillId="5" borderId="18" xfId="1" applyFont="1" applyFill="1" applyBorder="1" applyAlignment="1">
      <alignment horizontal="center" vertical="center"/>
    </xf>
    <xf numFmtId="0" fontId="14" fillId="5" borderId="18" xfId="1" applyFont="1" applyFill="1" applyBorder="1" applyAlignment="1">
      <alignment horizontal="left" vertical="center"/>
    </xf>
    <xf numFmtId="164" fontId="14" fillId="5" borderId="19" xfId="1" applyNumberFormat="1" applyFont="1" applyFill="1" applyBorder="1" applyAlignment="1">
      <alignment horizontal="right" vertical="center"/>
    </xf>
    <xf numFmtId="0" fontId="14" fillId="5" borderId="21" xfId="1" applyFont="1" applyFill="1" applyBorder="1" applyAlignment="1">
      <alignment horizontal="center" vertical="center"/>
    </xf>
    <xf numFmtId="0" fontId="14" fillId="5" borderId="21" xfId="1" applyFont="1" applyFill="1" applyBorder="1" applyAlignment="1">
      <alignment horizontal="left" vertical="center"/>
    </xf>
    <xf numFmtId="164" fontId="14" fillId="5" borderId="21" xfId="1" applyNumberFormat="1" applyFont="1" applyFill="1" applyBorder="1" applyAlignment="1">
      <alignment horizontal="left" vertical="center"/>
    </xf>
    <xf numFmtId="164" fontId="14" fillId="5" borderId="22" xfId="1" applyNumberFormat="1" applyFont="1" applyFill="1" applyBorder="1" applyAlignment="1">
      <alignment horizontal="left" vertical="center"/>
    </xf>
    <xf numFmtId="0" fontId="29" fillId="0" borderId="0" xfId="1" applyFont="1" applyAlignment="1">
      <alignment horizontal="left"/>
    </xf>
    <xf numFmtId="0" fontId="6" fillId="0" borderId="15" xfId="0" applyFont="1" applyBorder="1" applyAlignment="1" applyProtection="1">
      <alignment horizontal="center" vertical="center"/>
      <protection locked="0"/>
    </xf>
    <xf numFmtId="1" fontId="6" fillId="0" borderId="36" xfId="0" applyNumberFormat="1" applyFont="1" applyBorder="1" applyAlignment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4" fillId="5" borderId="18" xfId="1" applyNumberFormat="1" applyFont="1" applyFill="1" applyBorder="1" applyAlignment="1">
      <alignment horizontal="left" vertical="center"/>
    </xf>
    <xf numFmtId="164" fontId="14" fillId="0" borderId="0" xfId="1" applyNumberFormat="1" applyFont="1" applyAlignment="1">
      <alignment horizontal="left"/>
    </xf>
    <xf numFmtId="0" fontId="14" fillId="0" borderId="0" xfId="1" applyFont="1" applyAlignment="1">
      <alignment horizontal="left"/>
    </xf>
    <xf numFmtId="0" fontId="28" fillId="0" borderId="0" xfId="1" applyFont="1" applyAlignment="1">
      <alignment horizontal="left" vertical="center"/>
    </xf>
    <xf numFmtId="0" fontId="20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21" fillId="5" borderId="28" xfId="1" applyFont="1" applyFill="1" applyBorder="1" applyAlignment="1">
      <alignment horizontal="left" vertical="center"/>
    </xf>
    <xf numFmtId="0" fontId="21" fillId="5" borderId="20" xfId="1" applyFont="1" applyFill="1" applyBorder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0" fillId="0" borderId="0" xfId="1" applyFont="1" applyAlignment="1">
      <alignment horizontal="right" vertical="center"/>
    </xf>
    <xf numFmtId="0" fontId="31" fillId="0" borderId="0" xfId="1" applyFont="1" applyAlignment="1">
      <alignment horizontal="right" vertical="center"/>
    </xf>
    <xf numFmtId="49" fontId="31" fillId="0" borderId="0" xfId="0" applyNumberFormat="1" applyFont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0" fillId="5" borderId="0" xfId="0" applyFill="1" applyAlignment="1">
      <alignment vertical="center"/>
    </xf>
    <xf numFmtId="0" fontId="12" fillId="6" borderId="15" xfId="0" applyFont="1" applyFill="1" applyBorder="1" applyAlignment="1" applyProtection="1">
      <alignment vertical="center"/>
    </xf>
    <xf numFmtId="0" fontId="0" fillId="6" borderId="13" xfId="0" applyFill="1" applyBorder="1" applyProtection="1"/>
    <xf numFmtId="0" fontId="0" fillId="6" borderId="13" xfId="0" applyFill="1" applyBorder="1" applyAlignment="1" applyProtection="1">
      <alignment horizontal="center"/>
    </xf>
    <xf numFmtId="0" fontId="6" fillId="6" borderId="13" xfId="0" applyFont="1" applyFill="1" applyBorder="1" applyProtection="1"/>
    <xf numFmtId="49" fontId="10" fillId="6" borderId="13" xfId="0" applyNumberFormat="1" applyFont="1" applyFill="1" applyBorder="1" applyAlignment="1" applyProtection="1">
      <alignment vertical="center"/>
    </xf>
    <xf numFmtId="49" fontId="2" fillId="6" borderId="13" xfId="0" applyNumberFormat="1" applyFont="1" applyFill="1" applyBorder="1" applyAlignment="1" applyProtection="1"/>
    <xf numFmtId="0" fontId="2" fillId="6" borderId="14" xfId="0" applyFont="1" applyFill="1" applyBorder="1" applyAlignment="1" applyProtection="1"/>
    <xf numFmtId="0" fontId="2" fillId="7" borderId="15" xfId="0" applyFont="1" applyFill="1" applyBorder="1" applyAlignment="1" applyProtection="1">
      <alignment vertical="center"/>
    </xf>
    <xf numFmtId="0" fontId="2" fillId="7" borderId="13" xfId="0" applyFont="1" applyFill="1" applyBorder="1" applyProtection="1"/>
    <xf numFmtId="0" fontId="0" fillId="7" borderId="14" xfId="0" applyFill="1" applyBorder="1" applyProtection="1"/>
    <xf numFmtId="0" fontId="2" fillId="8" borderId="15" xfId="0" applyFont="1" applyFill="1" applyBorder="1" applyAlignment="1" applyProtection="1">
      <alignment vertical="center"/>
    </xf>
    <xf numFmtId="0" fontId="0" fillId="8" borderId="13" xfId="0" applyFill="1" applyBorder="1" applyProtection="1"/>
    <xf numFmtId="0" fontId="0" fillId="8" borderId="14" xfId="0" applyFill="1" applyBorder="1" applyProtection="1"/>
    <xf numFmtId="0" fontId="2" fillId="8" borderId="15" xfId="0" applyFont="1" applyFill="1" applyBorder="1" applyAlignment="1" applyProtection="1">
      <alignment vertical="center"/>
      <protection locked="0"/>
    </xf>
    <xf numFmtId="0" fontId="3" fillId="8" borderId="13" xfId="0" applyFont="1" applyFill="1" applyBorder="1" applyProtection="1">
      <protection locked="0"/>
    </xf>
    <xf numFmtId="0" fontId="0" fillId="8" borderId="13" xfId="0" applyFill="1" applyBorder="1" applyProtection="1">
      <protection locked="0"/>
    </xf>
    <xf numFmtId="0" fontId="8" fillId="8" borderId="13" xfId="0" applyFont="1" applyFill="1" applyBorder="1" applyProtection="1">
      <protection locked="0"/>
    </xf>
    <xf numFmtId="49" fontId="27" fillId="8" borderId="13" xfId="0" applyNumberFormat="1" applyFont="1" applyFill="1" applyBorder="1" applyAlignment="1" applyProtection="1">
      <alignment vertical="center"/>
      <protection locked="0"/>
    </xf>
    <xf numFmtId="0" fontId="2" fillId="8" borderId="13" xfId="0" applyFont="1" applyFill="1" applyBorder="1" applyAlignment="1" applyProtection="1">
      <alignment vertical="center"/>
      <protection locked="0"/>
    </xf>
    <xf numFmtId="49" fontId="8" fillId="8" borderId="13" xfId="0" applyNumberFormat="1" applyFont="1" applyFill="1" applyBorder="1" applyProtection="1">
      <protection locked="0"/>
    </xf>
    <xf numFmtId="0" fontId="3" fillId="8" borderId="14" xfId="0" applyFont="1" applyFill="1" applyBorder="1" applyProtection="1">
      <protection locked="0"/>
    </xf>
    <xf numFmtId="0" fontId="0" fillId="9" borderId="0" xfId="0" applyFill="1" applyAlignment="1" applyProtection="1">
      <alignment horizontal="left" vertical="center"/>
    </xf>
    <xf numFmtId="0" fontId="16" fillId="0" borderId="37" xfId="0" applyFont="1" applyBorder="1" applyAlignment="1" applyProtection="1">
      <alignment horizontal="center" vertical="center"/>
      <protection locked="0"/>
    </xf>
    <xf numFmtId="0" fontId="27" fillId="3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0" fillId="0" borderId="17" xfId="0" applyFont="1" applyBorder="1" applyAlignment="1" applyProtection="1">
      <alignment horizontal="center" vertical="center"/>
      <protection locked="0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33" xfId="0" applyFont="1" applyFill="1" applyBorder="1" applyAlignment="1" applyProtection="1">
      <alignment horizontal="center" vertical="center"/>
      <protection locked="0"/>
    </xf>
    <xf numFmtId="0" fontId="5" fillId="8" borderId="35" xfId="0" applyFont="1" applyFill="1" applyBorder="1" applyAlignment="1" applyProtection="1">
      <alignment horizontal="center" vertical="center"/>
      <protection locked="0"/>
    </xf>
    <xf numFmtId="0" fontId="5" fillId="8" borderId="29" xfId="0" applyFont="1" applyFill="1" applyBorder="1" applyAlignment="1" applyProtection="1">
      <alignment horizontal="center" vertical="center"/>
      <protection locked="0"/>
    </xf>
    <xf numFmtId="0" fontId="5" fillId="8" borderId="30" xfId="0" applyFont="1" applyFill="1" applyBorder="1" applyAlignment="1" applyProtection="1">
      <alignment horizontal="center" vertical="center"/>
      <protection locked="0"/>
    </xf>
    <xf numFmtId="0" fontId="5" fillId="8" borderId="31" xfId="0" applyFont="1" applyFill="1" applyBorder="1" applyAlignment="1" applyProtection="1">
      <alignment horizontal="center" vertical="center"/>
      <protection locked="0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horizontal="left" vertical="top" wrapText="1"/>
    </xf>
    <xf numFmtId="0" fontId="20" fillId="0" borderId="0" xfId="1" applyFont="1" applyAlignment="1">
      <alignment horizontal="left" vertical="top"/>
    </xf>
    <xf numFmtId="0" fontId="14" fillId="4" borderId="18" xfId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Normal" xfId="0" builtinId="0"/>
    <cellStyle name="Standaard_team model" xfId="1" xr:uid="{00000000-0005-0000-0000-000001000000}"/>
  </cellStyles>
  <dxfs count="1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400050</xdr:rowOff>
        </xdr:from>
        <xdr:to>
          <xdr:col>19</xdr:col>
          <xdr:colOff>133350</xdr:colOff>
          <xdr:row>0</xdr:row>
          <xdr:rowOff>609600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390525</xdr:rowOff>
        </xdr:from>
        <xdr:to>
          <xdr:col>2</xdr:col>
          <xdr:colOff>1390650</xdr:colOff>
          <xdr:row>0</xdr:row>
          <xdr:rowOff>590550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58"/>
  <sheetViews>
    <sheetView showGridLines="0" tabSelected="1" workbookViewId="0"/>
  </sheetViews>
  <sheetFormatPr defaultColWidth="0" defaultRowHeight="15" zeroHeight="1" x14ac:dyDescent="0.2"/>
  <cols>
    <col min="1" max="1" width="8.88671875" style="18" customWidth="1"/>
    <col min="2" max="2" width="94.33203125" style="18" customWidth="1"/>
    <col min="3" max="16384" width="8.88671875" style="18" hidden="1"/>
  </cols>
  <sheetData>
    <row r="1" spans="1:2" x14ac:dyDescent="0.2"/>
    <row r="2" spans="1:2" s="73" customFormat="1" ht="18" x14ac:dyDescent="0.25">
      <c r="A2" s="72" t="s">
        <v>102</v>
      </c>
    </row>
    <row r="3" spans="1:2" x14ac:dyDescent="0.2"/>
    <row r="4" spans="1:2" x14ac:dyDescent="0.2">
      <c r="A4" s="18" t="s">
        <v>63</v>
      </c>
    </row>
    <row r="5" spans="1:2" x14ac:dyDescent="0.2">
      <c r="A5" s="87" t="s">
        <v>59</v>
      </c>
    </row>
    <row r="6" spans="1:2" x14ac:dyDescent="0.2">
      <c r="A6" s="87"/>
    </row>
    <row r="7" spans="1:2" x14ac:dyDescent="0.2">
      <c r="A7" s="18" t="s">
        <v>100</v>
      </c>
    </row>
    <row r="8" spans="1:2" x14ac:dyDescent="0.2"/>
    <row r="9" spans="1:2" x14ac:dyDescent="0.2">
      <c r="A9" s="18" t="s">
        <v>128</v>
      </c>
    </row>
    <row r="10" spans="1:2" ht="15.75" x14ac:dyDescent="0.25">
      <c r="B10" s="18" t="s">
        <v>68</v>
      </c>
    </row>
    <row r="11" spans="1:2" ht="15.75" x14ac:dyDescent="0.25">
      <c r="B11" s="3" t="s">
        <v>103</v>
      </c>
    </row>
    <row r="12" spans="1:2" ht="15.75" x14ac:dyDescent="0.25">
      <c r="B12" s="18" t="s">
        <v>67</v>
      </c>
    </row>
    <row r="13" spans="1:2" ht="15.75" x14ac:dyDescent="0.25">
      <c r="B13" s="18" t="s">
        <v>66</v>
      </c>
    </row>
    <row r="14" spans="1:2" ht="15.75" x14ac:dyDescent="0.25">
      <c r="B14" s="18" t="s">
        <v>120</v>
      </c>
    </row>
    <row r="15" spans="1:2" ht="15.75" x14ac:dyDescent="0.25">
      <c r="B15" s="18" t="s">
        <v>121</v>
      </c>
    </row>
    <row r="16" spans="1:2" x14ac:dyDescent="0.2"/>
    <row r="17" spans="1:2" ht="15.75" x14ac:dyDescent="0.25">
      <c r="A17" s="3" t="s">
        <v>104</v>
      </c>
    </row>
    <row r="18" spans="1:2" x14ac:dyDescent="0.2">
      <c r="B18" s="18" t="s">
        <v>105</v>
      </c>
    </row>
    <row r="19" spans="1:2" x14ac:dyDescent="0.2">
      <c r="B19" s="18" t="s">
        <v>107</v>
      </c>
    </row>
    <row r="20" spans="1:2" x14ac:dyDescent="0.2"/>
    <row r="21" spans="1:2" x14ac:dyDescent="0.2"/>
    <row r="22" spans="1:2" ht="15.75" x14ac:dyDescent="0.25">
      <c r="A22" s="3" t="s">
        <v>64</v>
      </c>
    </row>
    <row r="23" spans="1:2" x14ac:dyDescent="0.2">
      <c r="B23" s="18" t="s">
        <v>77</v>
      </c>
    </row>
    <row r="24" spans="1:2" ht="15.75" x14ac:dyDescent="0.25">
      <c r="B24" s="18" t="s">
        <v>108</v>
      </c>
    </row>
    <row r="25" spans="1:2" x14ac:dyDescent="0.2">
      <c r="B25" s="18" t="s">
        <v>106</v>
      </c>
    </row>
    <row r="26" spans="1:2" x14ac:dyDescent="0.2">
      <c r="B26" s="18" t="s">
        <v>82</v>
      </c>
    </row>
    <row r="27" spans="1:2" x14ac:dyDescent="0.2">
      <c r="B27" s="18" t="s">
        <v>109</v>
      </c>
    </row>
    <row r="28" spans="1:2" x14ac:dyDescent="0.2">
      <c r="B28" s="18" t="s">
        <v>78</v>
      </c>
    </row>
    <row r="29" spans="1:2" x14ac:dyDescent="0.2"/>
    <row r="30" spans="1:2" x14ac:dyDescent="0.2"/>
    <row r="31" spans="1:2" ht="15.75" x14ac:dyDescent="0.25">
      <c r="A31" s="3" t="s">
        <v>65</v>
      </c>
    </row>
    <row r="32" spans="1:2" ht="15.75" x14ac:dyDescent="0.25">
      <c r="A32" s="3"/>
      <c r="B32" s="18" t="s">
        <v>79</v>
      </c>
    </row>
    <row r="33" spans="1:2" x14ac:dyDescent="0.2">
      <c r="B33" s="18" t="s">
        <v>80</v>
      </c>
    </row>
    <row r="34" spans="1:2" x14ac:dyDescent="0.2">
      <c r="B34" s="18" t="s">
        <v>81</v>
      </c>
    </row>
    <row r="35" spans="1:2" x14ac:dyDescent="0.2">
      <c r="B35" s="18" t="s">
        <v>11</v>
      </c>
    </row>
    <row r="36" spans="1:2" x14ac:dyDescent="0.2">
      <c r="B36" s="18" t="s">
        <v>83</v>
      </c>
    </row>
    <row r="37" spans="1:2" x14ac:dyDescent="0.2"/>
    <row r="38" spans="1:2" ht="15.75" x14ac:dyDescent="0.25">
      <c r="A38" s="3" t="s">
        <v>122</v>
      </c>
    </row>
    <row r="39" spans="1:2" ht="15.75" x14ac:dyDescent="0.25">
      <c r="A39" s="3"/>
      <c r="B39" s="18" t="s">
        <v>123</v>
      </c>
    </row>
    <row r="40" spans="1:2" ht="15.75" x14ac:dyDescent="0.25">
      <c r="A40" s="3"/>
      <c r="B40" s="18" t="s">
        <v>95</v>
      </c>
    </row>
    <row r="41" spans="1:2" ht="15.75" x14ac:dyDescent="0.25">
      <c r="A41" s="3"/>
      <c r="B41" s="18" t="s">
        <v>84</v>
      </c>
    </row>
    <row r="42" spans="1:2" ht="15.75" x14ac:dyDescent="0.25">
      <c r="A42" s="3"/>
      <c r="B42" s="18" t="s">
        <v>124</v>
      </c>
    </row>
    <row r="43" spans="1:2" ht="15.75" x14ac:dyDescent="0.25">
      <c r="A43" s="3"/>
      <c r="B43" s="18" t="s">
        <v>96</v>
      </c>
    </row>
    <row r="44" spans="1:2" ht="15.75" x14ac:dyDescent="0.25">
      <c r="A44" s="3"/>
      <c r="B44" s="18" t="s">
        <v>127</v>
      </c>
    </row>
    <row r="45" spans="1:2" ht="15.75" x14ac:dyDescent="0.25">
      <c r="A45" s="3"/>
      <c r="B45" s="18" t="s">
        <v>11</v>
      </c>
    </row>
    <row r="46" spans="1:2" ht="15.75" x14ac:dyDescent="0.25">
      <c r="A46" s="3"/>
    </row>
    <row r="47" spans="1:2" x14ac:dyDescent="0.2">
      <c r="B47" s="18" t="s">
        <v>125</v>
      </c>
    </row>
    <row r="48" spans="1:2" x14ac:dyDescent="0.2">
      <c r="B48" s="18" t="s">
        <v>126</v>
      </c>
    </row>
    <row r="49" spans="2:2" x14ac:dyDescent="0.2">
      <c r="B49" s="18" t="s">
        <v>96</v>
      </c>
    </row>
    <row r="50" spans="2:2" x14ac:dyDescent="0.2">
      <c r="B50" s="18" t="s">
        <v>127</v>
      </c>
    </row>
    <row r="51" spans="2:2" x14ac:dyDescent="0.2">
      <c r="B51" s="18" t="s">
        <v>11</v>
      </c>
    </row>
    <row r="52" spans="2:2" x14ac:dyDescent="0.2"/>
    <row r="53" spans="2:2" x14ac:dyDescent="0.2">
      <c r="B53" s="18" t="s">
        <v>83</v>
      </c>
    </row>
    <row r="54" spans="2:2" x14ac:dyDescent="0.2"/>
    <row r="55" spans="2:2" x14ac:dyDescent="0.2"/>
    <row r="56" spans="2:2" x14ac:dyDescent="0.2"/>
    <row r="57" spans="2:2" x14ac:dyDescent="0.2"/>
    <row r="58" spans="2:2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 fitToPage="1"/>
  </sheetPr>
  <dimension ref="A1:I18"/>
  <sheetViews>
    <sheetView zoomScaleNormal="100" workbookViewId="0"/>
  </sheetViews>
  <sheetFormatPr defaultColWidth="0" defaultRowHeight="12.75" x14ac:dyDescent="0.2"/>
  <cols>
    <col min="1" max="1" width="3.109375" style="22" customWidth="1"/>
    <col min="2" max="2" width="4.44140625" style="71" customWidth="1"/>
    <col min="3" max="3" width="5.109375" style="24" customWidth="1"/>
    <col min="4" max="4" width="29.33203125" style="126" customWidth="1"/>
    <col min="5" max="5" width="7.77734375" style="23" customWidth="1"/>
    <col min="6" max="6" width="34.44140625" style="129" customWidth="1"/>
    <col min="7" max="7" width="9.6640625" style="122" customWidth="1"/>
    <col min="8" max="8" width="11.21875" style="22" customWidth="1"/>
    <col min="9" max="9" width="7.109375" style="22" customWidth="1"/>
    <col min="10" max="16384" width="7.109375" style="22" hidden="1"/>
  </cols>
  <sheetData>
    <row r="1" spans="2:8" ht="24" thickBot="1" x14ac:dyDescent="0.25">
      <c r="B1" s="168" t="str">
        <f>'Deelnemers en Scores'!B1</f>
        <v>Rayon kampioenschappen Indoor Teams   Rayon 3</v>
      </c>
      <c r="C1" s="169"/>
      <c r="D1" s="169"/>
      <c r="E1" s="169"/>
      <c r="F1" s="169"/>
      <c r="G1" s="169"/>
      <c r="H1" s="170"/>
    </row>
    <row r="2" spans="2:8" x14ac:dyDescent="0.2">
      <c r="C2" s="40"/>
    </row>
    <row r="3" spans="2:8" ht="15.75" x14ac:dyDescent="0.2">
      <c r="B3" s="59" t="s">
        <v>10</v>
      </c>
      <c r="C3" s="60"/>
      <c r="D3" s="61" t="str">
        <f>'Deelnemers en Scores'!D3</f>
        <v>yyyy-mm-dd</v>
      </c>
    </row>
    <row r="4" spans="2:8" ht="23.25" x14ac:dyDescent="0.35">
      <c r="B4" s="130" t="str">
        <f>'Deelnemers en Scores'!B4</f>
        <v>Klasse: ???</v>
      </c>
      <c r="C4" s="57"/>
      <c r="G4" s="123"/>
    </row>
    <row r="6" spans="2:8" ht="20.25" x14ac:dyDescent="0.2">
      <c r="D6" s="127" t="s">
        <v>69</v>
      </c>
    </row>
    <row r="7" spans="2:8" ht="14.25" x14ac:dyDescent="0.2">
      <c r="D7" s="128" t="s">
        <v>73</v>
      </c>
    </row>
    <row r="8" spans="2:8" ht="14.25" x14ac:dyDescent="0.2">
      <c r="D8" s="128" t="s">
        <v>97</v>
      </c>
    </row>
    <row r="9" spans="2:8" x14ac:dyDescent="0.2">
      <c r="D9" s="71"/>
    </row>
    <row r="10" spans="2:8" x14ac:dyDescent="0.2">
      <c r="D10" s="118" t="s">
        <v>70</v>
      </c>
    </row>
    <row r="11" spans="2:8" x14ac:dyDescent="0.2">
      <c r="D11" s="118" t="s">
        <v>72</v>
      </c>
    </row>
    <row r="12" spans="2:8" x14ac:dyDescent="0.2">
      <c r="D12" s="118" t="s">
        <v>99</v>
      </c>
    </row>
    <row r="13" spans="2:8" x14ac:dyDescent="0.2">
      <c r="D13" s="71" t="s">
        <v>76</v>
      </c>
    </row>
    <row r="14" spans="2:8" ht="13.5" thickBot="1" x14ac:dyDescent="0.25"/>
    <row r="15" spans="2:8" ht="15" customHeight="1" x14ac:dyDescent="0.2">
      <c r="B15" s="131"/>
      <c r="C15" s="111"/>
      <c r="D15" s="112"/>
      <c r="E15" s="111"/>
      <c r="F15" s="112"/>
      <c r="G15" s="124"/>
      <c r="H15" s="113"/>
    </row>
    <row r="16" spans="2:8" ht="13.5" thickBot="1" x14ac:dyDescent="0.25">
      <c r="B16" s="132"/>
      <c r="C16" s="114" t="s">
        <v>18</v>
      </c>
      <c r="D16" s="115" t="s">
        <v>14</v>
      </c>
      <c r="E16" s="114" t="s">
        <v>16</v>
      </c>
      <c r="F16" s="115" t="s">
        <v>98</v>
      </c>
      <c r="G16" s="116" t="s">
        <v>50</v>
      </c>
      <c r="H16" s="117" t="s">
        <v>71</v>
      </c>
    </row>
    <row r="17" spans="2:8" x14ac:dyDescent="0.2">
      <c r="E17" s="24"/>
      <c r="F17" s="126"/>
      <c r="G17" s="125"/>
    </row>
    <row r="18" spans="2:8" x14ac:dyDescent="0.2">
      <c r="B18" s="85"/>
      <c r="C18" s="35">
        <v>100</v>
      </c>
      <c r="D18" s="37" t="s">
        <v>23</v>
      </c>
      <c r="E18" s="39">
        <v>123456</v>
      </c>
      <c r="F18" s="85" t="s">
        <v>74</v>
      </c>
      <c r="G18" s="68">
        <v>7.7770000000000001</v>
      </c>
      <c r="H18" s="86" t="s">
        <v>75</v>
      </c>
    </row>
  </sheetData>
  <sheetProtection selectLockedCells="1"/>
  <protectedRanges>
    <protectedRange password="E95F" sqref="E17:G18" name="Invoer"/>
  </protectedRanges>
  <dataConsolidate/>
  <mergeCells count="1">
    <mergeCell ref="B1:H1"/>
  </mergeCells>
  <pageMargins left="0.49" right="0.42" top="0.49" bottom="1.38" header="0.5" footer="0.6"/>
  <pageSetup paperSize="9" scale="74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L82"/>
  <sheetViews>
    <sheetView zoomScaleNormal="100" workbookViewId="0"/>
  </sheetViews>
  <sheetFormatPr defaultColWidth="0" defaultRowHeight="12.75" x14ac:dyDescent="0.2"/>
  <cols>
    <col min="1" max="1" width="3.109375" style="22" customWidth="1"/>
    <col min="2" max="2" width="4.44140625" style="24" customWidth="1"/>
    <col min="3" max="3" width="5.109375" style="24" customWidth="1"/>
    <col min="4" max="4" width="29.33203125" style="24" customWidth="1"/>
    <col min="5" max="5" width="7.77734375" style="22" customWidth="1"/>
    <col min="6" max="6" width="34.44140625" style="22" customWidth="1"/>
    <col min="7" max="7" width="9.6640625" style="63" customWidth="1"/>
    <col min="8" max="9" width="3.6640625" style="23" customWidth="1"/>
    <col min="10" max="10" width="6.77734375" style="23" customWidth="1"/>
    <col min="11" max="11" width="6.77734375" style="22" customWidth="1"/>
    <col min="12" max="12" width="3.33203125" style="22" customWidth="1"/>
    <col min="13" max="16384" width="7.109375" style="22" hidden="1"/>
  </cols>
  <sheetData>
    <row r="1" spans="1:11" ht="24" thickBot="1" x14ac:dyDescent="0.25">
      <c r="B1" s="171" t="s">
        <v>12</v>
      </c>
      <c r="C1" s="172"/>
      <c r="D1" s="172"/>
      <c r="E1" s="172"/>
      <c r="F1" s="172"/>
      <c r="G1" s="172"/>
      <c r="H1" s="172"/>
      <c r="I1" s="172"/>
      <c r="J1" s="172"/>
      <c r="K1" s="173"/>
    </row>
    <row r="2" spans="1:11" x14ac:dyDescent="0.2">
      <c r="B2" s="40"/>
      <c r="C2" s="40"/>
      <c r="D2" s="40"/>
    </row>
    <row r="3" spans="1:11" ht="23.25" x14ac:dyDescent="0.2">
      <c r="B3" s="59" t="s">
        <v>10</v>
      </c>
      <c r="C3" s="60"/>
      <c r="D3" s="110" t="s">
        <v>44</v>
      </c>
      <c r="E3" s="174" t="s">
        <v>19</v>
      </c>
      <c r="F3" s="174"/>
      <c r="G3" s="62" t="s">
        <v>56</v>
      </c>
      <c r="H3" s="175" t="s">
        <v>57</v>
      </c>
      <c r="I3" s="176"/>
      <c r="J3" s="176"/>
      <c r="K3" s="176"/>
    </row>
    <row r="4" spans="1:11" ht="23.25" x14ac:dyDescent="0.35">
      <c r="B4" s="58" t="s">
        <v>13</v>
      </c>
      <c r="C4" s="57"/>
      <c r="F4" s="57"/>
      <c r="G4" s="64"/>
      <c r="H4" s="176"/>
      <c r="I4" s="176"/>
      <c r="J4" s="176"/>
      <c r="K4" s="176"/>
    </row>
    <row r="5" spans="1:11" ht="13.5" thickBot="1" x14ac:dyDescent="0.25"/>
    <row r="6" spans="1:11" ht="15" customHeight="1" x14ac:dyDescent="0.2">
      <c r="B6" s="76"/>
      <c r="C6" s="77"/>
      <c r="D6" s="77"/>
      <c r="E6" s="77"/>
      <c r="F6" s="83" t="s">
        <v>15</v>
      </c>
      <c r="G6" s="74" t="s">
        <v>58</v>
      </c>
      <c r="H6" s="177" t="s">
        <v>60</v>
      </c>
      <c r="I6" s="177"/>
      <c r="J6" s="77" t="s">
        <v>8</v>
      </c>
      <c r="K6" s="80" t="s">
        <v>8</v>
      </c>
    </row>
    <row r="7" spans="1:11" ht="13.5" thickBot="1" x14ac:dyDescent="0.25">
      <c r="B7" s="78" t="s">
        <v>0</v>
      </c>
      <c r="C7" s="79" t="s">
        <v>18</v>
      </c>
      <c r="D7" s="84" t="s">
        <v>14</v>
      </c>
      <c r="E7" s="79" t="s">
        <v>16</v>
      </c>
      <c r="F7" s="84" t="s">
        <v>17</v>
      </c>
      <c r="G7" s="75" t="s">
        <v>50</v>
      </c>
      <c r="H7" s="82" t="s">
        <v>61</v>
      </c>
      <c r="I7" s="82" t="s">
        <v>62</v>
      </c>
      <c r="J7" s="79" t="s">
        <v>51</v>
      </c>
      <c r="K7" s="81" t="s">
        <v>9</v>
      </c>
    </row>
    <row r="8" spans="1:11" x14ac:dyDescent="0.2">
      <c r="E8" s="24"/>
      <c r="F8" s="24"/>
      <c r="G8" s="65"/>
      <c r="H8" s="24"/>
      <c r="I8" s="24"/>
      <c r="J8" s="24"/>
      <c r="K8" s="24"/>
    </row>
    <row r="9" spans="1:11" x14ac:dyDescent="0.2">
      <c r="B9" s="35">
        <v>1</v>
      </c>
      <c r="C9" s="35">
        <v>100</v>
      </c>
      <c r="D9" s="37" t="s">
        <v>23</v>
      </c>
      <c r="E9" s="35"/>
      <c r="F9" s="37" t="s">
        <v>22</v>
      </c>
      <c r="G9" s="70">
        <v>888.8</v>
      </c>
      <c r="H9" s="35"/>
      <c r="I9" s="35"/>
      <c r="J9" s="24"/>
      <c r="K9" s="26">
        <f>IF(COUNTA(J10:J13)&lt;3,0,IF(COUNTA(J10:J13)=3,SUM(J10:J13),IF(SUM(J10:J13)&gt;0,SUM(J10:J13)-MINA(J10:J13),0)))</f>
        <v>0</v>
      </c>
    </row>
    <row r="10" spans="1:11" x14ac:dyDescent="0.2">
      <c r="A10" s="25"/>
      <c r="B10" s="35"/>
      <c r="C10" s="35"/>
      <c r="D10" s="35"/>
      <c r="E10" s="39">
        <v>123456</v>
      </c>
      <c r="F10" s="38" t="s">
        <v>52</v>
      </c>
      <c r="G10" s="68">
        <v>7.7770000000000001</v>
      </c>
      <c r="H10" s="36">
        <v>0</v>
      </c>
      <c r="I10" s="36">
        <v>0</v>
      </c>
      <c r="J10" s="23">
        <f>SUM(H10:I10)</f>
        <v>0</v>
      </c>
    </row>
    <row r="11" spans="1:11" x14ac:dyDescent="0.2">
      <c r="A11" s="25"/>
      <c r="B11" s="35"/>
      <c r="C11" s="35"/>
      <c r="D11" s="35"/>
      <c r="E11" s="39">
        <v>123456</v>
      </c>
      <c r="F11" s="38" t="s">
        <v>53</v>
      </c>
      <c r="G11" s="68">
        <v>7.7770000000000001</v>
      </c>
      <c r="H11" s="36">
        <v>0</v>
      </c>
      <c r="I11" s="36">
        <v>0</v>
      </c>
      <c r="J11" s="23">
        <f>SUM(H11:I11)</f>
        <v>0</v>
      </c>
      <c r="K11" s="25"/>
    </row>
    <row r="12" spans="1:11" x14ac:dyDescent="0.2">
      <c r="A12" s="25"/>
      <c r="B12" s="35"/>
      <c r="C12" s="35"/>
      <c r="D12" s="35"/>
      <c r="E12" s="39">
        <v>123456</v>
      </c>
      <c r="F12" s="38" t="s">
        <v>54</v>
      </c>
      <c r="G12" s="68">
        <v>7.7770000000000001</v>
      </c>
      <c r="H12" s="36">
        <v>0</v>
      </c>
      <c r="I12" s="36">
        <v>0</v>
      </c>
      <c r="J12" s="23">
        <f>SUM(H12:I12)</f>
        <v>0</v>
      </c>
      <c r="K12" s="25"/>
    </row>
    <row r="13" spans="1:11" x14ac:dyDescent="0.2">
      <c r="A13" s="25"/>
      <c r="B13" s="35"/>
      <c r="C13" s="35"/>
      <c r="D13" s="35"/>
      <c r="E13" s="39">
        <v>123456</v>
      </c>
      <c r="F13" s="38" t="s">
        <v>55</v>
      </c>
      <c r="G13" s="68">
        <v>7.7770000000000001</v>
      </c>
      <c r="H13" s="36">
        <v>0</v>
      </c>
      <c r="I13" s="36">
        <v>0</v>
      </c>
      <c r="J13" s="23">
        <f>SUM(H13:I13)</f>
        <v>0</v>
      </c>
      <c r="K13" s="25"/>
    </row>
    <row r="14" spans="1:11" x14ac:dyDescent="0.2">
      <c r="A14" s="25"/>
      <c r="B14" s="35"/>
      <c r="C14" s="35"/>
      <c r="D14" s="35"/>
      <c r="E14" s="36"/>
      <c r="F14" s="38"/>
      <c r="G14" s="66"/>
      <c r="H14" s="36"/>
      <c r="I14" s="36"/>
      <c r="K14" s="25"/>
    </row>
    <row r="15" spans="1:11" x14ac:dyDescent="0.2">
      <c r="B15" s="35">
        <v>2</v>
      </c>
      <c r="C15" s="35">
        <v>100</v>
      </c>
      <c r="D15" s="37" t="s">
        <v>24</v>
      </c>
      <c r="E15" s="35"/>
      <c r="F15" s="37" t="s">
        <v>20</v>
      </c>
      <c r="G15" s="70">
        <v>888.8</v>
      </c>
      <c r="H15" s="36"/>
      <c r="I15" s="36"/>
      <c r="J15" s="24"/>
      <c r="K15" s="26">
        <f>IF(COUNTA(J16:J19)&lt;3,0,IF(COUNTA(J16:J19)=3,SUM(J16:J19),IF(SUM(J16:J19)&gt;0,SUM(J16:J19)-MINA(J16:J19),0)))</f>
        <v>0</v>
      </c>
    </row>
    <row r="16" spans="1:11" x14ac:dyDescent="0.2">
      <c r="B16" s="35"/>
      <c r="C16" s="35"/>
      <c r="D16" s="35"/>
      <c r="E16" s="39">
        <v>123456</v>
      </c>
      <c r="F16" s="38" t="s">
        <v>52</v>
      </c>
      <c r="G16" s="68">
        <v>7.7770000000000001</v>
      </c>
      <c r="H16" s="36">
        <v>0</v>
      </c>
      <c r="I16" s="36">
        <v>0</v>
      </c>
      <c r="J16" s="23">
        <f>SUM(H16:I16)</f>
        <v>0</v>
      </c>
    </row>
    <row r="17" spans="2:11" x14ac:dyDescent="0.2">
      <c r="B17" s="35"/>
      <c r="C17" s="35"/>
      <c r="D17" s="35"/>
      <c r="E17" s="39">
        <v>123456</v>
      </c>
      <c r="F17" s="38" t="s">
        <v>53</v>
      </c>
      <c r="G17" s="68">
        <v>7.7770000000000001</v>
      </c>
      <c r="H17" s="36">
        <v>0</v>
      </c>
      <c r="I17" s="36">
        <v>0</v>
      </c>
      <c r="J17" s="23">
        <f>SUM(H17:I17)</f>
        <v>0</v>
      </c>
    </row>
    <row r="18" spans="2:11" x14ac:dyDescent="0.2">
      <c r="B18" s="35"/>
      <c r="C18" s="35"/>
      <c r="D18" s="35"/>
      <c r="E18" s="39">
        <v>123456</v>
      </c>
      <c r="F18" s="38" t="s">
        <v>54</v>
      </c>
      <c r="G18" s="68">
        <v>7.7770000000000001</v>
      </c>
      <c r="H18" s="36">
        <v>0</v>
      </c>
      <c r="I18" s="36">
        <v>0</v>
      </c>
      <c r="J18" s="23">
        <f>SUM(H18:I18)</f>
        <v>0</v>
      </c>
    </row>
    <row r="19" spans="2:11" x14ac:dyDescent="0.2">
      <c r="B19" s="35"/>
      <c r="C19" s="35"/>
      <c r="D19" s="35"/>
      <c r="E19" s="39">
        <v>123456</v>
      </c>
      <c r="F19" s="38" t="s">
        <v>55</v>
      </c>
      <c r="G19" s="68">
        <v>7.7770000000000001</v>
      </c>
      <c r="H19" s="36">
        <v>0</v>
      </c>
      <c r="I19" s="36">
        <v>0</v>
      </c>
      <c r="J19" s="23">
        <f>SUM(H19:I19)</f>
        <v>0</v>
      </c>
    </row>
    <row r="20" spans="2:11" x14ac:dyDescent="0.2">
      <c r="B20" s="35"/>
      <c r="C20" s="35"/>
      <c r="D20" s="35"/>
      <c r="E20" s="36"/>
      <c r="F20" s="38"/>
      <c r="G20" s="66"/>
      <c r="H20" s="36"/>
      <c r="I20" s="36"/>
    </row>
    <row r="21" spans="2:11" x14ac:dyDescent="0.2">
      <c r="B21" s="35">
        <v>3</v>
      </c>
      <c r="C21" s="35">
        <v>100</v>
      </c>
      <c r="D21" s="37" t="s">
        <v>25</v>
      </c>
      <c r="E21" s="35"/>
      <c r="F21" s="37" t="s">
        <v>21</v>
      </c>
      <c r="G21" s="70">
        <v>888.8</v>
      </c>
      <c r="H21" s="36"/>
      <c r="I21" s="36"/>
      <c r="J21" s="24"/>
      <c r="K21" s="26">
        <f>IF(COUNTA(J22:J25)&lt;3,0,IF(COUNTA(J22:J25)=3,SUM(J22:J25),IF(SUM(J22:J25)&gt;0,SUM(J22:J25)-MINA(J22:J25),0)))</f>
        <v>0</v>
      </c>
    </row>
    <row r="22" spans="2:11" x14ac:dyDescent="0.2">
      <c r="B22" s="35"/>
      <c r="C22" s="35"/>
      <c r="D22" s="35"/>
      <c r="E22" s="39">
        <v>123456</v>
      </c>
      <c r="F22" s="38" t="s">
        <v>52</v>
      </c>
      <c r="G22" s="68">
        <v>7.7770000000000001</v>
      </c>
      <c r="H22" s="36">
        <v>0</v>
      </c>
      <c r="I22" s="36">
        <v>0</v>
      </c>
      <c r="J22" s="23">
        <f>SUM(H22:I22)</f>
        <v>0</v>
      </c>
    </row>
    <row r="23" spans="2:11" x14ac:dyDescent="0.2">
      <c r="B23" s="35"/>
      <c r="C23" s="35"/>
      <c r="D23" s="35"/>
      <c r="E23" s="39">
        <v>123456</v>
      </c>
      <c r="F23" s="38" t="s">
        <v>53</v>
      </c>
      <c r="G23" s="68">
        <v>7.7770000000000001</v>
      </c>
      <c r="H23" s="36">
        <v>0</v>
      </c>
      <c r="I23" s="36">
        <v>0</v>
      </c>
      <c r="J23" s="23">
        <f>SUM(H23:I23)</f>
        <v>0</v>
      </c>
    </row>
    <row r="24" spans="2:11" x14ac:dyDescent="0.2">
      <c r="B24" s="35"/>
      <c r="C24" s="35"/>
      <c r="D24" s="35"/>
      <c r="E24" s="39">
        <v>123456</v>
      </c>
      <c r="F24" s="38" t="s">
        <v>54</v>
      </c>
      <c r="G24" s="68">
        <v>7.7770000000000001</v>
      </c>
      <c r="H24" s="36">
        <v>0</v>
      </c>
      <c r="I24" s="36">
        <v>0</v>
      </c>
      <c r="J24" s="23">
        <f>SUM(H24:I24)</f>
        <v>0</v>
      </c>
    </row>
    <row r="25" spans="2:11" x14ac:dyDescent="0.2">
      <c r="B25" s="35"/>
      <c r="C25" s="35"/>
      <c r="D25" s="35"/>
      <c r="E25" s="39">
        <v>123456</v>
      </c>
      <c r="F25" s="38" t="s">
        <v>55</v>
      </c>
      <c r="G25" s="68">
        <v>7.7770000000000001</v>
      </c>
      <c r="H25" s="36">
        <v>0</v>
      </c>
      <c r="I25" s="36">
        <v>0</v>
      </c>
      <c r="J25" s="23">
        <f>SUM(H25:I25)</f>
        <v>0</v>
      </c>
    </row>
    <row r="26" spans="2:11" x14ac:dyDescent="0.2">
      <c r="B26" s="35"/>
      <c r="C26" s="35"/>
      <c r="D26" s="35"/>
      <c r="E26" s="36"/>
      <c r="F26" s="38"/>
      <c r="G26" s="66"/>
      <c r="H26" s="36"/>
      <c r="I26" s="36"/>
    </row>
    <row r="27" spans="2:11" x14ac:dyDescent="0.2">
      <c r="B27" s="35">
        <v>4</v>
      </c>
      <c r="C27" s="35">
        <v>100</v>
      </c>
      <c r="D27" s="37" t="s">
        <v>41</v>
      </c>
      <c r="E27" s="35"/>
      <c r="F27" s="37" t="s">
        <v>26</v>
      </c>
      <c r="G27" s="70">
        <v>888.8</v>
      </c>
      <c r="H27" s="36"/>
      <c r="I27" s="36"/>
      <c r="J27" s="24"/>
      <c r="K27" s="26">
        <f>IF(COUNTA(J28:J31)&lt;3,0,IF(COUNTA(J28:J31)=3,SUM(J28:J31),IF(SUM(J28:J31)&gt;0,SUM(J28:J31)-MINA(J28:J31),0)))</f>
        <v>0</v>
      </c>
    </row>
    <row r="28" spans="2:11" x14ac:dyDescent="0.2">
      <c r="B28" s="35"/>
      <c r="C28" s="35"/>
      <c r="D28" s="35"/>
      <c r="E28" s="39">
        <v>123456</v>
      </c>
      <c r="F28" s="38" t="s">
        <v>52</v>
      </c>
      <c r="G28" s="68">
        <v>7.7770000000000001</v>
      </c>
      <c r="H28" s="36">
        <v>0</v>
      </c>
      <c r="I28" s="36">
        <v>0</v>
      </c>
      <c r="J28" s="23">
        <f>SUM(H28:I28)</f>
        <v>0</v>
      </c>
    </row>
    <row r="29" spans="2:11" x14ac:dyDescent="0.2">
      <c r="B29" s="35"/>
      <c r="C29" s="35"/>
      <c r="D29" s="35"/>
      <c r="E29" s="39">
        <v>123456</v>
      </c>
      <c r="F29" s="38" t="s">
        <v>53</v>
      </c>
      <c r="G29" s="68">
        <v>7.7770000000000001</v>
      </c>
      <c r="H29" s="36">
        <v>0</v>
      </c>
      <c r="I29" s="36">
        <v>0</v>
      </c>
      <c r="J29" s="23">
        <f>SUM(H29:I29)</f>
        <v>0</v>
      </c>
    </row>
    <row r="30" spans="2:11" x14ac:dyDescent="0.2">
      <c r="B30" s="35"/>
      <c r="C30" s="35"/>
      <c r="D30" s="35"/>
      <c r="E30" s="39">
        <v>123456</v>
      </c>
      <c r="F30" s="38" t="s">
        <v>54</v>
      </c>
      <c r="G30" s="68">
        <v>7.7770000000000001</v>
      </c>
      <c r="H30" s="36">
        <v>0</v>
      </c>
      <c r="I30" s="36">
        <v>0</v>
      </c>
      <c r="J30" s="23">
        <f>SUM(H30:I30)</f>
        <v>0</v>
      </c>
    </row>
    <row r="31" spans="2:11" x14ac:dyDescent="0.2">
      <c r="B31" s="35"/>
      <c r="C31" s="35"/>
      <c r="D31" s="35"/>
      <c r="E31" s="39">
        <v>123456</v>
      </c>
      <c r="F31" s="38" t="s">
        <v>55</v>
      </c>
      <c r="G31" s="68">
        <v>7.7770000000000001</v>
      </c>
      <c r="H31" s="36">
        <v>0</v>
      </c>
      <c r="I31" s="36">
        <v>0</v>
      </c>
      <c r="J31" s="23">
        <f>SUM(H31:I31)</f>
        <v>0</v>
      </c>
    </row>
    <row r="32" spans="2:11" x14ac:dyDescent="0.2">
      <c r="B32" s="35"/>
      <c r="C32" s="35"/>
      <c r="D32" s="35"/>
      <c r="E32" s="36"/>
      <c r="F32" s="38"/>
      <c r="G32" s="66"/>
      <c r="H32" s="36"/>
      <c r="I32" s="36"/>
    </row>
    <row r="33" spans="2:11" x14ac:dyDescent="0.2">
      <c r="B33" s="35">
        <v>5</v>
      </c>
      <c r="C33" s="35">
        <v>100</v>
      </c>
      <c r="D33" s="37" t="s">
        <v>42</v>
      </c>
      <c r="E33" s="35"/>
      <c r="F33" s="37" t="s">
        <v>43</v>
      </c>
      <c r="G33" s="70">
        <v>888.8</v>
      </c>
      <c r="H33" s="36"/>
      <c r="I33" s="36"/>
      <c r="J33" s="24"/>
      <c r="K33" s="26">
        <f>IF(COUNTA(J34:J37)&lt;3,0,IF(COUNTA(J34:J37)=3,SUM(J34:J37),IF(SUM(J34:J37)&gt;0,SUM(J34:J37)-MINA(J34:J37),0)))</f>
        <v>0</v>
      </c>
    </row>
    <row r="34" spans="2:11" x14ac:dyDescent="0.2">
      <c r="B34" s="35"/>
      <c r="C34" s="35"/>
      <c r="D34" s="35"/>
      <c r="E34" s="39">
        <v>123456</v>
      </c>
      <c r="F34" s="38" t="s">
        <v>52</v>
      </c>
      <c r="G34" s="68">
        <v>7.7770000000000001</v>
      </c>
      <c r="H34" s="36">
        <v>0</v>
      </c>
      <c r="I34" s="36">
        <v>0</v>
      </c>
      <c r="J34" s="23">
        <f>SUM(H34:I34)</f>
        <v>0</v>
      </c>
    </row>
    <row r="35" spans="2:11" x14ac:dyDescent="0.2">
      <c r="B35" s="35"/>
      <c r="C35" s="35"/>
      <c r="D35" s="35"/>
      <c r="E35" s="39">
        <v>123456</v>
      </c>
      <c r="F35" s="38" t="s">
        <v>53</v>
      </c>
      <c r="G35" s="68">
        <v>7.7770000000000001</v>
      </c>
      <c r="H35" s="36">
        <v>0</v>
      </c>
      <c r="I35" s="36">
        <v>0</v>
      </c>
      <c r="J35" s="23">
        <f>SUM(H35:I35)</f>
        <v>0</v>
      </c>
    </row>
    <row r="36" spans="2:11" x14ac:dyDescent="0.2">
      <c r="B36" s="35"/>
      <c r="C36" s="35"/>
      <c r="D36" s="35"/>
      <c r="E36" s="39">
        <v>123456</v>
      </c>
      <c r="F36" s="38" t="s">
        <v>54</v>
      </c>
      <c r="G36" s="68">
        <v>7.7770000000000001</v>
      </c>
      <c r="H36" s="36">
        <v>0</v>
      </c>
      <c r="I36" s="36">
        <v>0</v>
      </c>
      <c r="J36" s="23">
        <f>SUM(H36:I36)</f>
        <v>0</v>
      </c>
    </row>
    <row r="37" spans="2:11" x14ac:dyDescent="0.2">
      <c r="B37" s="35"/>
      <c r="C37" s="35"/>
      <c r="D37" s="35"/>
      <c r="E37" s="39">
        <v>123456</v>
      </c>
      <c r="F37" s="38" t="s">
        <v>55</v>
      </c>
      <c r="G37" s="68">
        <v>7.7770000000000001</v>
      </c>
      <c r="H37" s="36">
        <v>0</v>
      </c>
      <c r="I37" s="36">
        <v>0</v>
      </c>
      <c r="J37" s="23">
        <f>SUM(H37:I37)</f>
        <v>0</v>
      </c>
    </row>
    <row r="38" spans="2:11" x14ac:dyDescent="0.2">
      <c r="B38" s="35"/>
      <c r="C38" s="35"/>
      <c r="D38" s="35"/>
      <c r="E38" s="36"/>
      <c r="F38" s="38"/>
      <c r="G38" s="66"/>
      <c r="H38" s="36"/>
      <c r="I38" s="36"/>
    </row>
    <row r="39" spans="2:11" x14ac:dyDescent="0.2">
      <c r="B39" s="35">
        <v>6</v>
      </c>
      <c r="C39" s="35">
        <v>100</v>
      </c>
      <c r="D39" s="37" t="s">
        <v>39</v>
      </c>
      <c r="E39" s="35"/>
      <c r="F39" s="37" t="s">
        <v>40</v>
      </c>
      <c r="G39" s="70">
        <v>888.8</v>
      </c>
      <c r="H39" s="36"/>
      <c r="I39" s="36"/>
      <c r="J39" s="24"/>
      <c r="K39" s="26">
        <f>IF(COUNTA(J40:J43)&lt;3,0,IF(COUNTA(J40:J43)=3,SUM(J40:J43),IF(SUM(J40:J43)&gt;0,SUM(J40:J43)-MINA(J40:J43),0)))</f>
        <v>0</v>
      </c>
    </row>
    <row r="40" spans="2:11" x14ac:dyDescent="0.2">
      <c r="B40" s="35"/>
      <c r="C40" s="35"/>
      <c r="D40" s="35"/>
      <c r="E40" s="39">
        <v>123456</v>
      </c>
      <c r="F40" s="38" t="s">
        <v>52</v>
      </c>
      <c r="G40" s="68">
        <v>7.7770000000000001</v>
      </c>
      <c r="H40" s="36">
        <v>0</v>
      </c>
      <c r="I40" s="36">
        <v>0</v>
      </c>
      <c r="J40" s="23">
        <f>SUM(H40:I40)</f>
        <v>0</v>
      </c>
    </row>
    <row r="41" spans="2:11" x14ac:dyDescent="0.2">
      <c r="B41" s="35"/>
      <c r="C41" s="35"/>
      <c r="D41" s="35"/>
      <c r="E41" s="39">
        <v>123456</v>
      </c>
      <c r="F41" s="38" t="s">
        <v>53</v>
      </c>
      <c r="G41" s="68">
        <v>7.7770000000000001</v>
      </c>
      <c r="H41" s="36">
        <v>0</v>
      </c>
      <c r="I41" s="36">
        <v>0</v>
      </c>
      <c r="J41" s="23">
        <f>SUM(H41:I41)</f>
        <v>0</v>
      </c>
    </row>
    <row r="42" spans="2:11" x14ac:dyDescent="0.2">
      <c r="B42" s="35"/>
      <c r="C42" s="35"/>
      <c r="D42" s="35"/>
      <c r="E42" s="39">
        <v>123456</v>
      </c>
      <c r="F42" s="38" t="s">
        <v>54</v>
      </c>
      <c r="G42" s="68">
        <v>7.7770000000000001</v>
      </c>
      <c r="H42" s="36">
        <v>0</v>
      </c>
      <c r="I42" s="36">
        <v>0</v>
      </c>
      <c r="J42" s="23">
        <f>SUM(H42:I42)</f>
        <v>0</v>
      </c>
    </row>
    <row r="43" spans="2:11" x14ac:dyDescent="0.2">
      <c r="B43" s="35"/>
      <c r="C43" s="35"/>
      <c r="D43" s="35"/>
      <c r="E43" s="39">
        <v>123456</v>
      </c>
      <c r="F43" s="38" t="s">
        <v>55</v>
      </c>
      <c r="G43" s="68">
        <v>7.7770000000000001</v>
      </c>
      <c r="H43" s="36">
        <v>0</v>
      </c>
      <c r="I43" s="36">
        <v>0</v>
      </c>
      <c r="J43" s="23">
        <f>SUM(H43:I43)</f>
        <v>0</v>
      </c>
    </row>
    <row r="44" spans="2:11" x14ac:dyDescent="0.2">
      <c r="B44" s="35"/>
      <c r="C44" s="35"/>
      <c r="D44" s="35"/>
      <c r="E44" s="36"/>
      <c r="F44" s="38"/>
      <c r="G44" s="66"/>
      <c r="H44" s="36"/>
      <c r="I44" s="36"/>
    </row>
    <row r="45" spans="2:11" x14ac:dyDescent="0.2">
      <c r="B45" s="35">
        <v>7</v>
      </c>
      <c r="C45" s="35">
        <v>100</v>
      </c>
      <c r="D45" s="37" t="s">
        <v>37</v>
      </c>
      <c r="E45" s="35"/>
      <c r="F45" s="37" t="s">
        <v>38</v>
      </c>
      <c r="G45" s="70">
        <v>888.8</v>
      </c>
      <c r="H45" s="36"/>
      <c r="I45" s="36"/>
      <c r="J45" s="24"/>
      <c r="K45" s="26">
        <f>IF(COUNTA(J46:J49)&lt;3,0,IF(COUNTA(J46:J49)=3,SUM(J46:J49),IF(SUM(J46:J49)&gt;0,SUM(J46:J49)-MINA(J46:J49),0)))</f>
        <v>0</v>
      </c>
    </row>
    <row r="46" spans="2:11" x14ac:dyDescent="0.2">
      <c r="B46" s="35"/>
      <c r="C46" s="35"/>
      <c r="D46" s="35"/>
      <c r="E46" s="39">
        <v>123456</v>
      </c>
      <c r="F46" s="38" t="s">
        <v>52</v>
      </c>
      <c r="G46" s="68">
        <v>7.7770000000000001</v>
      </c>
      <c r="H46" s="36">
        <v>0</v>
      </c>
      <c r="I46" s="36">
        <v>0</v>
      </c>
      <c r="J46" s="23">
        <f>SUM(H46:I46)</f>
        <v>0</v>
      </c>
    </row>
    <row r="47" spans="2:11" x14ac:dyDescent="0.2">
      <c r="B47" s="35"/>
      <c r="C47" s="35"/>
      <c r="D47" s="35"/>
      <c r="E47" s="39">
        <v>123456</v>
      </c>
      <c r="F47" s="38" t="s">
        <v>53</v>
      </c>
      <c r="G47" s="68">
        <v>7.7770000000000001</v>
      </c>
      <c r="H47" s="36">
        <v>0</v>
      </c>
      <c r="I47" s="36">
        <v>0</v>
      </c>
      <c r="J47" s="23">
        <f>SUM(H47:I47)</f>
        <v>0</v>
      </c>
    </row>
    <row r="48" spans="2:11" x14ac:dyDescent="0.2">
      <c r="B48" s="35"/>
      <c r="C48" s="35"/>
      <c r="D48" s="35"/>
      <c r="E48" s="39">
        <v>123456</v>
      </c>
      <c r="F48" s="38" t="s">
        <v>54</v>
      </c>
      <c r="G48" s="68">
        <v>7.7770000000000001</v>
      </c>
      <c r="H48" s="36">
        <v>0</v>
      </c>
      <c r="I48" s="36">
        <v>0</v>
      </c>
      <c r="J48" s="23">
        <f>SUM(H48:I48)</f>
        <v>0</v>
      </c>
    </row>
    <row r="49" spans="1:11" x14ac:dyDescent="0.2">
      <c r="B49" s="35"/>
      <c r="C49" s="35"/>
      <c r="D49" s="35"/>
      <c r="E49" s="39">
        <v>123456</v>
      </c>
      <c r="F49" s="38" t="s">
        <v>55</v>
      </c>
      <c r="G49" s="68">
        <v>7.7770000000000001</v>
      </c>
      <c r="H49" s="36">
        <v>0</v>
      </c>
      <c r="I49" s="36">
        <v>0</v>
      </c>
      <c r="J49" s="23">
        <f>SUM(H49:I49)</f>
        <v>0</v>
      </c>
    </row>
    <row r="50" spans="1:11" x14ac:dyDescent="0.2">
      <c r="B50" s="35"/>
      <c r="C50" s="35"/>
      <c r="D50" s="35"/>
      <c r="E50" s="36"/>
      <c r="F50" s="38"/>
      <c r="G50" s="66"/>
      <c r="H50" s="36"/>
      <c r="I50" s="36"/>
    </row>
    <row r="51" spans="1:11" x14ac:dyDescent="0.2">
      <c r="B51" s="35">
        <v>8</v>
      </c>
      <c r="C51" s="35">
        <v>100</v>
      </c>
      <c r="D51" s="37" t="s">
        <v>35</v>
      </c>
      <c r="E51" s="35"/>
      <c r="F51" s="37" t="s">
        <v>36</v>
      </c>
      <c r="G51" s="70">
        <v>888.8</v>
      </c>
      <c r="H51" s="36"/>
      <c r="I51" s="36"/>
      <c r="J51" s="24"/>
      <c r="K51" s="26">
        <f>IF(COUNTA(J52:J55)&lt;3,0,IF(COUNTA(J52:J55)=3,SUM(J52:J55),IF(SUM(J52:J55)&gt;0,SUM(J52:J55)-MINA(J52:J55),0)))</f>
        <v>0</v>
      </c>
    </row>
    <row r="52" spans="1:11" x14ac:dyDescent="0.2">
      <c r="B52" s="35"/>
      <c r="C52" s="35"/>
      <c r="D52" s="35"/>
      <c r="E52" s="39">
        <v>123456</v>
      </c>
      <c r="F52" s="38" t="s">
        <v>52</v>
      </c>
      <c r="G52" s="68">
        <v>7.7770000000000001</v>
      </c>
      <c r="H52" s="36">
        <v>0</v>
      </c>
      <c r="I52" s="36">
        <v>0</v>
      </c>
      <c r="J52" s="23">
        <f>SUM(H52:I52)</f>
        <v>0</v>
      </c>
    </row>
    <row r="53" spans="1:11" x14ac:dyDescent="0.2">
      <c r="B53" s="35"/>
      <c r="C53" s="35"/>
      <c r="D53" s="35"/>
      <c r="E53" s="39">
        <v>123456</v>
      </c>
      <c r="F53" s="38" t="s">
        <v>53</v>
      </c>
      <c r="G53" s="68">
        <v>7.7770000000000001</v>
      </c>
      <c r="H53" s="36">
        <v>0</v>
      </c>
      <c r="I53" s="36">
        <v>0</v>
      </c>
      <c r="J53" s="23">
        <f>SUM(H53:I53)</f>
        <v>0</v>
      </c>
    </row>
    <row r="54" spans="1:11" x14ac:dyDescent="0.2">
      <c r="B54" s="35"/>
      <c r="C54" s="35"/>
      <c r="D54" s="35"/>
      <c r="E54" s="39">
        <v>123456</v>
      </c>
      <c r="F54" s="38" t="s">
        <v>54</v>
      </c>
      <c r="G54" s="68">
        <v>7.7770000000000001</v>
      </c>
      <c r="H54" s="36">
        <v>0</v>
      </c>
      <c r="I54" s="36">
        <v>0</v>
      </c>
      <c r="J54" s="23">
        <f>SUM(H54:I54)</f>
        <v>0</v>
      </c>
    </row>
    <row r="55" spans="1:11" x14ac:dyDescent="0.2">
      <c r="B55" s="35"/>
      <c r="C55" s="35"/>
      <c r="D55" s="35"/>
      <c r="E55" s="39">
        <v>123456</v>
      </c>
      <c r="F55" s="38" t="s">
        <v>55</v>
      </c>
      <c r="G55" s="68">
        <v>7.7770000000000001</v>
      </c>
      <c r="H55" s="36">
        <v>0</v>
      </c>
      <c r="I55" s="36">
        <v>0</v>
      </c>
      <c r="J55" s="23">
        <f>SUM(H55:I55)</f>
        <v>0</v>
      </c>
    </row>
    <row r="56" spans="1:11" x14ac:dyDescent="0.2">
      <c r="B56" s="35"/>
      <c r="C56" s="35"/>
      <c r="D56" s="35"/>
      <c r="E56" s="36"/>
      <c r="F56" s="38"/>
      <c r="G56" s="66"/>
      <c r="H56" s="36"/>
      <c r="I56" s="36"/>
    </row>
    <row r="57" spans="1:11" x14ac:dyDescent="0.2">
      <c r="B57" s="35">
        <v>9</v>
      </c>
      <c r="C57" s="35">
        <v>100</v>
      </c>
      <c r="D57" s="37" t="s">
        <v>33</v>
      </c>
      <c r="E57" s="35"/>
      <c r="F57" s="37" t="s">
        <v>34</v>
      </c>
      <c r="G57" s="70">
        <v>888.8</v>
      </c>
      <c r="H57" s="36"/>
      <c r="I57" s="36"/>
      <c r="J57" s="24"/>
      <c r="K57" s="26">
        <f>IF(COUNTA(J58:J61)&lt;3,0,IF(COUNTA(J58:J61)=3,SUM(J58:J61),IF(SUM(J58:J61)&gt;0,SUM(J58:J61)-MINA(J58:J61),0)))</f>
        <v>0</v>
      </c>
    </row>
    <row r="58" spans="1:11" x14ac:dyDescent="0.2">
      <c r="B58" s="35"/>
      <c r="C58" s="35"/>
      <c r="D58" s="35"/>
      <c r="E58" s="39">
        <v>123456</v>
      </c>
      <c r="F58" s="38" t="s">
        <v>52</v>
      </c>
      <c r="G58" s="68">
        <v>7.7770000000000001</v>
      </c>
      <c r="H58" s="36">
        <v>0</v>
      </c>
      <c r="I58" s="36">
        <v>0</v>
      </c>
      <c r="J58" s="23">
        <f>SUM(H58:I58)</f>
        <v>0</v>
      </c>
    </row>
    <row r="59" spans="1:11" x14ac:dyDescent="0.2">
      <c r="B59" s="35"/>
      <c r="C59" s="35"/>
      <c r="D59" s="35"/>
      <c r="E59" s="39">
        <v>123456</v>
      </c>
      <c r="F59" s="38" t="s">
        <v>53</v>
      </c>
      <c r="G59" s="68">
        <v>7.7770000000000001</v>
      </c>
      <c r="H59" s="36">
        <v>0</v>
      </c>
      <c r="I59" s="36">
        <v>0</v>
      </c>
      <c r="J59" s="23">
        <f>SUM(H59:I59)</f>
        <v>0</v>
      </c>
    </row>
    <row r="60" spans="1:11" x14ac:dyDescent="0.2">
      <c r="B60" s="35"/>
      <c r="C60" s="35"/>
      <c r="D60" s="35"/>
      <c r="E60" s="39">
        <v>123456</v>
      </c>
      <c r="F60" s="38" t="s">
        <v>54</v>
      </c>
      <c r="G60" s="68">
        <v>7.7770000000000001</v>
      </c>
      <c r="H60" s="36">
        <v>0</v>
      </c>
      <c r="I60" s="36">
        <v>0</v>
      </c>
      <c r="J60" s="23">
        <f>SUM(H60:I60)</f>
        <v>0</v>
      </c>
    </row>
    <row r="61" spans="1:11" x14ac:dyDescent="0.2">
      <c r="B61" s="35"/>
      <c r="C61" s="35"/>
      <c r="D61" s="35"/>
      <c r="E61" s="39">
        <v>123456</v>
      </c>
      <c r="F61" s="38" t="s">
        <v>55</v>
      </c>
      <c r="G61" s="68">
        <v>7.7770000000000001</v>
      </c>
      <c r="H61" s="36">
        <v>0</v>
      </c>
      <c r="I61" s="36">
        <v>0</v>
      </c>
      <c r="J61" s="23">
        <f>SUM(H61:I61)</f>
        <v>0</v>
      </c>
    </row>
    <row r="62" spans="1:11" ht="15" x14ac:dyDescent="0.2">
      <c r="A62"/>
      <c r="B62"/>
      <c r="C62"/>
      <c r="D62"/>
      <c r="E62"/>
      <c r="F62"/>
      <c r="G62" s="67"/>
      <c r="H62" s="36"/>
      <c r="I62" s="36"/>
      <c r="J62"/>
      <c r="K62"/>
    </row>
    <row r="63" spans="1:11" x14ac:dyDescent="0.2">
      <c r="B63" s="35">
        <v>10</v>
      </c>
      <c r="C63" s="35">
        <v>100</v>
      </c>
      <c r="D63" s="37" t="s">
        <v>31</v>
      </c>
      <c r="E63" s="35"/>
      <c r="F63" s="37" t="s">
        <v>32</v>
      </c>
      <c r="G63" s="70">
        <v>888.8</v>
      </c>
      <c r="H63" s="36"/>
      <c r="I63" s="36"/>
      <c r="J63" s="24"/>
      <c r="K63" s="26">
        <f>IF(COUNTA(J64:J67)&lt;3,0,IF(COUNTA(J64:J67)=3,SUM(J64:J67),IF(SUM(J64:J67)&gt;0,SUM(J64:J67)-MINA(J64:J67),0)))</f>
        <v>0</v>
      </c>
    </row>
    <row r="64" spans="1:11" x14ac:dyDescent="0.2">
      <c r="B64" s="35"/>
      <c r="C64" s="35"/>
      <c r="D64" s="35"/>
      <c r="E64" s="39">
        <v>123456</v>
      </c>
      <c r="F64" s="38" t="s">
        <v>52</v>
      </c>
      <c r="G64" s="68">
        <v>7.7770000000000001</v>
      </c>
      <c r="H64" s="36">
        <v>0</v>
      </c>
      <c r="I64" s="36">
        <v>0</v>
      </c>
      <c r="J64" s="23">
        <f>SUM(H64:I64)</f>
        <v>0</v>
      </c>
    </row>
    <row r="65" spans="2:11" x14ac:dyDescent="0.2">
      <c r="B65" s="35"/>
      <c r="C65" s="35"/>
      <c r="D65" s="35"/>
      <c r="E65" s="39">
        <v>123456</v>
      </c>
      <c r="F65" s="38" t="s">
        <v>53</v>
      </c>
      <c r="G65" s="68">
        <v>7.7770000000000001</v>
      </c>
      <c r="H65" s="36">
        <v>0</v>
      </c>
      <c r="I65" s="36">
        <v>0</v>
      </c>
      <c r="J65" s="23">
        <f>SUM(H65:I65)</f>
        <v>0</v>
      </c>
    </row>
    <row r="66" spans="2:11" x14ac:dyDescent="0.2">
      <c r="B66" s="35"/>
      <c r="C66" s="35"/>
      <c r="D66" s="35"/>
      <c r="E66" s="39">
        <v>123456</v>
      </c>
      <c r="F66" s="38" t="s">
        <v>54</v>
      </c>
      <c r="G66" s="68">
        <v>7.7770000000000001</v>
      </c>
      <c r="H66" s="36">
        <v>0</v>
      </c>
      <c r="I66" s="36">
        <v>0</v>
      </c>
      <c r="J66" s="23">
        <f>SUM(H66:I66)</f>
        <v>0</v>
      </c>
    </row>
    <row r="67" spans="2:11" x14ac:dyDescent="0.2">
      <c r="B67" s="35"/>
      <c r="C67" s="35"/>
      <c r="D67" s="35"/>
      <c r="E67" s="39">
        <v>123456</v>
      </c>
      <c r="F67" s="38" t="s">
        <v>55</v>
      </c>
      <c r="G67" s="68">
        <v>7.7770000000000001</v>
      </c>
      <c r="H67" s="36">
        <v>0</v>
      </c>
      <c r="I67" s="36">
        <v>0</v>
      </c>
      <c r="J67" s="23">
        <f>SUM(H67:I67)</f>
        <v>0</v>
      </c>
    </row>
    <row r="68" spans="2:11" x14ac:dyDescent="0.2">
      <c r="H68" s="36"/>
      <c r="I68" s="36"/>
    </row>
    <row r="69" spans="2:11" x14ac:dyDescent="0.2">
      <c r="B69" s="35">
        <v>11</v>
      </c>
      <c r="C69" s="35">
        <v>100</v>
      </c>
      <c r="D69" s="37" t="s">
        <v>30</v>
      </c>
      <c r="E69" s="35"/>
      <c r="F69" s="37" t="s">
        <v>29</v>
      </c>
      <c r="G69" s="70">
        <v>888.8</v>
      </c>
      <c r="H69" s="36"/>
      <c r="I69" s="36"/>
      <c r="J69" s="24"/>
      <c r="K69" s="26">
        <f>IF(COUNTA(J70:J73)&lt;3,0,IF(COUNTA(J70:J73)=3,SUM(J70:J73),IF(SUM(J70:J73)&gt;0,SUM(J70:J73)-MINA(J70:J73),0)))</f>
        <v>0</v>
      </c>
    </row>
    <row r="70" spans="2:11" x14ac:dyDescent="0.2">
      <c r="B70" s="35"/>
      <c r="C70" s="35"/>
      <c r="D70" s="35"/>
      <c r="E70" s="39">
        <v>123456</v>
      </c>
      <c r="F70" s="38" t="s">
        <v>52</v>
      </c>
      <c r="G70" s="68">
        <v>7.7770000000000001</v>
      </c>
      <c r="H70" s="36">
        <v>0</v>
      </c>
      <c r="I70" s="36">
        <v>0</v>
      </c>
      <c r="J70" s="23">
        <f>SUM(H70:I70)</f>
        <v>0</v>
      </c>
    </row>
    <row r="71" spans="2:11" x14ac:dyDescent="0.2">
      <c r="B71" s="35"/>
      <c r="C71" s="35"/>
      <c r="D71" s="35"/>
      <c r="E71" s="39">
        <v>123456</v>
      </c>
      <c r="F71" s="38" t="s">
        <v>53</v>
      </c>
      <c r="G71" s="68">
        <v>7.7770000000000001</v>
      </c>
      <c r="H71" s="36">
        <v>0</v>
      </c>
      <c r="I71" s="36">
        <v>0</v>
      </c>
      <c r="J71" s="23">
        <f>SUM(H71:I71)</f>
        <v>0</v>
      </c>
    </row>
    <row r="72" spans="2:11" x14ac:dyDescent="0.2">
      <c r="B72" s="35"/>
      <c r="C72" s="35"/>
      <c r="D72" s="35"/>
      <c r="E72" s="39">
        <v>123456</v>
      </c>
      <c r="F72" s="38" t="s">
        <v>54</v>
      </c>
      <c r="G72" s="68">
        <v>7.7770000000000001</v>
      </c>
      <c r="H72" s="36">
        <v>0</v>
      </c>
      <c r="I72" s="36">
        <v>0</v>
      </c>
      <c r="J72" s="23">
        <f>SUM(H72:I72)</f>
        <v>0</v>
      </c>
    </row>
    <row r="73" spans="2:11" x14ac:dyDescent="0.2">
      <c r="B73" s="35"/>
      <c r="C73" s="35"/>
      <c r="D73" s="35"/>
      <c r="E73" s="39">
        <v>123456</v>
      </c>
      <c r="F73" s="38" t="s">
        <v>55</v>
      </c>
      <c r="G73" s="68">
        <v>7.7770000000000001</v>
      </c>
      <c r="H73" s="36">
        <v>0</v>
      </c>
      <c r="I73" s="36">
        <v>0</v>
      </c>
      <c r="J73" s="23">
        <f>SUM(H73:I73)</f>
        <v>0</v>
      </c>
    </row>
    <row r="74" spans="2:11" x14ac:dyDescent="0.2">
      <c r="H74" s="36"/>
      <c r="I74" s="36"/>
    </row>
    <row r="75" spans="2:11" x14ac:dyDescent="0.2">
      <c r="B75" s="35">
        <v>12</v>
      </c>
      <c r="C75" s="35">
        <v>100</v>
      </c>
      <c r="D75" s="37" t="s">
        <v>27</v>
      </c>
      <c r="E75" s="35"/>
      <c r="F75" s="37" t="s">
        <v>28</v>
      </c>
      <c r="G75" s="70">
        <v>888.8</v>
      </c>
      <c r="H75" s="36"/>
      <c r="I75" s="36"/>
      <c r="J75" s="24"/>
      <c r="K75" s="26">
        <f>IF(COUNTA(J76:J79)&lt;3,0,IF(COUNTA(J76:J79)=3,SUM(J76:J79),IF(SUM(J76:J79)&gt;0,SUM(J76:J79)-MINA(J76:J79),0)))</f>
        <v>0</v>
      </c>
    </row>
    <row r="76" spans="2:11" x14ac:dyDescent="0.2">
      <c r="B76" s="35"/>
      <c r="C76" s="35"/>
      <c r="D76" s="35"/>
      <c r="E76" s="39">
        <v>123456</v>
      </c>
      <c r="F76" s="38" t="s">
        <v>52</v>
      </c>
      <c r="G76" s="68">
        <v>7.7770000000000001</v>
      </c>
      <c r="H76" s="36">
        <v>0</v>
      </c>
      <c r="I76" s="36">
        <v>0</v>
      </c>
      <c r="J76" s="23">
        <f>SUM(H76:I76)</f>
        <v>0</v>
      </c>
    </row>
    <row r="77" spans="2:11" x14ac:dyDescent="0.2">
      <c r="B77" s="35"/>
      <c r="C77" s="35"/>
      <c r="D77" s="35"/>
      <c r="E77" s="39">
        <v>123456</v>
      </c>
      <c r="F77" s="38" t="s">
        <v>53</v>
      </c>
      <c r="G77" s="68">
        <v>7.7770000000000001</v>
      </c>
      <c r="H77" s="36">
        <v>0</v>
      </c>
      <c r="I77" s="36">
        <v>0</v>
      </c>
      <c r="J77" s="23">
        <f>SUM(H77:I77)</f>
        <v>0</v>
      </c>
    </row>
    <row r="78" spans="2:11" x14ac:dyDescent="0.2">
      <c r="B78" s="35"/>
      <c r="C78" s="35"/>
      <c r="D78" s="35"/>
      <c r="E78" s="39">
        <v>123456</v>
      </c>
      <c r="F78" s="38" t="s">
        <v>54</v>
      </c>
      <c r="G78" s="68">
        <v>7.7770000000000001</v>
      </c>
      <c r="H78" s="36">
        <v>0</v>
      </c>
      <c r="I78" s="36">
        <v>0</v>
      </c>
      <c r="J78" s="23">
        <f>SUM(H78:I78)</f>
        <v>0</v>
      </c>
    </row>
    <row r="79" spans="2:11" x14ac:dyDescent="0.2">
      <c r="B79" s="35"/>
      <c r="C79" s="35"/>
      <c r="D79" s="35"/>
      <c r="E79" s="39">
        <v>123456</v>
      </c>
      <c r="F79" s="38" t="s">
        <v>55</v>
      </c>
      <c r="G79" s="68">
        <v>7.7770000000000001</v>
      </c>
      <c r="H79" s="36">
        <v>0</v>
      </c>
      <c r="I79" s="36">
        <v>0</v>
      </c>
      <c r="J79" s="23">
        <f>SUM(H79:I79)</f>
        <v>0</v>
      </c>
    </row>
    <row r="82" spans="2:2" x14ac:dyDescent="0.2">
      <c r="B82" s="71" t="s">
        <v>59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66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X22"/>
  <sheetViews>
    <sheetView defaultGridColor="0" colorId="22" zoomScale="85" zoomScaleNormal="85" workbookViewId="0"/>
  </sheetViews>
  <sheetFormatPr defaultColWidth="0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6.5546875" customWidth="1"/>
    <col min="22" max="22" width="11.5546875" customWidth="1"/>
    <col min="23" max="23" width="4.77734375" customWidth="1"/>
    <col min="24" max="24" width="1.77734375" customWidth="1"/>
    <col min="25" max="16384" width="9.77734375" hidden="1"/>
  </cols>
  <sheetData>
    <row r="1" spans="1:22" ht="73.5" customHeight="1" x14ac:dyDescent="0.2"/>
    <row r="2" spans="1:22" ht="30" customHeight="1" x14ac:dyDescent="0.3">
      <c r="B2" s="154" t="str">
        <f>'Deelnemers en Scores'!B1</f>
        <v>Rayon kampioenschappen Indoor Teams   Rayon 3</v>
      </c>
      <c r="C2" s="155"/>
      <c r="D2" s="155"/>
      <c r="E2" s="155"/>
      <c r="F2" s="155"/>
      <c r="G2" s="155"/>
      <c r="H2" s="155"/>
      <c r="I2" s="155"/>
      <c r="J2" s="156"/>
      <c r="K2" s="157"/>
      <c r="L2" s="157"/>
      <c r="M2" s="155"/>
      <c r="N2" s="158"/>
      <c r="O2" s="159"/>
      <c r="P2" s="156"/>
      <c r="Q2" s="160"/>
      <c r="R2" s="156"/>
      <c r="S2" s="161"/>
    </row>
    <row r="4" spans="1:22" ht="28.5" customHeight="1" x14ac:dyDescent="0.25">
      <c r="B4" s="2" t="str">
        <f>'Deelnemers en Scores'!B4</f>
        <v>Klasse: ???</v>
      </c>
      <c r="E4" s="3"/>
      <c r="O4" s="136" t="s">
        <v>10</v>
      </c>
      <c r="P4" s="133" t="str">
        <f>'Deelnemers en Scores'!D3</f>
        <v>yyyy-mm-dd</v>
      </c>
      <c r="Q4" s="69"/>
      <c r="R4" s="134"/>
      <c r="S4" s="135"/>
    </row>
    <row r="5" spans="1:22" ht="12.95" customHeight="1" x14ac:dyDescent="0.2"/>
    <row r="7" spans="1:22" ht="21" customHeight="1" x14ac:dyDescent="0.25">
      <c r="B7" s="4"/>
      <c r="C7" s="5"/>
      <c r="D7" s="6"/>
      <c r="E7" s="178" t="s">
        <v>45</v>
      </c>
      <c r="F7" s="179"/>
      <c r="G7" s="179"/>
      <c r="H7" s="180"/>
      <c r="I7" s="96"/>
      <c r="J7" s="178" t="s">
        <v>46</v>
      </c>
      <c r="K7" s="179"/>
      <c r="L7" s="179"/>
      <c r="M7" s="180"/>
      <c r="N7" s="96"/>
      <c r="O7" s="178" t="s">
        <v>47</v>
      </c>
      <c r="P7" s="179"/>
      <c r="Q7" s="179"/>
      <c r="R7" s="180"/>
      <c r="S7" s="7"/>
      <c r="U7" s="92" t="s">
        <v>4</v>
      </c>
      <c r="V7" s="94" t="s">
        <v>5</v>
      </c>
    </row>
    <row r="8" spans="1:22" ht="21" customHeight="1" x14ac:dyDescent="0.2">
      <c r="A8" s="1"/>
      <c r="B8" s="8" t="s">
        <v>0</v>
      </c>
      <c r="C8" s="55" t="s">
        <v>14</v>
      </c>
      <c r="D8" s="56" t="s">
        <v>15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  <c r="U8" s="93" t="s">
        <v>6</v>
      </c>
      <c r="V8" s="95" t="s">
        <v>7</v>
      </c>
    </row>
    <row r="9" spans="1:22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97" t="s">
        <v>48</v>
      </c>
      <c r="U9" s="18"/>
      <c r="V9" s="18"/>
    </row>
    <row r="10" spans="1:22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97" t="s">
        <v>49</v>
      </c>
      <c r="U10" s="18"/>
      <c r="V10" s="18"/>
    </row>
    <row r="11" spans="1:22" ht="19.899999999999999" customHeight="1" x14ac:dyDescent="0.2">
      <c r="A11" s="1">
        <f>A10+1</f>
        <v>1</v>
      </c>
      <c r="B11" s="27">
        <f>IF('Deelnemers en Scores'!B9&gt;0,'Deelnemers en Scores'!B9,"")</f>
        <v>1</v>
      </c>
      <c r="C11" s="28" t="str">
        <f>IF('Deelnemers en Scores'!F9="","",'Deelnemers en Scores'!F9)</f>
        <v>Team naam 1</v>
      </c>
      <c r="D11" s="29" t="str">
        <f>'Deelnemers en Scores'!D9</f>
        <v>Vereniging 1</v>
      </c>
      <c r="E11" s="88" t="str">
        <f>IF('Deelnemers en Scores'!H10=0,"",'Deelnemers en Scores'!H10)</f>
        <v/>
      </c>
      <c r="F11" s="88" t="str">
        <f>IF('Deelnemers en Scores'!H11=0,"",'Deelnemers en Scores'!H11)</f>
        <v/>
      </c>
      <c r="G11" s="88" t="str">
        <f>IF('Deelnemers en Scores'!H12=0,"",'Deelnemers en Scores'!H12)</f>
        <v/>
      </c>
      <c r="H11" s="88" t="str">
        <f>IF('Deelnemers en Scores'!H13=0,"",'Deelnemers en Scores'!H13)</f>
        <v/>
      </c>
      <c r="I11" s="30"/>
      <c r="J11" s="88" t="str">
        <f>IF('Deelnemers en Scores'!I10=0,"",'Deelnemers en Scores'!I10)</f>
        <v/>
      </c>
      <c r="K11" s="88" t="str">
        <f>IF('Deelnemers en Scores'!I11=0,"",'Deelnemers en Scores'!I11)</f>
        <v/>
      </c>
      <c r="L11" s="88" t="str">
        <f>IF('Deelnemers en Scores'!I12=0,"",'Deelnemers en Scores'!I12)</f>
        <v/>
      </c>
      <c r="M11" s="88" t="str">
        <f>IF('Deelnemers en Scores'!I13=0,"",'Deelnemers en Scores'!I13)</f>
        <v/>
      </c>
      <c r="N11" s="30"/>
      <c r="O11" s="89" t="str">
        <f t="shared" ref="O11:O22" si="0">IF(ISNUMBER(J11),E11+J11,"")</f>
        <v/>
      </c>
      <c r="P11" s="90" t="str">
        <f t="shared" ref="P11:P22" si="1">IF(ISNUMBER(K11),F11+K11,"")</f>
        <v/>
      </c>
      <c r="Q11" s="90" t="str">
        <f t="shared" ref="Q11:Q22" si="2">IF(ISNUMBER(L11),G11+L11,"")</f>
        <v/>
      </c>
      <c r="R11" s="91" t="str">
        <f t="shared" ref="R11:R22" si="3">IF(ISNUMBER(M11),H11+M11,"")</f>
        <v/>
      </c>
      <c r="S11" s="31">
        <f t="shared" ref="S11:S22" si="4">IF(COUNTA(O11:R11)&lt;3,0,IF(COUNTA(O11:R11)=3,SUM(O11:R11),IF(SUM(O11:R11)&gt;0,SUM(O11:R11)-MINA(O11:R11),0)))</f>
        <v>0</v>
      </c>
      <c r="T11" s="18"/>
      <c r="U11" s="119"/>
      <c r="V11" s="120">
        <f t="shared" ref="V11:V22" si="5">S11+U11</f>
        <v>0</v>
      </c>
    </row>
    <row r="12" spans="1:22" ht="19.899999999999999" customHeight="1" x14ac:dyDescent="0.2">
      <c r="A12" s="1">
        <f t="shared" ref="A12:A22" si="6">A11+1</f>
        <v>2</v>
      </c>
      <c r="B12" s="27">
        <f>IF('Deelnemers en Scores'!B15&gt;0,'Deelnemers en Scores'!B15,"")</f>
        <v>2</v>
      </c>
      <c r="C12" s="28" t="str">
        <f>IF('Deelnemers en Scores'!F15="","",'Deelnemers en Scores'!F15)</f>
        <v>Team naam 2</v>
      </c>
      <c r="D12" s="29" t="str">
        <f>'Deelnemers en Scores'!D15</f>
        <v>Vereniging 2</v>
      </c>
      <c r="E12" s="88" t="str">
        <f>IF('Deelnemers en Scores'!H16=0,"",'Deelnemers en Scores'!H16)</f>
        <v/>
      </c>
      <c r="F12" s="88" t="str">
        <f>IF('Deelnemers en Scores'!H17=0,"",'Deelnemers en Scores'!H17)</f>
        <v/>
      </c>
      <c r="G12" s="88" t="str">
        <f>IF('Deelnemers en Scores'!H18=0,"",'Deelnemers en Scores'!H18)</f>
        <v/>
      </c>
      <c r="H12" s="88" t="str">
        <f>IF('Deelnemers en Scores'!H19=0,"",'Deelnemers en Scores'!H19)</f>
        <v/>
      </c>
      <c r="I12" s="30"/>
      <c r="J12" s="88" t="str">
        <f>IF('Deelnemers en Scores'!I16=0,"",'Deelnemers en Scores'!I16)</f>
        <v/>
      </c>
      <c r="K12" s="88" t="str">
        <f>IF('Deelnemers en Scores'!I17=0,"",'Deelnemers en Scores'!I17)</f>
        <v/>
      </c>
      <c r="L12" s="88" t="str">
        <f>IF('Deelnemers en Scores'!I18=0,"",'Deelnemers en Scores'!I18)</f>
        <v/>
      </c>
      <c r="M12" s="88" t="str">
        <f>IF('Deelnemers en Scores'!I19=0,"",'Deelnemers en Scores'!I19)</f>
        <v/>
      </c>
      <c r="N12" s="30"/>
      <c r="O12" s="89" t="str">
        <f t="shared" si="0"/>
        <v/>
      </c>
      <c r="P12" s="90" t="str">
        <f t="shared" si="1"/>
        <v/>
      </c>
      <c r="Q12" s="90" t="str">
        <f t="shared" si="2"/>
        <v/>
      </c>
      <c r="R12" s="91" t="str">
        <f t="shared" si="3"/>
        <v/>
      </c>
      <c r="S12" s="31">
        <f t="shared" si="4"/>
        <v>0</v>
      </c>
      <c r="T12" s="18"/>
      <c r="U12" s="119"/>
      <c r="V12" s="120">
        <f t="shared" si="5"/>
        <v>0</v>
      </c>
    </row>
    <row r="13" spans="1:22" ht="19.899999999999999" customHeight="1" x14ac:dyDescent="0.2">
      <c r="A13" s="1">
        <f t="shared" si="6"/>
        <v>3</v>
      </c>
      <c r="B13" s="27">
        <f>IF('Deelnemers en Scores'!B21&gt;0,'Deelnemers en Scores'!B21,"")</f>
        <v>3</v>
      </c>
      <c r="C13" s="28" t="str">
        <f>IF('Deelnemers en Scores'!F21="","",'Deelnemers en Scores'!F21)</f>
        <v>Team naam 3</v>
      </c>
      <c r="D13" s="29" t="str">
        <f>'Deelnemers en Scores'!D21</f>
        <v>Vereniging 3</v>
      </c>
      <c r="E13" s="88" t="str">
        <f>IF('Deelnemers en Scores'!H22=0,"",'Deelnemers en Scores'!H22)</f>
        <v/>
      </c>
      <c r="F13" s="88" t="str">
        <f>IF('Deelnemers en Scores'!H23=0,"",'Deelnemers en Scores'!H23)</f>
        <v/>
      </c>
      <c r="G13" s="88" t="str">
        <f>IF('Deelnemers en Scores'!H24=0,"",'Deelnemers en Scores'!H24)</f>
        <v/>
      </c>
      <c r="H13" s="88" t="str">
        <f>IF('Deelnemers en Scores'!H25=0,"",'Deelnemers en Scores'!H25)</f>
        <v/>
      </c>
      <c r="I13" s="30"/>
      <c r="J13" s="88" t="str">
        <f>IF('Deelnemers en Scores'!I22=0,"",'Deelnemers en Scores'!I22)</f>
        <v/>
      </c>
      <c r="K13" s="88" t="str">
        <f>IF('Deelnemers en Scores'!I23=0,"",'Deelnemers en Scores'!I23)</f>
        <v/>
      </c>
      <c r="L13" s="88" t="str">
        <f>IF('Deelnemers en Scores'!I24=0,"",'Deelnemers en Scores'!I24)</f>
        <v/>
      </c>
      <c r="M13" s="88" t="str">
        <f>IF('Deelnemers en Scores'!I25=0,"",'Deelnemers en Scores'!I25)</f>
        <v/>
      </c>
      <c r="N13" s="30"/>
      <c r="O13" s="89" t="str">
        <f t="shared" si="0"/>
        <v/>
      </c>
      <c r="P13" s="90" t="str">
        <f t="shared" si="1"/>
        <v/>
      </c>
      <c r="Q13" s="90" t="str">
        <f t="shared" si="2"/>
        <v/>
      </c>
      <c r="R13" s="91" t="str">
        <f t="shared" si="3"/>
        <v/>
      </c>
      <c r="S13" s="31">
        <f t="shared" si="4"/>
        <v>0</v>
      </c>
      <c r="T13" s="18"/>
      <c r="U13" s="119"/>
      <c r="V13" s="120">
        <f t="shared" si="5"/>
        <v>0</v>
      </c>
    </row>
    <row r="14" spans="1:22" ht="19.899999999999999" customHeight="1" x14ac:dyDescent="0.2">
      <c r="A14" s="1">
        <f t="shared" si="6"/>
        <v>4</v>
      </c>
      <c r="B14" s="27">
        <f>IF('Deelnemers en Scores'!B27&gt;0,'Deelnemers en Scores'!B27,"")</f>
        <v>4</v>
      </c>
      <c r="C14" s="28" t="str">
        <f>IF('Deelnemers en Scores'!F27="","",'Deelnemers en Scores'!F27)</f>
        <v>Team naam 4</v>
      </c>
      <c r="D14" s="29" t="str">
        <f>'Deelnemers en Scores'!D27</f>
        <v>Vereniging 4</v>
      </c>
      <c r="E14" s="88" t="str">
        <f>IF('Deelnemers en Scores'!H28=0,"",'Deelnemers en Scores'!H28)</f>
        <v/>
      </c>
      <c r="F14" s="88" t="str">
        <f>IF('Deelnemers en Scores'!H29=0,"",'Deelnemers en Scores'!H29)</f>
        <v/>
      </c>
      <c r="G14" s="88" t="str">
        <f>IF('Deelnemers en Scores'!H30=0,"",'Deelnemers en Scores'!H30)</f>
        <v/>
      </c>
      <c r="H14" s="88" t="str">
        <f>IF('Deelnemers en Scores'!H31=0,"",'Deelnemers en Scores'!H31)</f>
        <v/>
      </c>
      <c r="I14" s="30"/>
      <c r="J14" s="88" t="str">
        <f>IF('Deelnemers en Scores'!I28=0,"",'Deelnemers en Scores'!I28)</f>
        <v/>
      </c>
      <c r="K14" s="88" t="str">
        <f>IF('Deelnemers en Scores'!I29=0,"",'Deelnemers en Scores'!I29)</f>
        <v/>
      </c>
      <c r="L14" s="88" t="str">
        <f>IF('Deelnemers en Scores'!I30=0,"",'Deelnemers en Scores'!I30)</f>
        <v/>
      </c>
      <c r="M14" s="88" t="str">
        <f>IF('Deelnemers en Scores'!I31=0,"",'Deelnemers en Scores'!I31)</f>
        <v/>
      </c>
      <c r="N14" s="30"/>
      <c r="O14" s="89" t="str">
        <f t="shared" si="0"/>
        <v/>
      </c>
      <c r="P14" s="90" t="str">
        <f t="shared" si="1"/>
        <v/>
      </c>
      <c r="Q14" s="90" t="str">
        <f t="shared" si="2"/>
        <v/>
      </c>
      <c r="R14" s="91" t="str">
        <f t="shared" si="3"/>
        <v/>
      </c>
      <c r="S14" s="31">
        <f t="shared" si="4"/>
        <v>0</v>
      </c>
      <c r="T14" s="18"/>
      <c r="U14" s="119"/>
      <c r="V14" s="120">
        <f t="shared" si="5"/>
        <v>0</v>
      </c>
    </row>
    <row r="15" spans="1:22" ht="19.899999999999999" customHeight="1" x14ac:dyDescent="0.2">
      <c r="A15" s="1">
        <f t="shared" si="6"/>
        <v>5</v>
      </c>
      <c r="B15" s="27">
        <f>IF('Deelnemers en Scores'!B33&gt;0,'Deelnemers en Scores'!B33,"")</f>
        <v>5</v>
      </c>
      <c r="C15" s="28" t="str">
        <f>IF('Deelnemers en Scores'!F33="","",'Deelnemers en Scores'!F33)</f>
        <v>Team naam 5</v>
      </c>
      <c r="D15" s="29" t="str">
        <f>'Deelnemers en Scores'!D33</f>
        <v>Vereniging 5</v>
      </c>
      <c r="E15" s="88" t="str">
        <f>IF('Deelnemers en Scores'!H34=0,"",'Deelnemers en Scores'!H34)</f>
        <v/>
      </c>
      <c r="F15" s="88" t="str">
        <f>IF('Deelnemers en Scores'!H35=0,"",'Deelnemers en Scores'!H35)</f>
        <v/>
      </c>
      <c r="G15" s="88" t="str">
        <f>IF('Deelnemers en Scores'!H36=0,"",'Deelnemers en Scores'!H36)</f>
        <v/>
      </c>
      <c r="H15" s="88" t="str">
        <f>IF('Deelnemers en Scores'!H37=0,"",'Deelnemers en Scores'!H37)</f>
        <v/>
      </c>
      <c r="I15" s="30"/>
      <c r="J15" s="88" t="str">
        <f>IF('Deelnemers en Scores'!I34=0,"",'Deelnemers en Scores'!I34)</f>
        <v/>
      </c>
      <c r="K15" s="88" t="str">
        <f>IF('Deelnemers en Scores'!I35=0,"",'Deelnemers en Scores'!I35)</f>
        <v/>
      </c>
      <c r="L15" s="88" t="str">
        <f>IF('Deelnemers en Scores'!I36=0,"",'Deelnemers en Scores'!I36)</f>
        <v/>
      </c>
      <c r="M15" s="88" t="str">
        <f>IF('Deelnemers en Scores'!I37=0,"",'Deelnemers en Scores'!I37)</f>
        <v/>
      </c>
      <c r="N15" s="30"/>
      <c r="O15" s="89" t="str">
        <f t="shared" si="0"/>
        <v/>
      </c>
      <c r="P15" s="90" t="str">
        <f t="shared" si="1"/>
        <v/>
      </c>
      <c r="Q15" s="90" t="str">
        <f t="shared" si="2"/>
        <v/>
      </c>
      <c r="R15" s="91" t="str">
        <f t="shared" si="3"/>
        <v/>
      </c>
      <c r="S15" s="31">
        <f t="shared" si="4"/>
        <v>0</v>
      </c>
      <c r="T15" s="18"/>
      <c r="U15" s="119"/>
      <c r="V15" s="120">
        <f t="shared" si="5"/>
        <v>0</v>
      </c>
    </row>
    <row r="16" spans="1:22" ht="19.899999999999999" customHeight="1" x14ac:dyDescent="0.2">
      <c r="A16" s="1">
        <f t="shared" si="6"/>
        <v>6</v>
      </c>
      <c r="B16" s="27">
        <f>IF('Deelnemers en Scores'!B39&gt;0,'Deelnemers en Scores'!B39,"")</f>
        <v>6</v>
      </c>
      <c r="C16" s="28" t="str">
        <f>IF('Deelnemers en Scores'!F39="","",'Deelnemers en Scores'!F39)</f>
        <v>Team naam 6</v>
      </c>
      <c r="D16" s="29" t="str">
        <f>'Deelnemers en Scores'!D39</f>
        <v>Vereniging 6</v>
      </c>
      <c r="E16" s="88" t="str">
        <f>IF('Deelnemers en Scores'!H40=0,"",'Deelnemers en Scores'!H40)</f>
        <v/>
      </c>
      <c r="F16" s="88" t="str">
        <f>IF('Deelnemers en Scores'!H41=0,"",'Deelnemers en Scores'!H41)</f>
        <v/>
      </c>
      <c r="G16" s="88" t="str">
        <f>IF('Deelnemers en Scores'!H42=0,"",'Deelnemers en Scores'!H42)</f>
        <v/>
      </c>
      <c r="H16" s="88" t="str">
        <f>IF('Deelnemers en Scores'!H43=0,"",'Deelnemers en Scores'!H43)</f>
        <v/>
      </c>
      <c r="I16" s="30"/>
      <c r="J16" s="88" t="str">
        <f>IF('Deelnemers en Scores'!I40=0,"",'Deelnemers en Scores'!I40)</f>
        <v/>
      </c>
      <c r="K16" s="88" t="str">
        <f>IF('Deelnemers en Scores'!I41=0,"",'Deelnemers en Scores'!I41)</f>
        <v/>
      </c>
      <c r="L16" s="88" t="str">
        <f>IF('Deelnemers en Scores'!I42=0,"",'Deelnemers en Scores'!I42)</f>
        <v/>
      </c>
      <c r="M16" s="88" t="str">
        <f>IF('Deelnemers en Scores'!I43=0,"",'Deelnemers en Scores'!I43)</f>
        <v/>
      </c>
      <c r="N16" s="30"/>
      <c r="O16" s="89" t="str">
        <f t="shared" si="0"/>
        <v/>
      </c>
      <c r="P16" s="90" t="str">
        <f t="shared" si="1"/>
        <v/>
      </c>
      <c r="Q16" s="90" t="str">
        <f t="shared" si="2"/>
        <v/>
      </c>
      <c r="R16" s="91" t="str">
        <f t="shared" si="3"/>
        <v/>
      </c>
      <c r="S16" s="31">
        <f t="shared" si="4"/>
        <v>0</v>
      </c>
      <c r="T16" s="18"/>
      <c r="U16" s="119"/>
      <c r="V16" s="120">
        <f t="shared" si="5"/>
        <v>0</v>
      </c>
    </row>
    <row r="17" spans="1:22" ht="19.899999999999999" customHeight="1" x14ac:dyDescent="0.2">
      <c r="A17" s="1">
        <f t="shared" si="6"/>
        <v>7</v>
      </c>
      <c r="B17" s="27">
        <f>IF('Deelnemers en Scores'!B45&gt;0,'Deelnemers en Scores'!B45,"")</f>
        <v>7</v>
      </c>
      <c r="C17" s="28" t="str">
        <f>IF('Deelnemers en Scores'!F45="","",'Deelnemers en Scores'!F45)</f>
        <v>Team naam 7</v>
      </c>
      <c r="D17" s="29" t="str">
        <f>'Deelnemers en Scores'!D45</f>
        <v>Vereniging 7</v>
      </c>
      <c r="E17" s="88" t="str">
        <f>IF('Deelnemers en Scores'!H46=0,"",'Deelnemers en Scores'!H46)</f>
        <v/>
      </c>
      <c r="F17" s="88" t="str">
        <f>IF('Deelnemers en Scores'!H47=0,"",'Deelnemers en Scores'!H47)</f>
        <v/>
      </c>
      <c r="G17" s="88" t="str">
        <f>IF('Deelnemers en Scores'!H48=0,"",'Deelnemers en Scores'!H48)</f>
        <v/>
      </c>
      <c r="H17" s="88" t="str">
        <f>IF('Deelnemers en Scores'!H49=0,"",'Deelnemers en Scores'!H49)</f>
        <v/>
      </c>
      <c r="I17" s="30"/>
      <c r="J17" s="88" t="str">
        <f>IF('Deelnemers en Scores'!I46=0,"",'Deelnemers en Scores'!I46)</f>
        <v/>
      </c>
      <c r="K17" s="88" t="str">
        <f>IF('Deelnemers en Scores'!I47=0,"",'Deelnemers en Scores'!I47)</f>
        <v/>
      </c>
      <c r="L17" s="88" t="str">
        <f>IF('Deelnemers en Scores'!I48=0,"",'Deelnemers en Scores'!I48)</f>
        <v/>
      </c>
      <c r="M17" s="88" t="str">
        <f>IF('Deelnemers en Scores'!I49=0,"",'Deelnemers en Scores'!I49)</f>
        <v/>
      </c>
      <c r="N17" s="30"/>
      <c r="O17" s="89" t="str">
        <f t="shared" si="0"/>
        <v/>
      </c>
      <c r="P17" s="90" t="str">
        <f t="shared" si="1"/>
        <v/>
      </c>
      <c r="Q17" s="90" t="str">
        <f t="shared" si="2"/>
        <v/>
      </c>
      <c r="R17" s="91" t="str">
        <f t="shared" si="3"/>
        <v/>
      </c>
      <c r="S17" s="31">
        <f t="shared" si="4"/>
        <v>0</v>
      </c>
      <c r="T17" s="18"/>
      <c r="U17" s="119"/>
      <c r="V17" s="120">
        <f t="shared" si="5"/>
        <v>0</v>
      </c>
    </row>
    <row r="18" spans="1:22" ht="19.899999999999999" customHeight="1" x14ac:dyDescent="0.2">
      <c r="A18" s="1">
        <f t="shared" si="6"/>
        <v>8</v>
      </c>
      <c r="B18" s="27">
        <f>IF('Deelnemers en Scores'!B51&gt;0,'Deelnemers en Scores'!B51,"")</f>
        <v>8</v>
      </c>
      <c r="C18" s="28" t="str">
        <f>IF('Deelnemers en Scores'!F51="","",'Deelnemers en Scores'!F51)</f>
        <v>Team naam 8</v>
      </c>
      <c r="D18" s="29" t="str">
        <f>'Deelnemers en Scores'!D51</f>
        <v>Vereniging 8</v>
      </c>
      <c r="E18" s="88" t="str">
        <f>IF('Deelnemers en Scores'!H52=0,"",'Deelnemers en Scores'!H52)</f>
        <v/>
      </c>
      <c r="F18" s="88" t="str">
        <f>IF('Deelnemers en Scores'!H53=0,"",'Deelnemers en Scores'!H53)</f>
        <v/>
      </c>
      <c r="G18" s="88" t="str">
        <f>IF('Deelnemers en Scores'!H54=0,"",'Deelnemers en Scores'!H54)</f>
        <v/>
      </c>
      <c r="H18" s="88" t="str">
        <f>IF('Deelnemers en Scores'!H55=0,"",'Deelnemers en Scores'!H55)</f>
        <v/>
      </c>
      <c r="I18" s="30"/>
      <c r="J18" s="88" t="str">
        <f>IF('Deelnemers en Scores'!I52=0,"",'Deelnemers en Scores'!I52)</f>
        <v/>
      </c>
      <c r="K18" s="88" t="str">
        <f>IF('Deelnemers en Scores'!I53=0,"",'Deelnemers en Scores'!I53)</f>
        <v/>
      </c>
      <c r="L18" s="88" t="str">
        <f>IF('Deelnemers en Scores'!I54=0,"",'Deelnemers en Scores'!I54)</f>
        <v/>
      </c>
      <c r="M18" s="88" t="str">
        <f>IF('Deelnemers en Scores'!I55=0,"",'Deelnemers en Scores'!I55)</f>
        <v/>
      </c>
      <c r="N18" s="30"/>
      <c r="O18" s="89" t="str">
        <f t="shared" si="0"/>
        <v/>
      </c>
      <c r="P18" s="90" t="str">
        <f t="shared" si="1"/>
        <v/>
      </c>
      <c r="Q18" s="90" t="str">
        <f t="shared" si="2"/>
        <v/>
      </c>
      <c r="R18" s="91" t="str">
        <f t="shared" si="3"/>
        <v/>
      </c>
      <c r="S18" s="31">
        <f t="shared" si="4"/>
        <v>0</v>
      </c>
      <c r="T18" s="18"/>
      <c r="U18" s="119"/>
      <c r="V18" s="120">
        <f t="shared" si="5"/>
        <v>0</v>
      </c>
    </row>
    <row r="19" spans="1:22" ht="20.25" customHeight="1" x14ac:dyDescent="0.2">
      <c r="A19" s="1">
        <f t="shared" si="6"/>
        <v>9</v>
      </c>
      <c r="B19" s="27">
        <f>IF('Deelnemers en Scores'!B57&gt;0,'Deelnemers en Scores'!B57,"")</f>
        <v>9</v>
      </c>
      <c r="C19" s="28" t="str">
        <f>IF('Deelnemers en Scores'!F57="","",'Deelnemers en Scores'!F57)</f>
        <v>Team naam 9</v>
      </c>
      <c r="D19" s="29" t="str">
        <f>'Deelnemers en Scores'!D57</f>
        <v>Vereniging 9</v>
      </c>
      <c r="E19" s="88" t="str">
        <f>IF('Deelnemers en Scores'!H58=0,"",'Deelnemers en Scores'!H58)</f>
        <v/>
      </c>
      <c r="F19" s="88" t="str">
        <f>IF('Deelnemers en Scores'!H59=0,"",'Deelnemers en Scores'!H59)</f>
        <v/>
      </c>
      <c r="G19" s="88" t="str">
        <f>IF('Deelnemers en Scores'!H60=0,"",'Deelnemers en Scores'!H60)</f>
        <v/>
      </c>
      <c r="H19" s="88" t="str">
        <f>IF('Deelnemers en Scores'!H61=0,"",'Deelnemers en Scores'!H61)</f>
        <v/>
      </c>
      <c r="I19" s="30"/>
      <c r="J19" s="88" t="str">
        <f>IF('Deelnemers en Scores'!I58=0,"",'Deelnemers en Scores'!I58)</f>
        <v/>
      </c>
      <c r="K19" s="88" t="str">
        <f>IF('Deelnemers en Scores'!I59=0,"",'Deelnemers en Scores'!I59)</f>
        <v/>
      </c>
      <c r="L19" s="88" t="str">
        <f>IF('Deelnemers en Scores'!I60=0,"",'Deelnemers en Scores'!I60)</f>
        <v/>
      </c>
      <c r="M19" s="88" t="str">
        <f>IF('Deelnemers en Scores'!I61=0,"",'Deelnemers en Scores'!I61)</f>
        <v/>
      </c>
      <c r="N19" s="30"/>
      <c r="O19" s="89" t="str">
        <f t="shared" si="0"/>
        <v/>
      </c>
      <c r="P19" s="90" t="str">
        <f t="shared" si="1"/>
        <v/>
      </c>
      <c r="Q19" s="90" t="str">
        <f t="shared" si="2"/>
        <v/>
      </c>
      <c r="R19" s="91" t="str">
        <f t="shared" si="3"/>
        <v/>
      </c>
      <c r="S19" s="31">
        <f t="shared" si="4"/>
        <v>0</v>
      </c>
      <c r="T19" s="18"/>
      <c r="U19" s="119"/>
      <c r="V19" s="120">
        <f t="shared" si="5"/>
        <v>0</v>
      </c>
    </row>
    <row r="20" spans="1:22" ht="20.25" customHeight="1" x14ac:dyDescent="0.2">
      <c r="A20" s="1">
        <f t="shared" si="6"/>
        <v>10</v>
      </c>
      <c r="B20" s="27">
        <f>IF('Deelnemers en Scores'!B63&gt;0,'Deelnemers en Scores'!B63,"")</f>
        <v>10</v>
      </c>
      <c r="C20" s="28" t="str">
        <f>IF('Deelnemers en Scores'!F63="","",'Deelnemers en Scores'!F63)</f>
        <v>Team naam 10</v>
      </c>
      <c r="D20" s="29" t="str">
        <f>'Deelnemers en Scores'!D63</f>
        <v>Vereniging 10</v>
      </c>
      <c r="E20" s="88" t="str">
        <f>IF('Deelnemers en Scores'!H64=0,"",'Deelnemers en Scores'!H64)</f>
        <v/>
      </c>
      <c r="F20" s="88" t="str">
        <f>IF('Deelnemers en Scores'!H65=0,"",'Deelnemers en Scores'!H65)</f>
        <v/>
      </c>
      <c r="G20" s="88" t="str">
        <f>IF('Deelnemers en Scores'!H66=0,"",'Deelnemers en Scores'!H66)</f>
        <v/>
      </c>
      <c r="H20" s="88" t="str">
        <f>IF('Deelnemers en Scores'!H67=0,"",'Deelnemers en Scores'!H67)</f>
        <v/>
      </c>
      <c r="I20" s="30"/>
      <c r="J20" s="88" t="str">
        <f>IF('Deelnemers en Scores'!I64=0,"",'Deelnemers en Scores'!I64)</f>
        <v/>
      </c>
      <c r="K20" s="88" t="str">
        <f>IF('Deelnemers en Scores'!I65=0,"",'Deelnemers en Scores'!I65)</f>
        <v/>
      </c>
      <c r="L20" s="88" t="str">
        <f>IF('Deelnemers en Scores'!I66=0,"",'Deelnemers en Scores'!I66)</f>
        <v/>
      </c>
      <c r="M20" s="88" t="str">
        <f>IF('Deelnemers en Scores'!I67=0,"",'Deelnemers en Scores'!I67)</f>
        <v/>
      </c>
      <c r="N20" s="30"/>
      <c r="O20" s="89" t="str">
        <f t="shared" si="0"/>
        <v/>
      </c>
      <c r="P20" s="90" t="str">
        <f t="shared" si="1"/>
        <v/>
      </c>
      <c r="Q20" s="90" t="str">
        <f t="shared" si="2"/>
        <v/>
      </c>
      <c r="R20" s="91" t="str">
        <f t="shared" si="3"/>
        <v/>
      </c>
      <c r="S20" s="31">
        <f t="shared" si="4"/>
        <v>0</v>
      </c>
      <c r="T20" s="18"/>
      <c r="U20" s="119"/>
      <c r="V20" s="120">
        <f t="shared" si="5"/>
        <v>0</v>
      </c>
    </row>
    <row r="21" spans="1:22" ht="20.25" customHeight="1" x14ac:dyDescent="0.2">
      <c r="A21" s="1">
        <f t="shared" si="6"/>
        <v>11</v>
      </c>
      <c r="B21" s="27">
        <f>IF('Deelnemers en Scores'!B69&gt;0,'Deelnemers en Scores'!B69,"")</f>
        <v>11</v>
      </c>
      <c r="C21" s="28" t="str">
        <f>IF('Deelnemers en Scores'!F69="","",'Deelnemers en Scores'!F69)</f>
        <v>Team naam 11</v>
      </c>
      <c r="D21" s="29" t="str">
        <f>'Deelnemers en Scores'!D69</f>
        <v>Vereniging 11</v>
      </c>
      <c r="E21" s="88" t="str">
        <f>IF('Deelnemers en Scores'!H70=0,"",'Deelnemers en Scores'!H70)</f>
        <v/>
      </c>
      <c r="F21" s="88" t="str">
        <f>IF('Deelnemers en Scores'!H71=0,"",'Deelnemers en Scores'!H71)</f>
        <v/>
      </c>
      <c r="G21" s="88" t="str">
        <f>IF('Deelnemers en Scores'!H72=0,"",'Deelnemers en Scores'!H72)</f>
        <v/>
      </c>
      <c r="H21" s="88" t="str">
        <f>IF('Deelnemers en Scores'!H73=0,"",'Deelnemers en Scores'!H73)</f>
        <v/>
      </c>
      <c r="I21" s="30"/>
      <c r="J21" s="88" t="str">
        <f>IF('Deelnemers en Scores'!I70=0,"",'Deelnemers en Scores'!I70)</f>
        <v/>
      </c>
      <c r="K21" s="88" t="str">
        <f>IF('Deelnemers en Scores'!I71=0,"",'Deelnemers en Scores'!I71)</f>
        <v/>
      </c>
      <c r="L21" s="88" t="str">
        <f>IF('Deelnemers en Scores'!I72=0,"",'Deelnemers en Scores'!I72)</f>
        <v/>
      </c>
      <c r="M21" s="88" t="str">
        <f>IF('Deelnemers en Scores'!I73=0,"",'Deelnemers en Scores'!I73)</f>
        <v/>
      </c>
      <c r="N21" s="30"/>
      <c r="O21" s="89" t="str">
        <f t="shared" si="0"/>
        <v/>
      </c>
      <c r="P21" s="90" t="str">
        <f t="shared" si="1"/>
        <v/>
      </c>
      <c r="Q21" s="90" t="str">
        <f t="shared" si="2"/>
        <v/>
      </c>
      <c r="R21" s="91" t="str">
        <f t="shared" si="3"/>
        <v/>
      </c>
      <c r="S21" s="31">
        <f t="shared" si="4"/>
        <v>0</v>
      </c>
      <c r="T21" s="18"/>
      <c r="U21" s="119"/>
      <c r="V21" s="120">
        <f t="shared" si="5"/>
        <v>0</v>
      </c>
    </row>
    <row r="22" spans="1:22" ht="20.25" customHeight="1" x14ac:dyDescent="0.2">
      <c r="A22" s="1">
        <f t="shared" si="6"/>
        <v>12</v>
      </c>
      <c r="B22" s="27">
        <f>IF('Deelnemers en Scores'!B75&gt;0,'Deelnemers en Scores'!B75,"")</f>
        <v>12</v>
      </c>
      <c r="C22" s="28" t="str">
        <f>IF('Deelnemers en Scores'!F75="","",'Deelnemers en Scores'!F75)</f>
        <v>Team naam 12</v>
      </c>
      <c r="D22" s="29" t="str">
        <f>'Deelnemers en Scores'!D75</f>
        <v>Vereniging 12</v>
      </c>
      <c r="E22" s="88" t="str">
        <f>IF('Deelnemers en Scores'!H76=0,"",'Deelnemers en Scores'!H76)</f>
        <v/>
      </c>
      <c r="F22" s="88" t="str">
        <f>IF('Deelnemers en Scores'!H77=0,"",'Deelnemers en Scores'!H77)</f>
        <v/>
      </c>
      <c r="G22" s="88" t="str">
        <f>IF('Deelnemers en Scores'!H78=0,"",'Deelnemers en Scores'!H78)</f>
        <v/>
      </c>
      <c r="H22" s="88" t="str">
        <f>IF('Deelnemers en Scores'!H79=0,"",'Deelnemers en Scores'!H79)</f>
        <v/>
      </c>
      <c r="I22" s="30"/>
      <c r="J22" s="88" t="str">
        <f>IF('Deelnemers en Scores'!I76=0,"",'Deelnemers en Scores'!I76)</f>
        <v/>
      </c>
      <c r="K22" s="88" t="str">
        <f>IF('Deelnemers en Scores'!I77=0,"",'Deelnemers en Scores'!I77)</f>
        <v/>
      </c>
      <c r="L22" s="88" t="str">
        <f>IF('Deelnemers en Scores'!I78=0,"",'Deelnemers en Scores'!I78)</f>
        <v/>
      </c>
      <c r="M22" s="88" t="str">
        <f>IF('Deelnemers en Scores'!I79=0,"",'Deelnemers en Scores'!I79)</f>
        <v/>
      </c>
      <c r="N22" s="30"/>
      <c r="O22" s="89" t="str">
        <f t="shared" si="0"/>
        <v/>
      </c>
      <c r="P22" s="90" t="str">
        <f t="shared" si="1"/>
        <v/>
      </c>
      <c r="Q22" s="90" t="str">
        <f t="shared" si="2"/>
        <v/>
      </c>
      <c r="R22" s="91" t="str">
        <f t="shared" si="3"/>
        <v/>
      </c>
      <c r="S22" s="31">
        <f t="shared" si="4"/>
        <v>0</v>
      </c>
      <c r="T22" s="18"/>
      <c r="U22" s="119"/>
      <c r="V22" s="120">
        <f t="shared" si="5"/>
        <v>0</v>
      </c>
    </row>
  </sheetData>
  <sheetProtection selectLockedCells="1" selectUnlockedCells="1"/>
  <sortState xmlns:xlrd2="http://schemas.microsoft.com/office/spreadsheetml/2017/richdata2" ref="B11:V22">
    <sortCondition ref="B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6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17</xdr:col>
                    <xdr:colOff>152400</xdr:colOff>
                    <xdr:row>0</xdr:row>
                    <xdr:rowOff>400050</xdr:rowOff>
                  </from>
                  <to>
                    <xdr:col>19</xdr:col>
                    <xdr:colOff>133350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2</xdr:col>
                    <xdr:colOff>28575</xdr:colOff>
                    <xdr:row>0</xdr:row>
                    <xdr:rowOff>390525</xdr:rowOff>
                  </from>
                  <to>
                    <xdr:col>2</xdr:col>
                    <xdr:colOff>1390650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A5BE2-A3B7-4D4E-AAA1-4E21D513A6F4}">
  <sheetPr codeName="Blad6">
    <pageSetUpPr fitToPage="1"/>
  </sheetPr>
  <dimension ref="A1:AN36"/>
  <sheetViews>
    <sheetView showGridLines="0" zoomScale="55" zoomScaleNormal="55" zoomScaleSheetLayoutView="40" workbookViewId="0"/>
  </sheetViews>
  <sheetFormatPr defaultColWidth="9.5546875" defaultRowHeight="15" x14ac:dyDescent="0.2"/>
  <cols>
    <col min="1" max="1" width="4.21875" style="41" customWidth="1"/>
    <col min="2" max="2" width="41.44140625" style="41" customWidth="1"/>
    <col min="3" max="3" width="2" style="41" customWidth="1"/>
    <col min="4" max="4" width="44.109375" style="41" customWidth="1"/>
    <col min="5" max="5" width="1.77734375" style="41" customWidth="1"/>
    <col min="6" max="6" width="9.5546875" style="41" customWidth="1"/>
    <col min="7" max="7" width="2.109375" style="41" customWidth="1"/>
    <col min="8" max="8" width="11.5546875" style="41" bestFit="1" customWidth="1"/>
    <col min="9" max="9" width="11.44140625" style="41" customWidth="1"/>
    <col min="10" max="10" width="44.6640625" style="41" customWidth="1"/>
    <col min="11" max="11" width="1.77734375" style="41" customWidth="1"/>
    <col min="12" max="12" width="9.77734375" style="41" customWidth="1"/>
    <col min="13" max="13" width="1.21875" style="41" customWidth="1"/>
    <col min="14" max="14" width="12.109375" style="41" customWidth="1"/>
    <col min="15" max="15" width="6.88671875" style="41" customWidth="1"/>
    <col min="16" max="16" width="2.88671875" style="41" customWidth="1"/>
    <col min="17" max="17" width="47.77734375" style="41" customWidth="1"/>
    <col min="18" max="18" width="1.77734375" style="41" customWidth="1"/>
    <col min="19" max="19" width="9.77734375" style="41" customWidth="1"/>
    <col min="20" max="20" width="2" style="41" customWidth="1"/>
    <col min="21" max="21" width="11.6640625" style="41" customWidth="1"/>
    <col min="22" max="22" width="21.6640625" style="41" customWidth="1"/>
    <col min="23" max="25" width="11.21875" style="41" hidden="1" customWidth="1"/>
    <col min="26" max="26" width="9.21875" style="41" hidden="1" customWidth="1"/>
    <col min="27" max="27" width="14.109375" style="41" hidden="1" customWidth="1"/>
    <col min="28" max="28" width="8.6640625" style="41" hidden="1" customWidth="1"/>
    <col min="29" max="31" width="11.21875" style="41" hidden="1" customWidth="1"/>
    <col min="32" max="32" width="9.21875" style="41" hidden="1" customWidth="1"/>
    <col min="33" max="33" width="11.21875" style="41" hidden="1" customWidth="1"/>
    <col min="34" max="34" width="9.5546875" style="41" hidden="1" customWidth="1"/>
    <col min="35" max="36" width="11.21875" style="41" hidden="1" customWidth="1"/>
    <col min="37" max="38" width="9.5546875" style="41" hidden="1" customWidth="1"/>
    <col min="39" max="39" width="11.21875" style="41" hidden="1" customWidth="1"/>
    <col min="40" max="40" width="2" style="41" hidden="1" customWidth="1"/>
  </cols>
  <sheetData>
    <row r="1" spans="1:40" ht="16.5" customHeight="1" x14ac:dyDescent="0.2"/>
    <row r="2" spans="1:40" ht="19.5" customHeight="1" x14ac:dyDescent="0.2"/>
    <row r="3" spans="1:40" ht="19.5" customHeight="1" x14ac:dyDescent="0.2"/>
    <row r="4" spans="1:40" ht="40.5" customHeight="1" x14ac:dyDescent="0.4">
      <c r="B4" s="141" t="str">
        <f>'Deelnemers en Scores'!B1</f>
        <v>Rayon kampioenschappen Indoor Teams   Rayon 3</v>
      </c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3"/>
      <c r="O4" s="142"/>
      <c r="P4" s="142"/>
      <c r="Q4" s="145"/>
      <c r="R4" s="142"/>
      <c r="S4" s="146"/>
      <c r="T4" s="146"/>
      <c r="U4" s="147"/>
      <c r="V4"/>
      <c r="W4"/>
      <c r="X4"/>
      <c r="Y4"/>
      <c r="Z4"/>
      <c r="AA4"/>
      <c r="AB4"/>
      <c r="AF4"/>
      <c r="AG4"/>
      <c r="AH4"/>
      <c r="AI4"/>
      <c r="AJ4"/>
      <c r="AK4"/>
      <c r="AL4"/>
      <c r="AM4"/>
      <c r="AN4"/>
    </row>
    <row r="5" spans="1:40" ht="21" customHeight="1" x14ac:dyDescent="0.2">
      <c r="AF5"/>
      <c r="AG5"/>
      <c r="AH5"/>
      <c r="AI5"/>
      <c r="AJ5"/>
      <c r="AK5"/>
      <c r="AL5"/>
      <c r="AM5"/>
      <c r="AN5"/>
    </row>
    <row r="6" spans="1:40" ht="42" customHeight="1" x14ac:dyDescent="0.5">
      <c r="B6" s="43" t="str">
        <f>'Deelnemers en Scores'!B4</f>
        <v>Klasse: ???</v>
      </c>
      <c r="K6" s="138" t="str">
        <f>'Deelnemers en Scores'!D3</f>
        <v>yyyy-mm-dd</v>
      </c>
    </row>
    <row r="7" spans="1:40" ht="19.5" customHeight="1" x14ac:dyDescent="0.2"/>
    <row r="8" spans="1:40" ht="34.5" customHeight="1" x14ac:dyDescent="0.4">
      <c r="B8" s="148" t="s">
        <v>111</v>
      </c>
      <c r="C8" s="149"/>
      <c r="D8" s="149"/>
      <c r="E8" s="149"/>
      <c r="F8" s="149"/>
      <c r="G8" s="149"/>
      <c r="H8" s="150"/>
      <c r="P8" s="45"/>
      <c r="V8" s="44"/>
      <c r="W8" s="98" t="s">
        <v>114</v>
      </c>
      <c r="X8" s="44"/>
      <c r="Y8" s="44"/>
      <c r="Z8" s="44"/>
      <c r="AA8" s="44"/>
      <c r="AB8" s="44"/>
      <c r="AC8" s="98" t="s">
        <v>112</v>
      </c>
      <c r="AD8" s="44"/>
      <c r="AE8" s="44"/>
      <c r="AF8" s="44"/>
      <c r="AG8" s="44"/>
      <c r="AH8" s="44"/>
      <c r="AI8" s="98" t="s">
        <v>113</v>
      </c>
    </row>
    <row r="10" spans="1:40" ht="30" customHeight="1" x14ac:dyDescent="0.4">
      <c r="J10" s="148" t="s">
        <v>2</v>
      </c>
      <c r="K10" s="149"/>
      <c r="L10" s="149"/>
      <c r="M10" s="149"/>
      <c r="N10" s="150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</row>
    <row r="11" spans="1:40" ht="32.25" customHeight="1" x14ac:dyDescent="0.2">
      <c r="F11" s="106" t="s">
        <v>85</v>
      </c>
      <c r="H11" s="106" t="s">
        <v>86</v>
      </c>
      <c r="P11" s="44"/>
      <c r="Q11" s="44"/>
      <c r="R11" s="44"/>
      <c r="S11" s="44"/>
      <c r="T11" s="44"/>
      <c r="U11" s="44"/>
      <c r="V11" s="44"/>
      <c r="W11" s="108" t="s">
        <v>116</v>
      </c>
      <c r="X11" s="108" t="s">
        <v>115</v>
      </c>
      <c r="Y11" s="121" t="s">
        <v>117</v>
      </c>
      <c r="Z11" s="108" t="s">
        <v>118</v>
      </c>
      <c r="AA11" s="108" t="s">
        <v>119</v>
      </c>
      <c r="AB11" s="44"/>
      <c r="AH11" s="44"/>
      <c r="AI11" s="44"/>
      <c r="AJ11" s="44"/>
    </row>
    <row r="12" spans="1:40" ht="30" customHeight="1" x14ac:dyDescent="0.2">
      <c r="A12" s="1">
        <v>1</v>
      </c>
      <c r="B12" s="19" t="str">
        <f>Uitslag!$C$11</f>
        <v>Team naam 1</v>
      </c>
      <c r="C12" s="20"/>
      <c r="D12" s="19" t="str">
        <f>Uitslag!$D$11</f>
        <v>Vereniging 1</v>
      </c>
      <c r="E12" s="162"/>
      <c r="F12" s="167"/>
      <c r="G12" s="163"/>
      <c r="H12" s="166"/>
      <c r="I12" s="42"/>
      <c r="P12" s="51"/>
      <c r="W12" s="34"/>
      <c r="X12" s="99"/>
      <c r="Y12" s="99"/>
      <c r="Z12" s="99">
        <f>F12+H12</f>
        <v>0</v>
      </c>
      <c r="AA12" s="99" t="b">
        <f>AND(Y13=TRUE,Z12&gt;Z14)</f>
        <v>0</v>
      </c>
    </row>
    <row r="13" spans="1:40" ht="30" customHeight="1" x14ac:dyDescent="0.4">
      <c r="A13" s="1"/>
      <c r="B13" s="17"/>
      <c r="C13" s="17"/>
      <c r="D13" s="17"/>
      <c r="E13" s="15"/>
      <c r="F13" s="33"/>
      <c r="G13" s="34"/>
      <c r="H13" s="164" t="str">
        <f>IF(X13=TRUE,"SO","")</f>
        <v/>
      </c>
      <c r="I13" s="42"/>
      <c r="J13" s="44"/>
      <c r="K13" s="45"/>
      <c r="L13" s="106" t="s">
        <v>85</v>
      </c>
      <c r="M13" s="107"/>
      <c r="N13" s="106" t="s">
        <v>86</v>
      </c>
      <c r="P13" s="49"/>
      <c r="W13" s="99" t="b">
        <f>AND(F12&lt;&gt;"",F14&lt;&gt;"")</f>
        <v>0</v>
      </c>
      <c r="X13" s="99" t="b">
        <f>AND(W13=TRUE,F12=F14)</f>
        <v>0</v>
      </c>
      <c r="Y13" s="99" t="b">
        <f>IF(W13=FALSE,FALSE,OR(X13=FALSE,AND(H12&lt;&gt;"",H14&lt;&gt;"")))</f>
        <v>0</v>
      </c>
      <c r="Z13" s="48"/>
      <c r="AA13" s="48"/>
      <c r="AC13" s="108" t="s">
        <v>116</v>
      </c>
      <c r="AD13" s="108" t="s">
        <v>115</v>
      </c>
      <c r="AE13" s="121" t="s">
        <v>117</v>
      </c>
      <c r="AF13" s="108" t="s">
        <v>118</v>
      </c>
      <c r="AG13" s="108" t="s">
        <v>88</v>
      </c>
    </row>
    <row r="14" spans="1:40" ht="30" customHeight="1" x14ac:dyDescent="0.2">
      <c r="A14" s="1">
        <v>8</v>
      </c>
      <c r="B14" s="19" t="str">
        <f>Uitslag!$C$18</f>
        <v>Team naam 8</v>
      </c>
      <c r="C14" s="20"/>
      <c r="D14" s="19" t="str">
        <f>Uitslag!$D$18</f>
        <v>Vereniging 8</v>
      </c>
      <c r="E14" s="162"/>
      <c r="F14" s="167"/>
      <c r="G14" s="163"/>
      <c r="H14" s="166"/>
      <c r="I14" s="42"/>
      <c r="J14" s="19" t="str">
        <f>IF(AA12=TRUE,B12,IF(AA14=TRUE,B14,""))</f>
        <v/>
      </c>
      <c r="K14" s="109"/>
      <c r="L14" s="167"/>
      <c r="M14" s="34"/>
      <c r="N14" s="166"/>
      <c r="P14" s="51"/>
      <c r="Q14" s="151" t="s">
        <v>3</v>
      </c>
      <c r="R14" s="152"/>
      <c r="S14" s="152"/>
      <c r="T14" s="152"/>
      <c r="U14" s="153"/>
      <c r="W14" s="34"/>
      <c r="X14" s="99"/>
      <c r="Y14" s="99"/>
      <c r="Z14" s="99">
        <f>F14+H14</f>
        <v>0</v>
      </c>
      <c r="AA14" s="99" t="b">
        <f>AND(Y13=TRUE,Z14&gt;Z12)</f>
        <v>0</v>
      </c>
      <c r="AB14" s="106"/>
      <c r="AC14" s="34"/>
      <c r="AD14" s="99"/>
      <c r="AE14" s="99"/>
      <c r="AF14" s="99">
        <f>L14+N14</f>
        <v>0</v>
      </c>
      <c r="AG14" s="99" t="b">
        <f>AND(AE15=TRUE,AF14&gt;AF16)</f>
        <v>0</v>
      </c>
      <c r="AH14" s="106"/>
      <c r="AI14" s="98" t="s">
        <v>92</v>
      </c>
      <c r="AJ14" s="98" t="s">
        <v>90</v>
      </c>
      <c r="AK14" s="103" t="s">
        <v>91</v>
      </c>
      <c r="AL14" s="104" t="s">
        <v>93</v>
      </c>
      <c r="AM14" s="104" t="s">
        <v>110</v>
      </c>
    </row>
    <row r="15" spans="1:40" ht="30" customHeight="1" x14ac:dyDescent="0.2">
      <c r="A15" s="1"/>
      <c r="B15" s="21"/>
      <c r="C15" s="21"/>
      <c r="D15" s="21"/>
      <c r="E15" s="15"/>
      <c r="F15" s="33"/>
      <c r="G15" s="34"/>
      <c r="H15" s="165"/>
      <c r="I15" s="42"/>
      <c r="J15" s="46"/>
      <c r="K15" s="45"/>
      <c r="L15" s="47"/>
      <c r="M15" s="48"/>
      <c r="N15" s="48" t="str">
        <f>IF(AD15=TRUE,"SO","")</f>
        <v/>
      </c>
      <c r="W15" s="51"/>
      <c r="X15" s="51"/>
      <c r="Y15" s="51"/>
      <c r="Z15" s="51"/>
      <c r="AA15" s="51"/>
      <c r="AB15" s="51"/>
      <c r="AC15" s="99" t="b">
        <f>AND(L14&lt;&gt;"",L16&lt;&gt;"")</f>
        <v>0</v>
      </c>
      <c r="AD15" s="99" t="b">
        <f>AND(AC15=TRUE,L14=L16)</f>
        <v>0</v>
      </c>
      <c r="AE15" s="99" t="b">
        <f>IF(AC15=FALSE,FALSE,OR(AD15=FALSE,AND(N14&lt;&gt;"",N16&lt;&gt;"")))</f>
        <v>0</v>
      </c>
      <c r="AF15" s="48"/>
      <c r="AG15" s="48"/>
      <c r="AH15" s="44"/>
      <c r="AK15" s="99">
        <f>S18+U18</f>
        <v>0</v>
      </c>
      <c r="AM15" s="99" t="b">
        <f>AK15&gt;AK17</f>
        <v>0</v>
      </c>
    </row>
    <row r="16" spans="1:40" ht="30" customHeight="1" x14ac:dyDescent="0.2">
      <c r="A16" s="1">
        <v>5</v>
      </c>
      <c r="B16" s="19" t="str">
        <f>Uitslag!$C$15</f>
        <v>Team naam 5</v>
      </c>
      <c r="C16" s="20"/>
      <c r="D16" s="19" t="str">
        <f>Uitslag!$D$15</f>
        <v>Vereniging 5</v>
      </c>
      <c r="E16" s="162"/>
      <c r="F16" s="167"/>
      <c r="G16" s="163"/>
      <c r="H16" s="166"/>
      <c r="I16" s="42"/>
      <c r="J16" s="19" t="str">
        <f>IF(AA16=TRUE,B16,IF(AA18=TRUE,B18,""))</f>
        <v/>
      </c>
      <c r="K16" s="109"/>
      <c r="L16" s="167"/>
      <c r="M16" s="34"/>
      <c r="N16" s="166"/>
      <c r="W16" s="34"/>
      <c r="X16" s="99"/>
      <c r="Y16" s="99"/>
      <c r="Z16" s="99">
        <f>F16+H16</f>
        <v>0</v>
      </c>
      <c r="AA16" s="99" t="b">
        <f>AND(Y17=TRUE,Z16&gt;Z18)</f>
        <v>0</v>
      </c>
      <c r="AB16" s="44"/>
      <c r="AC16" s="34"/>
      <c r="AD16" s="99"/>
      <c r="AE16" s="99"/>
      <c r="AF16" s="99">
        <f>L16+N16</f>
        <v>0</v>
      </c>
      <c r="AG16" s="99" t="b">
        <f>AND(AE15=TRUE,AF16&gt;AF14)</f>
        <v>0</v>
      </c>
      <c r="AH16" s="44"/>
      <c r="AI16" s="99" t="b">
        <f>AND(S18&lt;&gt;"",S20&lt;&gt;"")</f>
        <v>0</v>
      </c>
      <c r="AJ16" s="99" t="b">
        <f>AND(AI16=TRUE,S18=S20)</f>
        <v>0</v>
      </c>
      <c r="AK16" s="105"/>
      <c r="AL16" s="99" t="b">
        <f>OR(AND(U18&lt;&gt;"",U20&lt;&gt;""),AJ16=FALSE)</f>
        <v>1</v>
      </c>
      <c r="AM16" s="105"/>
      <c r="AN16" s="54"/>
    </row>
    <row r="17" spans="1:40" ht="30" customHeight="1" x14ac:dyDescent="0.2">
      <c r="A17" s="1"/>
      <c r="B17" s="17"/>
      <c r="C17" s="17"/>
      <c r="D17" s="17"/>
      <c r="E17" s="15"/>
      <c r="F17" s="33"/>
      <c r="G17" s="34"/>
      <c r="H17" s="164" t="str">
        <f>IF(X17=TRUE,"SO","")</f>
        <v/>
      </c>
      <c r="I17" s="42"/>
      <c r="Q17" s="44"/>
      <c r="R17" s="44"/>
      <c r="S17" s="106" t="s">
        <v>85</v>
      </c>
      <c r="T17" s="106"/>
      <c r="U17" s="106" t="s">
        <v>86</v>
      </c>
      <c r="V17" s="106"/>
      <c r="W17" s="99" t="b">
        <f>AND(F16&lt;&gt;"",F18&lt;&gt;"")</f>
        <v>0</v>
      </c>
      <c r="X17" s="99" t="b">
        <f>AND(W17=TRUE,F16=F18)</f>
        <v>0</v>
      </c>
      <c r="Y17" s="99" t="b">
        <f>IF(W17=FALSE,FALSE,OR(X17=FALSE,AND(H16&lt;&gt;"",H18&lt;&gt;"")))</f>
        <v>0</v>
      </c>
      <c r="Z17" s="48"/>
      <c r="AA17" s="48"/>
      <c r="AB17" s="51"/>
      <c r="AH17" s="44"/>
      <c r="AI17" s="51" t="str">
        <f>IF(R20&lt;1,"",IF(R20+S20&gt;R18+S18,"--&gt;&gt;",IF(R20+S20&lt;R18+S18,"  2e","")))</f>
        <v/>
      </c>
      <c r="AJ17" s="51"/>
      <c r="AK17" s="99">
        <f>S20+U20</f>
        <v>0</v>
      </c>
      <c r="AL17" s="99"/>
      <c r="AM17" s="99" t="b">
        <f>AK17&gt;AK15</f>
        <v>0</v>
      </c>
    </row>
    <row r="18" spans="1:40" ht="30" customHeight="1" x14ac:dyDescent="0.25">
      <c r="A18" s="1">
        <v>4</v>
      </c>
      <c r="B18" s="19" t="str">
        <f>Uitslag!$C$14</f>
        <v>Team naam 4</v>
      </c>
      <c r="C18" s="20"/>
      <c r="D18" s="19" t="str">
        <f>Uitslag!$D$14</f>
        <v>Vereniging 4</v>
      </c>
      <c r="E18" s="162"/>
      <c r="F18" s="167"/>
      <c r="G18" s="163"/>
      <c r="H18" s="166"/>
      <c r="I18" s="42"/>
      <c r="P18" s="51"/>
      <c r="Q18" s="139" t="str">
        <f>IF(AG14=TRUE,J14,IF(AG16=TRUE,J16,""))</f>
        <v/>
      </c>
      <c r="R18" s="109"/>
      <c r="S18" s="32"/>
      <c r="T18" s="109"/>
      <c r="U18" s="32"/>
      <c r="V18" s="51" t="str">
        <f>IF(OR(AI16=FALSE,AL16=FALSE),"",IF(AM15=TRUE,"WINNAAR","2e"))</f>
        <v/>
      </c>
      <c r="W18" s="34"/>
      <c r="X18" s="99"/>
      <c r="Y18" s="99"/>
      <c r="Z18" s="99">
        <f>F18+H18</f>
        <v>0</v>
      </c>
      <c r="AA18" s="99" t="b">
        <f>AND(Y17=TRUE,Z18&gt;Z16)</f>
        <v>0</v>
      </c>
      <c r="AB18" s="54"/>
      <c r="AH18" s="54"/>
      <c r="AK18" s="52"/>
    </row>
    <row r="19" spans="1:40" ht="27" customHeight="1" x14ac:dyDescent="0.4">
      <c r="A19"/>
      <c r="B19" s="16"/>
      <c r="C19" s="16"/>
      <c r="D19" s="16"/>
      <c r="E19"/>
      <c r="F19"/>
      <c r="G19"/>
      <c r="H19" s="3"/>
      <c r="I19" s="42"/>
      <c r="Q19" s="53"/>
      <c r="R19" s="44"/>
      <c r="S19" s="140"/>
      <c r="T19" s="140"/>
      <c r="U19" s="48" t="str">
        <f>IF(AJ16=TRUE,"SO","")</f>
        <v/>
      </c>
      <c r="V19" s="44"/>
      <c r="W19" s="51"/>
      <c r="X19" s="51"/>
      <c r="Y19" s="51"/>
      <c r="Z19" s="51"/>
      <c r="AA19" s="51"/>
    </row>
    <row r="20" spans="1:40" ht="27" customHeight="1" x14ac:dyDescent="0.2">
      <c r="A20" s="1">
        <v>3</v>
      </c>
      <c r="B20" s="19" t="str">
        <f>Uitslag!$C$13</f>
        <v>Team naam 3</v>
      </c>
      <c r="C20" s="20"/>
      <c r="D20" s="19" t="str">
        <f>Uitslag!$D$13</f>
        <v>Vereniging 3</v>
      </c>
      <c r="E20" s="162"/>
      <c r="F20" s="167"/>
      <c r="G20" s="163"/>
      <c r="H20" s="166"/>
      <c r="I20" s="42"/>
      <c r="P20" s="51"/>
      <c r="Q20" s="139" t="str">
        <f>IF(AG22=TRUE,J22,IF(AG24=TRUE,J24,""))</f>
        <v/>
      </c>
      <c r="R20" s="109"/>
      <c r="S20" s="32"/>
      <c r="T20" s="109"/>
      <c r="U20" s="32"/>
      <c r="V20" s="51" t="str">
        <f>IF(OR(AI16=FALSE,AL16=FALSE),"",IF(AM17=TRUE,"WINNAAR","2e"))</f>
        <v/>
      </c>
      <c r="W20" s="34"/>
      <c r="X20" s="99"/>
      <c r="Y20" s="99"/>
      <c r="Z20" s="99">
        <f>F20+H20</f>
        <v>0</v>
      </c>
      <c r="AA20" s="99" t="b">
        <f>AND(Y21=TRUE,Z20&gt;Z22)</f>
        <v>0</v>
      </c>
    </row>
    <row r="21" spans="1:40" ht="27.75" x14ac:dyDescent="0.2">
      <c r="A21" s="1"/>
      <c r="B21" s="17"/>
      <c r="C21" s="17"/>
      <c r="D21" s="17"/>
      <c r="E21" s="15"/>
      <c r="F21" s="33"/>
      <c r="G21" s="34"/>
      <c r="H21" s="164" t="str">
        <f>IF(X21=TRUE,"SO","")</f>
        <v/>
      </c>
      <c r="J21" s="50"/>
      <c r="K21" s="45"/>
      <c r="L21" s="106" t="s">
        <v>85</v>
      </c>
      <c r="M21" s="107"/>
      <c r="N21" s="106" t="s">
        <v>86</v>
      </c>
      <c r="V21" s="54"/>
      <c r="W21" s="99" t="b">
        <f>AND(F20&lt;&gt;"",F22&lt;&gt;"")</f>
        <v>0</v>
      </c>
      <c r="X21" s="99" t="b">
        <f>AND(W21=TRUE,F20=F22)</f>
        <v>0</v>
      </c>
      <c r="Y21" s="99" t="b">
        <f>IF(W21=FALSE,FALSE,OR(X21=FALSE,AND(H20&lt;&gt;"",H22&lt;&gt;"")))</f>
        <v>0</v>
      </c>
      <c r="Z21" s="48"/>
      <c r="AA21" s="48"/>
      <c r="AC21" s="108" t="s">
        <v>94</v>
      </c>
      <c r="AD21" s="108" t="s">
        <v>89</v>
      </c>
      <c r="AE21" s="48"/>
      <c r="AF21" s="48"/>
      <c r="AG21" s="48"/>
    </row>
    <row r="22" spans="1:40" ht="27.75" x14ac:dyDescent="0.2">
      <c r="A22" s="1">
        <v>6</v>
      </c>
      <c r="B22" s="19" t="str">
        <f>Uitslag!$C$16</f>
        <v>Team naam 6</v>
      </c>
      <c r="C22" s="20"/>
      <c r="D22" s="19" t="str">
        <f>Uitslag!$D$16</f>
        <v>Vereniging 6</v>
      </c>
      <c r="E22" s="162"/>
      <c r="F22" s="167"/>
      <c r="G22" s="163"/>
      <c r="H22" s="166"/>
      <c r="J22" s="19" t="str">
        <f>IF(AA20=TRUE,B20,IF(AA22=TRUE,B22,""))</f>
        <v/>
      </c>
      <c r="K22" s="109"/>
      <c r="L22" s="167"/>
      <c r="M22" s="34"/>
      <c r="N22" s="166"/>
      <c r="W22" s="34"/>
      <c r="X22" s="99"/>
      <c r="Y22" s="99"/>
      <c r="Z22" s="99">
        <f>F22+H22</f>
        <v>0</v>
      </c>
      <c r="AA22" s="99" t="b">
        <f>AND(Y21=TRUE,Z22&gt;Z20)</f>
        <v>0</v>
      </c>
      <c r="AC22" s="34"/>
      <c r="AD22" s="99"/>
      <c r="AE22" s="99"/>
      <c r="AF22" s="99">
        <f>L22+N22</f>
        <v>0</v>
      </c>
      <c r="AG22" s="99" t="b">
        <f>AND(AE23=TRUE,AF22&gt;AF24)</f>
        <v>0</v>
      </c>
    </row>
    <row r="23" spans="1:40" ht="30" x14ac:dyDescent="0.2">
      <c r="A23" s="1"/>
      <c r="B23" s="21"/>
      <c r="C23" s="21"/>
      <c r="D23" s="21"/>
      <c r="E23" s="15"/>
      <c r="F23" s="33"/>
      <c r="G23" s="34"/>
      <c r="H23" s="165"/>
      <c r="J23" s="46"/>
      <c r="K23" s="45"/>
      <c r="L23" s="47"/>
      <c r="M23" s="48"/>
      <c r="N23" s="48" t="str">
        <f>IF(AD23=TRUE,"SO","")</f>
        <v/>
      </c>
      <c r="W23" s="51"/>
      <c r="X23" s="51"/>
      <c r="Y23" s="51"/>
      <c r="Z23" s="51"/>
      <c r="AA23" s="51"/>
      <c r="AC23" s="99" t="b">
        <f>AND(L22&lt;&gt;"",L24&lt;&gt;"")</f>
        <v>0</v>
      </c>
      <c r="AD23" s="99" t="b">
        <f>AND(AC23=TRUE,L22=L24)</f>
        <v>0</v>
      </c>
      <c r="AE23" s="99" t="b">
        <f>IF(AC23=FALSE,FALSE,OR(AD23=FALSE,AND(N22&lt;&gt;"",N24&lt;&gt;"")))</f>
        <v>0</v>
      </c>
      <c r="AF23" s="48"/>
      <c r="AG23" s="48"/>
    </row>
    <row r="24" spans="1:40" ht="27.75" x14ac:dyDescent="0.2">
      <c r="A24" s="1">
        <v>7</v>
      </c>
      <c r="B24" s="19" t="str">
        <f>Uitslag!$C$17</f>
        <v>Team naam 7</v>
      </c>
      <c r="C24" s="20"/>
      <c r="D24" s="19" t="str">
        <f>Uitslag!$D$17</f>
        <v>Vereniging 7</v>
      </c>
      <c r="E24" s="162"/>
      <c r="F24" s="167"/>
      <c r="G24" s="163"/>
      <c r="H24" s="166"/>
      <c r="J24" s="19" t="str">
        <f>IF(AA24=TRUE,B24,IF(AA26=TRUE,B26,""))</f>
        <v/>
      </c>
      <c r="K24" s="109"/>
      <c r="L24" s="167"/>
      <c r="M24" s="34"/>
      <c r="N24" s="166"/>
      <c r="W24" s="34"/>
      <c r="X24" s="99"/>
      <c r="Y24" s="99"/>
      <c r="Z24" s="99">
        <f>F24+H24</f>
        <v>0</v>
      </c>
      <c r="AA24" s="99" t="b">
        <f>AND(Y25=TRUE,Z24&gt;Z26)</f>
        <v>0</v>
      </c>
      <c r="AC24" s="34"/>
      <c r="AD24" s="99"/>
      <c r="AE24" s="99"/>
      <c r="AF24" s="99">
        <f>L24+N24</f>
        <v>0</v>
      </c>
      <c r="AG24" s="99" t="b">
        <f>AND(AE23=TRUE,AF24&gt;AF22)</f>
        <v>0</v>
      </c>
    </row>
    <row r="25" spans="1:40" ht="27.75" x14ac:dyDescent="0.2">
      <c r="A25" s="1"/>
      <c r="B25" s="17"/>
      <c r="C25" s="17"/>
      <c r="D25" s="17"/>
      <c r="E25" s="15"/>
      <c r="F25" s="33"/>
      <c r="G25" s="34"/>
      <c r="H25" s="164" t="str">
        <f>IF(X25=TRUE,"SO","")</f>
        <v/>
      </c>
      <c r="V25" s="44"/>
      <c r="W25" s="99" t="b">
        <f>AND(F24&lt;&gt;"",F26&lt;&gt;"")</f>
        <v>0</v>
      </c>
      <c r="X25" s="99" t="b">
        <f>AND(W25=TRUE,F24=F26)</f>
        <v>0</v>
      </c>
      <c r="Y25" s="99" t="b">
        <f>IF(W25=FALSE,FALSE,OR(X25=FALSE,AND(H24&lt;&gt;"",H26&lt;&gt;"")))</f>
        <v>0</v>
      </c>
      <c r="Z25" s="48"/>
      <c r="AA25" s="48"/>
      <c r="AB25" s="44"/>
      <c r="AC25" s="44"/>
      <c r="AD25" s="44"/>
      <c r="AE25" s="44"/>
      <c r="AF25" s="44"/>
      <c r="AG25" s="44"/>
      <c r="AH25" s="44"/>
    </row>
    <row r="26" spans="1:40" ht="30" x14ac:dyDescent="0.2">
      <c r="A26" s="1">
        <v>2</v>
      </c>
      <c r="B26" s="19" t="str">
        <f>Uitslag!$C$12</f>
        <v>Team naam 2</v>
      </c>
      <c r="C26" s="20"/>
      <c r="D26" s="19" t="str">
        <f>Uitslag!$D$12</f>
        <v>Vereniging 2</v>
      </c>
      <c r="E26" s="162"/>
      <c r="F26" s="167"/>
      <c r="G26" s="163"/>
      <c r="H26" s="166"/>
      <c r="Q26" s="151" t="s">
        <v>101</v>
      </c>
      <c r="R26" s="152"/>
      <c r="S26" s="152"/>
      <c r="T26" s="152"/>
      <c r="U26" s="153"/>
      <c r="W26" s="34"/>
      <c r="X26" s="99"/>
      <c r="Y26" s="99"/>
      <c r="Z26" s="99">
        <f>F26+H26</f>
        <v>0</v>
      </c>
      <c r="AA26" s="99" t="b">
        <f>AND(Y25=TRUE,Z26&gt;Z24)</f>
        <v>0</v>
      </c>
    </row>
    <row r="27" spans="1:40" ht="30" x14ac:dyDescent="0.2">
      <c r="W27" s="51"/>
      <c r="X27" s="51"/>
      <c r="Y27" s="51"/>
      <c r="Z27" s="51"/>
      <c r="AA27" s="51"/>
    </row>
    <row r="29" spans="1:40" ht="20.25" x14ac:dyDescent="0.2">
      <c r="Q29" s="44"/>
      <c r="R29" s="44"/>
      <c r="S29" s="106" t="s">
        <v>85</v>
      </c>
      <c r="T29" s="106"/>
      <c r="U29" s="106" t="s">
        <v>86</v>
      </c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98" t="s">
        <v>92</v>
      </c>
      <c r="AJ29" s="98" t="s">
        <v>90</v>
      </c>
      <c r="AK29" s="103" t="s">
        <v>91</v>
      </c>
      <c r="AL29" s="104" t="s">
        <v>93</v>
      </c>
      <c r="AM29" s="104" t="s">
        <v>110</v>
      </c>
    </row>
    <row r="30" spans="1:40" ht="30" x14ac:dyDescent="0.2">
      <c r="Q30" s="139" t="str">
        <f>IF(AG14=TRUE,J16,IF(AG16=TRUE,J14,""))</f>
        <v/>
      </c>
      <c r="R30" s="109"/>
      <c r="S30" s="32"/>
      <c r="T30" s="109"/>
      <c r="U30" s="32"/>
      <c r="V30" s="51" t="str">
        <f>IF(OR(AI31=FALSE,AL31=FALSE),"",IF(AM30=TRUE,"3e","4e"))</f>
        <v/>
      </c>
      <c r="W30" s="51"/>
      <c r="X30" s="51"/>
      <c r="Y30" s="51"/>
      <c r="Z30" s="51"/>
      <c r="AA30" s="51"/>
      <c r="AB30" s="51"/>
      <c r="AC30" s="51"/>
      <c r="AD30" s="51"/>
      <c r="AE30" s="44"/>
      <c r="AF30" s="44"/>
      <c r="AG30" s="44"/>
      <c r="AH30" s="44"/>
      <c r="AK30" s="99">
        <f>S30+U30</f>
        <v>0</v>
      </c>
      <c r="AM30" s="99" t="b">
        <f>AK30&gt;AK32</f>
        <v>0</v>
      </c>
    </row>
    <row r="31" spans="1:40" ht="25.5" x14ac:dyDescent="0.2">
      <c r="Q31" s="53"/>
      <c r="R31" s="44"/>
      <c r="S31" s="140"/>
      <c r="T31" s="140"/>
      <c r="U31" s="48" t="str">
        <f>IF(AJ31=TRUE,"SO","")</f>
        <v/>
      </c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99" t="b">
        <f>AND(S30&lt;&gt;"",S32&lt;&gt;"")</f>
        <v>0</v>
      </c>
      <c r="AJ31" s="99" t="b">
        <f>AND(AI31=TRUE,S30=S32)</f>
        <v>0</v>
      </c>
      <c r="AK31" s="105"/>
      <c r="AL31" s="99" t="b">
        <f>OR(AND(U30&lt;&gt;"",U32&lt;&gt;""),AJ31=FALSE)</f>
        <v>1</v>
      </c>
      <c r="AM31" s="105"/>
      <c r="AN31" s="54"/>
    </row>
    <row r="32" spans="1:40" ht="30" x14ac:dyDescent="0.2">
      <c r="Q32" s="139" t="str">
        <f>IF(AG22=TRUE,J24,IF(AG24=TRUE,J22,""))</f>
        <v/>
      </c>
      <c r="R32" s="109"/>
      <c r="S32" s="32"/>
      <c r="T32" s="109"/>
      <c r="U32" s="32"/>
      <c r="V32" s="51" t="str">
        <f>IF(OR(AI31=FALSE,AL31=FALSE),"",IF(AM32=TRUE,"3e","4e"))</f>
        <v/>
      </c>
      <c r="W32" s="51"/>
      <c r="X32" s="51"/>
      <c r="Y32" s="51"/>
      <c r="Z32" s="51"/>
      <c r="AA32" s="51"/>
      <c r="AB32" s="51"/>
      <c r="AC32" s="51"/>
      <c r="AD32" s="51"/>
      <c r="AE32" s="44"/>
      <c r="AF32" s="44"/>
      <c r="AG32" s="44"/>
      <c r="AH32" s="44"/>
      <c r="AI32" s="51" t="str">
        <f>IF(R32&lt;1,"",IF(R32+S32&gt;R30+S30,"--&gt;&gt;",IF(R32+S32&lt;R30+S30,"  2e","")))</f>
        <v/>
      </c>
      <c r="AJ32" s="51"/>
      <c r="AK32" s="99">
        <f>S32+U32</f>
        <v>0</v>
      </c>
      <c r="AL32" s="99"/>
      <c r="AM32" s="99" t="b">
        <f>AK32&gt;AK30</f>
        <v>0</v>
      </c>
    </row>
    <row r="36" spans="22:30" x14ac:dyDescent="0.2">
      <c r="V36" s="101"/>
      <c r="W36" s="101"/>
      <c r="X36" s="101"/>
      <c r="Y36" s="101"/>
      <c r="Z36" s="101"/>
      <c r="AA36" s="101"/>
      <c r="AB36" s="101"/>
      <c r="AC36" s="101"/>
      <c r="AD36" s="101"/>
    </row>
  </sheetData>
  <conditionalFormatting sqref="U18 U20">
    <cfRule type="expression" dxfId="11" priority="6">
      <formula>AJ$16=FALSE</formula>
    </cfRule>
  </conditionalFormatting>
  <conditionalFormatting sqref="U30 U32">
    <cfRule type="expression" dxfId="10" priority="5">
      <formula>AJ$31=FALSE</formula>
    </cfRule>
  </conditionalFormatting>
  <conditionalFormatting sqref="N22 N14">
    <cfRule type="expression" dxfId="9" priority="7">
      <formula>AD15=FALSE</formula>
    </cfRule>
  </conditionalFormatting>
  <conditionalFormatting sqref="N24 N16">
    <cfRule type="expression" dxfId="8" priority="8">
      <formula>AD15=FALSE</formula>
    </cfRule>
  </conditionalFormatting>
  <conditionalFormatting sqref="H12 H14">
    <cfRule type="expression" dxfId="7" priority="4">
      <formula>X$13=FALSE</formula>
    </cfRule>
  </conditionalFormatting>
  <conditionalFormatting sqref="H16 H18">
    <cfRule type="expression" dxfId="6" priority="3">
      <formula>X$17=FALSE</formula>
    </cfRule>
  </conditionalFormatting>
  <conditionalFormatting sqref="H20 H22">
    <cfRule type="expression" dxfId="5" priority="2">
      <formula>X$21=FALSE</formula>
    </cfRule>
  </conditionalFormatting>
  <conditionalFormatting sqref="H24 H26">
    <cfRule type="expression" dxfId="4" priority="1">
      <formula>X$25=FALSE</formula>
    </cfRule>
  </conditionalFormatting>
  <pageMargins left="0.75" right="0.75" top="1" bottom="1" header="0.5" footer="0.5"/>
  <pageSetup paperSize="9" scale="3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>
    <pageSetUpPr fitToPage="1"/>
  </sheetPr>
  <dimension ref="A1:XEX36"/>
  <sheetViews>
    <sheetView showGridLines="0" zoomScale="70" zoomScaleNormal="70" zoomScaleSheetLayoutView="40" workbookViewId="0"/>
  </sheetViews>
  <sheetFormatPr defaultColWidth="9.5546875" defaultRowHeight="15" x14ac:dyDescent="0.2"/>
  <cols>
    <col min="1" max="1" width="4" style="41" customWidth="1"/>
    <col min="2" max="2" width="44.6640625" style="41" customWidth="1"/>
    <col min="3" max="3" width="2" style="41" customWidth="1"/>
    <col min="4" max="4" width="45" style="41" customWidth="1"/>
    <col min="5" max="5" width="1.77734375" style="41" customWidth="1"/>
    <col min="6" max="6" width="9.77734375" style="41" customWidth="1"/>
    <col min="7" max="7" width="1.21875" style="41" customWidth="1"/>
    <col min="8" max="8" width="12.109375" style="41" customWidth="1"/>
    <col min="9" max="9" width="6.88671875" style="41" customWidth="1"/>
    <col min="10" max="10" width="4.88671875" style="101" bestFit="1" customWidth="1"/>
    <col min="11" max="11" width="6.109375" style="41" customWidth="1"/>
    <col min="12" max="12" width="2.88671875" style="41" customWidth="1"/>
    <col min="13" max="13" width="47.77734375" style="41" customWidth="1"/>
    <col min="14" max="14" width="1.77734375" style="41" customWidth="1"/>
    <col min="15" max="15" width="9.77734375" style="41" customWidth="1"/>
    <col min="16" max="16" width="2" style="41" customWidth="1"/>
    <col min="17" max="17" width="11.6640625" style="41" customWidth="1"/>
    <col min="18" max="18" width="21.6640625" style="41" customWidth="1"/>
    <col min="19" max="29" width="9.5546875" style="41" hidden="1" customWidth="1"/>
    <col min="30" max="30" width="1.33203125" style="41" hidden="1" customWidth="1"/>
    <col min="31" max="31" width="0" style="41" hidden="1" customWidth="1"/>
    <col min="32" max="16384" width="9.5546875" style="41"/>
  </cols>
  <sheetData>
    <row r="1" spans="1:30" ht="16.5" customHeight="1" x14ac:dyDescent="0.2"/>
    <row r="2" spans="1:30" ht="19.5" customHeight="1" x14ac:dyDescent="0.2"/>
    <row r="3" spans="1:30" ht="19.5" customHeight="1" x14ac:dyDescent="0.2"/>
    <row r="4" spans="1:30" ht="40.5" customHeight="1" x14ac:dyDescent="0.4">
      <c r="B4" s="141" t="str">
        <f>'Deelnemers en Scores'!B1</f>
        <v>Rayon kampioenschappen Indoor Teams   Rayon 3</v>
      </c>
      <c r="C4" s="142"/>
      <c r="D4" s="142"/>
      <c r="E4" s="142"/>
      <c r="F4" s="142"/>
      <c r="G4" s="142"/>
      <c r="H4" s="143"/>
      <c r="I4" s="142"/>
      <c r="J4" s="144"/>
      <c r="K4" s="142"/>
      <c r="L4" s="142"/>
      <c r="M4" s="145"/>
      <c r="N4" s="142"/>
      <c r="O4" s="146"/>
      <c r="P4" s="146"/>
      <c r="Q4" s="147"/>
      <c r="R4"/>
      <c r="V4"/>
      <c r="W4"/>
      <c r="X4"/>
      <c r="Y4"/>
      <c r="Z4"/>
      <c r="AA4"/>
      <c r="AB4"/>
      <c r="AC4"/>
      <c r="AD4"/>
    </row>
    <row r="5" spans="1:30" ht="21" customHeight="1" x14ac:dyDescent="0.2">
      <c r="V5"/>
      <c r="W5"/>
      <c r="X5"/>
      <c r="Y5"/>
      <c r="Z5"/>
      <c r="AA5"/>
      <c r="AB5"/>
      <c r="AC5"/>
      <c r="AD5"/>
    </row>
    <row r="6" spans="1:30" ht="42" customHeight="1" x14ac:dyDescent="0.5">
      <c r="B6" s="43" t="str">
        <f>'Deelnemers en Scores'!B4</f>
        <v>Klasse: ???</v>
      </c>
      <c r="L6" s="137" t="s">
        <v>10</v>
      </c>
      <c r="M6" s="138" t="str">
        <f>'Deelnemers en Scores'!D3</f>
        <v>yyyy-mm-dd</v>
      </c>
    </row>
    <row r="7" spans="1:30" ht="19.5" customHeight="1" x14ac:dyDescent="0.2"/>
    <row r="8" spans="1:30" ht="34.5" customHeight="1" x14ac:dyDescent="0.4">
      <c r="B8" s="148" t="s">
        <v>2</v>
      </c>
      <c r="C8" s="149"/>
      <c r="D8" s="149"/>
      <c r="E8" s="149"/>
      <c r="F8" s="149"/>
      <c r="G8" s="149"/>
      <c r="H8" s="150"/>
      <c r="J8" s="102"/>
      <c r="K8" s="45"/>
      <c r="L8" s="45"/>
      <c r="R8" s="44"/>
      <c r="S8" s="44"/>
      <c r="T8" s="44"/>
      <c r="U8" s="44"/>
      <c r="V8" s="44"/>
      <c r="W8" s="44"/>
      <c r="X8" s="44"/>
      <c r="Y8" s="44"/>
    </row>
    <row r="10" spans="1:30" ht="30" customHeight="1" x14ac:dyDescent="0.2">
      <c r="B10" s="44"/>
      <c r="C10" s="44"/>
      <c r="D10" s="44"/>
      <c r="E10" s="45"/>
      <c r="F10" s="44"/>
      <c r="G10" s="44"/>
      <c r="H10" s="44"/>
      <c r="I10" s="44"/>
      <c r="J10" s="98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</row>
    <row r="11" spans="1:30" ht="32.25" customHeight="1" x14ac:dyDescent="0.2">
      <c r="B11" s="44"/>
      <c r="C11" s="44"/>
      <c r="D11" s="44"/>
      <c r="E11" s="45"/>
      <c r="F11" s="106" t="s">
        <v>85</v>
      </c>
      <c r="G11" s="107"/>
      <c r="H11" s="106" t="s">
        <v>86</v>
      </c>
      <c r="J11" s="98"/>
      <c r="K11" s="44"/>
      <c r="L11" s="44"/>
      <c r="R11" s="44"/>
      <c r="S11" s="108" t="s">
        <v>94</v>
      </c>
      <c r="T11" s="108" t="s">
        <v>89</v>
      </c>
      <c r="U11" s="121" t="s">
        <v>93</v>
      </c>
      <c r="V11" s="108" t="s">
        <v>87</v>
      </c>
      <c r="W11" s="108" t="s">
        <v>88</v>
      </c>
      <c r="X11" s="44"/>
      <c r="Y11" s="44"/>
      <c r="Z11" s="44"/>
    </row>
    <row r="12" spans="1:30" ht="30" customHeight="1" x14ac:dyDescent="0.2">
      <c r="A12" s="42">
        <v>1</v>
      </c>
      <c r="B12" s="19" t="str">
        <f>Uitslag!$C$11</f>
        <v>Team naam 1</v>
      </c>
      <c r="C12" s="20"/>
      <c r="D12" s="19" t="str">
        <f>Uitslag!$D$11</f>
        <v>Vereniging 1</v>
      </c>
      <c r="E12" s="109"/>
      <c r="F12" s="32"/>
      <c r="G12" s="34"/>
      <c r="H12" s="100"/>
      <c r="J12" s="34"/>
      <c r="K12" s="51" t="str">
        <f>IF(W12=TRUE,"--&gt;&gt;","")</f>
        <v/>
      </c>
      <c r="L12" s="51"/>
      <c r="M12" s="151" t="s">
        <v>3</v>
      </c>
      <c r="N12" s="152"/>
      <c r="O12" s="152"/>
      <c r="P12" s="152"/>
      <c r="Q12" s="153"/>
      <c r="S12" s="34"/>
      <c r="T12" s="99"/>
      <c r="U12" s="99"/>
      <c r="V12" s="99">
        <f>F12+H12</f>
        <v>0</v>
      </c>
      <c r="W12" s="99" t="b">
        <f>AND(U13=TRUE,V12&gt;V14)</f>
        <v>0</v>
      </c>
    </row>
    <row r="13" spans="1:30" ht="30" customHeight="1" x14ac:dyDescent="0.4">
      <c r="A13" s="42"/>
      <c r="B13" s="46"/>
      <c r="C13" s="46"/>
      <c r="D13" s="46"/>
      <c r="E13" s="45"/>
      <c r="F13" s="47"/>
      <c r="G13" s="48"/>
      <c r="H13" s="48" t="str">
        <f>IF(T13=TRUE,"SO","")</f>
        <v/>
      </c>
      <c r="J13" s="48"/>
      <c r="K13" s="49"/>
      <c r="L13" s="49"/>
      <c r="S13" s="99" t="b">
        <f>AND(F12&lt;&gt;"",F14&lt;&gt;"")</f>
        <v>0</v>
      </c>
      <c r="T13" s="99" t="b">
        <f>AND(S13=TRUE,F12=F14)</f>
        <v>0</v>
      </c>
      <c r="U13" s="99" t="b">
        <f>IF(S13=FALSE,FALSE,OR(T13=FALSE,AND(H12&lt;&gt;"",H14&lt;&gt;"")))</f>
        <v>0</v>
      </c>
      <c r="V13" s="48"/>
      <c r="W13" s="48"/>
    </row>
    <row r="14" spans="1:30" ht="30" customHeight="1" x14ac:dyDescent="0.2">
      <c r="A14" s="42">
        <v>4</v>
      </c>
      <c r="B14" s="19" t="str">
        <f>Uitslag!$C$14</f>
        <v>Team naam 4</v>
      </c>
      <c r="C14" s="20"/>
      <c r="D14" s="19" t="str">
        <f>Uitslag!$D$14</f>
        <v>Vereniging 4</v>
      </c>
      <c r="E14" s="109"/>
      <c r="F14" s="32"/>
      <c r="G14" s="34"/>
      <c r="H14" s="100"/>
      <c r="J14" s="34"/>
      <c r="K14" s="51"/>
      <c r="L14" s="51"/>
      <c r="M14" s="44"/>
      <c r="N14" s="44"/>
      <c r="O14" s="106" t="s">
        <v>85</v>
      </c>
      <c r="P14" s="106"/>
      <c r="Q14" s="106" t="s">
        <v>86</v>
      </c>
      <c r="R14" s="106"/>
      <c r="S14" s="34"/>
      <c r="T14" s="99"/>
      <c r="U14" s="99"/>
      <c r="V14" s="99">
        <f>F14+H14</f>
        <v>0</v>
      </c>
      <c r="W14" s="99" t="b">
        <f>AND(U13=TRUE,V14&gt;V12)</f>
        <v>0</v>
      </c>
      <c r="X14" s="106"/>
      <c r="Y14" s="98" t="s">
        <v>92</v>
      </c>
      <c r="Z14" s="98" t="s">
        <v>90</v>
      </c>
      <c r="AA14" s="103" t="s">
        <v>91</v>
      </c>
      <c r="AB14" s="104" t="s">
        <v>93</v>
      </c>
      <c r="AC14" s="104" t="s">
        <v>110</v>
      </c>
    </row>
    <row r="15" spans="1:30" ht="30" customHeight="1" x14ac:dyDescent="0.2">
      <c r="A15" s="42"/>
      <c r="B15" s="50"/>
      <c r="C15" s="50"/>
      <c r="D15" s="50"/>
      <c r="E15" s="45"/>
      <c r="F15" s="47"/>
      <c r="G15" s="48"/>
      <c r="H15" s="48"/>
      <c r="J15" s="48"/>
      <c r="M15" s="139" t="str">
        <f>IF(W12=TRUE,B12,IF(W14=TRUE,B14,""))</f>
        <v/>
      </c>
      <c r="N15" s="109"/>
      <c r="O15" s="32"/>
      <c r="P15" s="109"/>
      <c r="Q15" s="32"/>
      <c r="R15" s="51" t="str">
        <f>IF(OR(Y16=FALSE,AB16=FALSE),"",IF(AC15=TRUE,"WINNAAR","2e"))</f>
        <v/>
      </c>
      <c r="S15" s="48"/>
      <c r="T15" s="99"/>
      <c r="U15" s="48"/>
      <c r="V15" s="48"/>
      <c r="W15" s="48"/>
      <c r="X15" s="44"/>
      <c r="AA15" s="99">
        <f>O15+Q15</f>
        <v>0</v>
      </c>
      <c r="AC15" s="99" t="b">
        <f>AA15&gt;AA17</f>
        <v>0</v>
      </c>
    </row>
    <row r="16" spans="1:30" ht="30" customHeight="1" x14ac:dyDescent="0.2">
      <c r="A16" s="42"/>
      <c r="B16" s="50"/>
      <c r="C16" s="50"/>
      <c r="D16" s="50"/>
      <c r="E16" s="45"/>
      <c r="F16" s="47"/>
      <c r="G16" s="48"/>
      <c r="H16" s="48"/>
      <c r="J16" s="48"/>
      <c r="M16" s="53"/>
      <c r="N16" s="44"/>
      <c r="O16" s="140"/>
      <c r="P16" s="140"/>
      <c r="Q16" s="48" t="str">
        <f>IF(Z16=TRUE,"SO","")</f>
        <v/>
      </c>
      <c r="R16" s="44"/>
      <c r="S16" s="48"/>
      <c r="T16" s="99"/>
      <c r="U16" s="48"/>
      <c r="V16" s="48"/>
      <c r="W16" s="48"/>
      <c r="X16" s="44"/>
      <c r="Y16" s="99" t="b">
        <f>AND(O15&lt;&gt;"",O17&lt;&gt;"")</f>
        <v>0</v>
      </c>
      <c r="Z16" s="99" t="b">
        <f>AND(Y16=TRUE,O15=O17)</f>
        <v>0</v>
      </c>
      <c r="AA16" s="105"/>
      <c r="AB16" s="99" t="b">
        <f>OR(AND(Q15&lt;&gt;"",Q17&lt;&gt;""),Z16=FALSE)</f>
        <v>1</v>
      </c>
      <c r="AC16" s="105"/>
      <c r="AD16" s="54"/>
    </row>
    <row r="17" spans="1:30" ht="30" customHeight="1" x14ac:dyDescent="0.2">
      <c r="A17" s="42"/>
      <c r="B17" s="50"/>
      <c r="C17" s="50"/>
      <c r="D17" s="50"/>
      <c r="E17" s="45"/>
      <c r="F17" s="106" t="s">
        <v>85</v>
      </c>
      <c r="G17" s="107"/>
      <c r="H17" s="106" t="s">
        <v>86</v>
      </c>
      <c r="J17" s="48"/>
      <c r="M17" s="139" t="str">
        <f>IF(W18=TRUE,B18,IF(W20=TRUE,B20,""))</f>
        <v/>
      </c>
      <c r="N17" s="109"/>
      <c r="O17" s="32"/>
      <c r="P17" s="109"/>
      <c r="Q17" s="32"/>
      <c r="R17" s="51" t="str">
        <f>IF(OR(Y16=FALSE,AB16=FALSE),"",IF(AC17=TRUE,"WINNAAR","2e"))</f>
        <v/>
      </c>
      <c r="S17" s="108" t="s">
        <v>94</v>
      </c>
      <c r="T17" s="108" t="s">
        <v>89</v>
      </c>
      <c r="U17" s="48"/>
      <c r="V17" s="48"/>
      <c r="W17" s="48"/>
      <c r="X17" s="44"/>
      <c r="Y17" s="51" t="str">
        <f>IF(N17&lt;1,"",IF(N17+O17&gt;N15+O15,"--&gt;&gt;",IF(N17+O17&lt;N15+O15,"  2e","")))</f>
        <v/>
      </c>
      <c r="Z17" s="51"/>
      <c r="AA17" s="99">
        <f>O17+Q17</f>
        <v>0</v>
      </c>
      <c r="AB17" s="99"/>
      <c r="AC17" s="99" t="b">
        <f>AA17&gt;AA15</f>
        <v>0</v>
      </c>
    </row>
    <row r="18" spans="1:30" ht="30" customHeight="1" x14ac:dyDescent="0.25">
      <c r="A18" s="42">
        <v>3</v>
      </c>
      <c r="B18" s="19" t="str">
        <f>Uitslag!$C$13</f>
        <v>Team naam 3</v>
      </c>
      <c r="C18" s="20"/>
      <c r="D18" s="19" t="str">
        <f>Uitslag!$D$13</f>
        <v>Vereniging 3</v>
      </c>
      <c r="E18" s="109"/>
      <c r="F18" s="32"/>
      <c r="G18" s="34"/>
      <c r="H18" s="100"/>
      <c r="J18" s="34"/>
      <c r="K18" s="51" t="str">
        <f>IF(W18=TRUE,"--&gt;&gt;","")</f>
        <v/>
      </c>
      <c r="L18" s="51"/>
      <c r="O18" s="54"/>
      <c r="P18" s="54"/>
      <c r="Q18" s="54"/>
      <c r="R18" s="54"/>
      <c r="S18" s="34"/>
      <c r="T18" s="99"/>
      <c r="U18" s="99"/>
      <c r="V18" s="99">
        <f>F18+H18</f>
        <v>0</v>
      </c>
      <c r="W18" s="99" t="b">
        <f>AND(U19=TRUE,V18&gt;V20)</f>
        <v>0</v>
      </c>
      <c r="X18" s="54"/>
      <c r="AA18" s="52"/>
    </row>
    <row r="19" spans="1:30" ht="27" customHeight="1" x14ac:dyDescent="0.2">
      <c r="A19" s="42"/>
      <c r="B19" s="46"/>
      <c r="C19" s="46"/>
      <c r="D19" s="46"/>
      <c r="E19" s="45"/>
      <c r="F19" s="47"/>
      <c r="G19" s="48"/>
      <c r="H19" s="48" t="str">
        <f>IF(T19=TRUE,"SO","")</f>
        <v/>
      </c>
      <c r="J19" s="48"/>
      <c r="O19" s="54"/>
      <c r="P19" s="54"/>
      <c r="S19" s="99" t="b">
        <f>AND(F18&lt;&gt;"",F20&lt;&gt;"")</f>
        <v>0</v>
      </c>
      <c r="T19" s="99" t="b">
        <f>AND(S19=TRUE,F18=F20)</f>
        <v>0</v>
      </c>
      <c r="U19" s="99" t="b">
        <f>IF(S19=FALSE,FALSE,OR(T19=FALSE,AND(H18&lt;&gt;"",H20&lt;&gt;"")))</f>
        <v>0</v>
      </c>
      <c r="V19" s="48"/>
      <c r="W19" s="48"/>
    </row>
    <row r="20" spans="1:30" ht="27" customHeight="1" x14ac:dyDescent="0.2">
      <c r="A20" s="42">
        <v>2</v>
      </c>
      <c r="B20" s="19" t="str">
        <f>Uitslag!$C$12</f>
        <v>Team naam 2</v>
      </c>
      <c r="C20" s="20"/>
      <c r="D20" s="19" t="str">
        <f>Uitslag!$D$12</f>
        <v>Vereniging 2</v>
      </c>
      <c r="E20" s="109"/>
      <c r="F20" s="32"/>
      <c r="G20" s="34"/>
      <c r="H20" s="100"/>
      <c r="J20" s="34"/>
      <c r="K20" s="51"/>
      <c r="L20" s="51"/>
      <c r="S20" s="34"/>
      <c r="T20" s="99"/>
      <c r="U20" s="99"/>
      <c r="V20" s="99">
        <f>F20+H20</f>
        <v>0</v>
      </c>
      <c r="W20" s="99" t="b">
        <f>AND(U19=TRUE,V20&gt;V18)</f>
        <v>0</v>
      </c>
    </row>
    <row r="25" spans="1:30" ht="30" x14ac:dyDescent="0.2">
      <c r="M25" s="151" t="s">
        <v>101</v>
      </c>
      <c r="N25" s="152"/>
      <c r="O25" s="152"/>
      <c r="P25" s="152"/>
      <c r="Q25" s="153"/>
      <c r="R25" s="44"/>
      <c r="S25" s="44"/>
      <c r="T25" s="44"/>
      <c r="U25" s="44"/>
      <c r="V25" s="44"/>
      <c r="W25" s="44"/>
      <c r="X25" s="44"/>
    </row>
    <row r="29" spans="1:30" ht="20.25" x14ac:dyDescent="0.2">
      <c r="M29" s="44"/>
      <c r="N29" s="44"/>
      <c r="O29" s="106" t="s">
        <v>85</v>
      </c>
      <c r="P29" s="106"/>
      <c r="Q29" s="106" t="s">
        <v>86</v>
      </c>
      <c r="R29" s="106"/>
      <c r="S29" s="106"/>
      <c r="T29" s="106"/>
      <c r="U29" s="106"/>
      <c r="V29" s="106"/>
      <c r="W29" s="106"/>
      <c r="X29" s="106"/>
      <c r="Y29" s="98" t="s">
        <v>92</v>
      </c>
      <c r="Z29" s="98" t="s">
        <v>90</v>
      </c>
      <c r="AA29" s="103" t="s">
        <v>91</v>
      </c>
      <c r="AB29" s="104" t="s">
        <v>93</v>
      </c>
      <c r="AC29" s="104" t="s">
        <v>110</v>
      </c>
    </row>
    <row r="30" spans="1:30" ht="30" x14ac:dyDescent="0.2">
      <c r="M30" s="139" t="str">
        <f>IF(W12=TRUE,B14,IF(W14=TRUE,B12,""))</f>
        <v/>
      </c>
      <c r="N30" s="109"/>
      <c r="O30" s="32"/>
      <c r="P30" s="109"/>
      <c r="Q30" s="32"/>
      <c r="R30" s="51" t="str">
        <f>IF(OR(Y31=FALSE,AB31=FALSE),"",IF(AC30=TRUE,"3e","4e"))</f>
        <v/>
      </c>
      <c r="S30" s="51"/>
      <c r="T30" s="51"/>
      <c r="U30" s="44"/>
      <c r="V30" s="44"/>
      <c r="W30" s="44"/>
      <c r="X30" s="44"/>
      <c r="AA30" s="99">
        <f>O30+Q30</f>
        <v>0</v>
      </c>
      <c r="AC30" s="99" t="b">
        <f>AA30&gt;AA32</f>
        <v>0</v>
      </c>
    </row>
    <row r="31" spans="1:30" ht="25.5" x14ac:dyDescent="0.2">
      <c r="M31" s="53"/>
      <c r="N31" s="44"/>
      <c r="O31" s="140"/>
      <c r="P31" s="140"/>
      <c r="Q31" s="48" t="str">
        <f>IF(Z31=TRUE,"SO","")</f>
        <v/>
      </c>
      <c r="R31" s="44"/>
      <c r="S31" s="44"/>
      <c r="T31" s="44"/>
      <c r="U31" s="44"/>
      <c r="V31" s="44"/>
      <c r="W31" s="44"/>
      <c r="X31" s="44"/>
      <c r="Y31" s="99" t="b">
        <f>AND(O30&lt;&gt;"",O32&lt;&gt;"")</f>
        <v>0</v>
      </c>
      <c r="Z31" s="99" t="b">
        <f>AND(Y31=TRUE,O30=O32)</f>
        <v>0</v>
      </c>
      <c r="AA31" s="105"/>
      <c r="AB31" s="99" t="b">
        <f>OR(AND(Q30&lt;&gt;"",Q32&lt;&gt;""),Z31=FALSE)</f>
        <v>1</v>
      </c>
      <c r="AC31" s="105"/>
      <c r="AD31" s="54"/>
    </row>
    <row r="32" spans="1:30" ht="30" x14ac:dyDescent="0.2">
      <c r="M32" s="139" t="str">
        <f>IF(W18=TRUE,B20,IF(W20=TRUE,B18,""))</f>
        <v/>
      </c>
      <c r="N32" s="109"/>
      <c r="O32" s="32"/>
      <c r="P32" s="109"/>
      <c r="Q32" s="32"/>
      <c r="R32" s="51" t="str">
        <f>IF(OR(Y31=FALSE,AB31=FALSE),"",IF(AC32=TRUE,"3e","4e"))</f>
        <v/>
      </c>
      <c r="S32" s="51"/>
      <c r="T32" s="51"/>
      <c r="U32" s="44"/>
      <c r="V32" s="44"/>
      <c r="W32" s="44"/>
      <c r="X32" s="44"/>
      <c r="Y32" s="51" t="str">
        <f>IF(N32&lt;1,"",IF(N32+O32&gt;N30+O30,"--&gt;&gt;",IF(N32+O32&lt;N30+O30,"  2e","")))</f>
        <v/>
      </c>
      <c r="Z32" s="51"/>
      <c r="AA32" s="99">
        <f>O32+Q32</f>
        <v>0</v>
      </c>
      <c r="AB32" s="99"/>
      <c r="AC32" s="99" t="b">
        <f>AA32&gt;AA30</f>
        <v>0</v>
      </c>
    </row>
    <row r="36" spans="18:20" x14ac:dyDescent="0.2">
      <c r="R36" s="101"/>
      <c r="S36" s="101"/>
      <c r="T36" s="101"/>
    </row>
  </sheetData>
  <phoneticPr fontId="18" type="noConversion"/>
  <conditionalFormatting sqref="Q15 Q17">
    <cfRule type="expression" dxfId="3" priority="11">
      <formula>Z$16=FALSE</formula>
    </cfRule>
  </conditionalFormatting>
  <conditionalFormatting sqref="Q30 Q32">
    <cfRule type="expression" dxfId="2" priority="1">
      <formula>Z$31=FALSE</formula>
    </cfRule>
  </conditionalFormatting>
  <conditionalFormatting sqref="H12 H18">
    <cfRule type="expression" dxfId="1" priority="12">
      <formula>T13=FALSE</formula>
    </cfRule>
  </conditionalFormatting>
  <conditionalFormatting sqref="H14 H20">
    <cfRule type="expression" dxfId="0" priority="13">
      <formula>T13=FALSE</formula>
    </cfRule>
  </conditionalFormatting>
  <pageMargins left="0.75" right="0.75" top="1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Uitleg</vt:lpstr>
      <vt:lpstr>Toegestane deelnemers</vt:lpstr>
      <vt:lpstr>Deelnemers en Scores</vt:lpstr>
      <vt:lpstr>Uitslag</vt:lpstr>
      <vt:lpstr>Finales 8 teams</vt:lpstr>
      <vt:lpstr>Finales 4 teams</vt:lpstr>
      <vt:lpstr>'Deelnemers en Scores'!Print_Area</vt:lpstr>
      <vt:lpstr>'Finales 4 teams'!Print_Area</vt:lpstr>
      <vt:lpstr>'Finales 8 teams'!Print_Area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2021-12-24T21:26:23Z</cp:lastPrinted>
  <dcterms:created xsi:type="dcterms:W3CDTF">1998-02-10T19:58:49Z</dcterms:created>
  <dcterms:modified xsi:type="dcterms:W3CDTF">2021-12-24T21:28:08Z</dcterms:modified>
</cp:coreProperties>
</file>