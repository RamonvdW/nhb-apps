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"/>
    </mc:Choice>
  </mc:AlternateContent>
  <xr:revisionPtr revIDLastSave="0" documentId="13_ncr:1_{B72621F5-B8DA-4E11-9A6D-E63A25224A06}" xr6:coauthVersionLast="47" xr6:coauthVersionMax="47" xr10:uidLastSave="{00000000-0000-0000-0000-000000000000}"/>
  <bookViews>
    <workbookView xWindow="-120" yWindow="-120" windowWidth="29040" windowHeight="15840" tabRatio="412" xr2:uid="{00000000-000D-0000-FFFF-FFFF00000000}"/>
  </bookViews>
  <sheets>
    <sheet name="Uitleg" sheetId="16" r:id="rId1"/>
    <sheet name="Invallers" sheetId="18" r:id="rId2"/>
    <sheet name="Deelnemers en Scores" sheetId="12" r:id="rId3"/>
    <sheet name="Uitslag" sheetId="3" r:id="rId4"/>
    <sheet name="Finales" sheetId="15" r:id="rId5"/>
    <sheet name="FINALE incl kwart" sheetId="9" state="hidden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 incl kwart'!$A$2:$AA$28</definedName>
    <definedName name="_xlnm.Print_Area" localSheetId="4">Finales!$A$3:$AG$21</definedName>
    <definedName name="_xlnm.Print_Area" localSheetId="1">Invallers!$B$4:$G$18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8" l="1"/>
  <c r="B1" i="18"/>
  <c r="W6" i="15"/>
  <c r="P4" i="3"/>
  <c r="B4" i="18"/>
  <c r="H19" i="15"/>
  <c r="I19" i="15" s="1"/>
  <c r="H13" i="15"/>
  <c r="I13" i="15" s="1"/>
  <c r="J13" i="15" s="1"/>
  <c r="AB16" i="15"/>
  <c r="AC16" i="15" s="1"/>
  <c r="AE16" i="15" s="1"/>
  <c r="AB17" i="15"/>
  <c r="AD17" i="15"/>
  <c r="AD15" i="15"/>
  <c r="N19" i="15"/>
  <c r="S19" i="15" s="1"/>
  <c r="N13" i="15"/>
  <c r="L20" i="15"/>
  <c r="L18" i="15"/>
  <c r="L14" i="15"/>
  <c r="L12" i="15"/>
  <c r="B6" i="15"/>
  <c r="D22" i="3"/>
  <c r="D20" i="3"/>
  <c r="D19" i="3"/>
  <c r="D18" i="3"/>
  <c r="D17" i="3"/>
  <c r="D24" i="9" s="1"/>
  <c r="D16" i="3"/>
  <c r="D21" i="3"/>
  <c r="D15" i="3"/>
  <c r="D14" i="3"/>
  <c r="D13" i="3"/>
  <c r="D12" i="3"/>
  <c r="D11" i="3"/>
  <c r="J10" i="12"/>
  <c r="J11" i="12"/>
  <c r="J12" i="12"/>
  <c r="J13" i="12"/>
  <c r="C13" i="3"/>
  <c r="C20" i="3"/>
  <c r="C14" i="3"/>
  <c r="B18" i="9" s="1"/>
  <c r="C19" i="3"/>
  <c r="C22" i="3"/>
  <c r="C12" i="3"/>
  <c r="C11" i="3"/>
  <c r="C21" i="3"/>
  <c r="B4" i="3"/>
  <c r="B4" i="15"/>
  <c r="W4" i="9"/>
  <c r="B4" i="9"/>
  <c r="O25" i="9"/>
  <c r="O21" i="9"/>
  <c r="O17" i="9"/>
  <c r="O13" i="9"/>
  <c r="I12" i="9"/>
  <c r="I14" i="9"/>
  <c r="I16" i="9"/>
  <c r="I18" i="9"/>
  <c r="I20" i="9"/>
  <c r="I24" i="9"/>
  <c r="I26" i="9"/>
  <c r="I22" i="9"/>
  <c r="W21" i="9"/>
  <c r="W17" i="9"/>
  <c r="B22" i="3"/>
  <c r="J79" i="12"/>
  <c r="J78" i="12"/>
  <c r="J77" i="12"/>
  <c r="J76" i="12"/>
  <c r="J73" i="12"/>
  <c r="J72" i="12"/>
  <c r="J71" i="12"/>
  <c r="J70" i="12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J21" i="3"/>
  <c r="J20" i="3"/>
  <c r="J19" i="3"/>
  <c r="O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67" i="12"/>
  <c r="J66" i="12"/>
  <c r="J65" i="12"/>
  <c r="J64" i="12"/>
  <c r="J61" i="12"/>
  <c r="J60" i="12"/>
  <c r="J59" i="12"/>
  <c r="J58" i="12"/>
  <c r="J16" i="12"/>
  <c r="J17" i="12"/>
  <c r="J18" i="12"/>
  <c r="J19" i="12"/>
  <c r="J22" i="12"/>
  <c r="J23" i="12"/>
  <c r="J24" i="12"/>
  <c r="J25" i="12"/>
  <c r="J28" i="12"/>
  <c r="J29" i="12"/>
  <c r="J30" i="12"/>
  <c r="J31" i="12"/>
  <c r="J34" i="12"/>
  <c r="J35" i="12"/>
  <c r="J36" i="12"/>
  <c r="J37" i="12"/>
  <c r="J40" i="12"/>
  <c r="J41" i="12"/>
  <c r="J42" i="12"/>
  <c r="J43" i="12"/>
  <c r="J46" i="12"/>
  <c r="J47" i="12"/>
  <c r="J48" i="12"/>
  <c r="J49" i="12"/>
  <c r="J52" i="12"/>
  <c r="J53" i="12"/>
  <c r="J54" i="12"/>
  <c r="J55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K13" i="9"/>
  <c r="M15" i="9"/>
  <c r="S17" i="9" s="1"/>
  <c r="U19" i="9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C18" i="3"/>
  <c r="E14" i="3"/>
  <c r="F14" i="3"/>
  <c r="G14" i="3"/>
  <c r="H14" i="3"/>
  <c r="J14" i="3"/>
  <c r="K14" i="3"/>
  <c r="P14" i="3" s="1"/>
  <c r="L14" i="3"/>
  <c r="Q14" i="3" s="1"/>
  <c r="M14" i="3"/>
  <c r="B15" i="3"/>
  <c r="K17" i="9"/>
  <c r="E15" i="3"/>
  <c r="F15" i="3"/>
  <c r="G15" i="3"/>
  <c r="H15" i="3"/>
  <c r="J15" i="3"/>
  <c r="O15" i="3" s="1"/>
  <c r="K15" i="3"/>
  <c r="P15" i="3" s="1"/>
  <c r="L15" i="3"/>
  <c r="Q15" i="3" s="1"/>
  <c r="M15" i="3"/>
  <c r="R15" i="3" s="1"/>
  <c r="B16" i="3"/>
  <c r="C16" i="3"/>
  <c r="B22" i="9" s="1"/>
  <c r="C17" i="3"/>
  <c r="K21" i="9"/>
  <c r="E16" i="3"/>
  <c r="F16" i="3"/>
  <c r="G16" i="3"/>
  <c r="H16" i="3"/>
  <c r="J16" i="3"/>
  <c r="O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K25" i="9"/>
  <c r="M23" i="9"/>
  <c r="S21" i="9" s="1"/>
  <c r="K13" i="15" l="1"/>
  <c r="K19" i="15"/>
  <c r="AF17" i="15"/>
  <c r="AG17" i="15" s="1"/>
  <c r="AF15" i="15"/>
  <c r="AG15" i="15" s="1"/>
  <c r="S13" i="15"/>
  <c r="D12" i="15"/>
  <c r="D20" i="15"/>
  <c r="B16" i="9"/>
  <c r="D18" i="9"/>
  <c r="D14" i="9"/>
  <c r="B24" i="9"/>
  <c r="O20" i="3"/>
  <c r="Q20" i="3"/>
  <c r="B18" i="15"/>
  <c r="D20" i="9"/>
  <c r="B12" i="9"/>
  <c r="D16" i="9"/>
  <c r="P20" i="3"/>
  <c r="R20" i="3"/>
  <c r="B20" i="15"/>
  <c r="B14" i="9"/>
  <c r="D22" i="9"/>
  <c r="P21" i="3"/>
  <c r="R21" i="3"/>
  <c r="Q21" i="3"/>
  <c r="O21" i="3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K75" i="12"/>
  <c r="K21" i="12"/>
  <c r="K69" i="12"/>
  <c r="B26" i="9"/>
  <c r="S22" i="3"/>
  <c r="V22" i="3" s="1"/>
  <c r="K63" i="12"/>
  <c r="B6" i="9"/>
  <c r="K45" i="12"/>
  <c r="K57" i="12"/>
  <c r="K51" i="12"/>
  <c r="K39" i="12"/>
  <c r="K27" i="12"/>
  <c r="K15" i="12"/>
  <c r="K33" i="12"/>
  <c r="B14" i="15"/>
  <c r="B12" i="15"/>
  <c r="K9" i="12"/>
  <c r="D14" i="15"/>
  <c r="B20" i="9"/>
  <c r="D18" i="15"/>
  <c r="D26" i="9"/>
  <c r="D12" i="9"/>
  <c r="O16" i="15" l="1"/>
  <c r="R16" i="15" s="1"/>
  <c r="M14" i="15"/>
  <c r="U14" i="15" s="1"/>
  <c r="M12" i="15"/>
  <c r="M20" i="15"/>
  <c r="U20" i="15" s="1"/>
  <c r="M18" i="15"/>
  <c r="U18" i="15" s="1"/>
  <c r="J19" i="15"/>
  <c r="S20" i="3"/>
  <c r="V20" i="3" s="1"/>
  <c r="S16" i="3"/>
  <c r="V16" i="3" s="1"/>
  <c r="S21" i="3"/>
  <c r="V21" i="3" s="1"/>
  <c r="S17" i="3"/>
  <c r="V17" i="3" s="1"/>
  <c r="S15" i="3"/>
  <c r="V15" i="3" s="1"/>
  <c r="S14" i="3"/>
  <c r="V14" i="3" s="1"/>
  <c r="S13" i="3"/>
  <c r="V13" i="3" s="1"/>
  <c r="S12" i="3"/>
  <c r="V12" i="3" s="1"/>
  <c r="S18" i="3"/>
  <c r="V18" i="3" s="1"/>
  <c r="S19" i="3"/>
  <c r="V19" i="3" s="1"/>
  <c r="S11" i="3"/>
  <c r="V11" i="3" s="1"/>
  <c r="U12" i="15" l="1"/>
  <c r="T12" i="15"/>
  <c r="Q16" i="15"/>
  <c r="W15" i="15"/>
  <c r="W17" i="15"/>
  <c r="T20" i="15"/>
  <c r="T18" i="15"/>
  <c r="T14" i="15"/>
</calcChain>
</file>

<file path=xl/sharedStrings.xml><?xml version="1.0" encoding="utf-8"?>
<sst xmlns="http://schemas.openxmlformats.org/spreadsheetml/2006/main" count="188" uniqueCount="123">
  <si>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</si>
  <si>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</si>
  <si>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</si>
  <si>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</si>
  <si>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</si>
  <si>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</si>
  <si>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</si>
  <si>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</si>
  <si>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</si>
  <si>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</si>
  <si>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</si>
  <si>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</si>
  <si>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</si>
  <si>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KWART FINALE</t>
  </si>
  <si>
    <t>Klasse: ???</t>
  </si>
  <si>
    <t>Vereniging</t>
  </si>
  <si>
    <t>Team naam</t>
  </si>
  <si>
    <t>Bondsnr</t>
  </si>
  <si>
    <t>Sporters</t>
  </si>
  <si>
    <t>Regio</t>
  </si>
  <si>
    <t>Organisatie</t>
  </si>
  <si>
    <t>Team naam 2</t>
  </si>
  <si>
    <t>Team naam 3</t>
  </si>
  <si>
    <t>Team naam 1</t>
  </si>
  <si>
    <t>Vereniging 1</t>
  </si>
  <si>
    <t>Vereniging 2</t>
  </si>
  <si>
    <t>Vereniging 3</t>
  </si>
  <si>
    <t>Team naam 4</t>
  </si>
  <si>
    <t>Vereniging 12</t>
  </si>
  <si>
    <t>Team naam 12</t>
  </si>
  <si>
    <t>Team naam 11</t>
  </si>
  <si>
    <t>Vereniging 11</t>
  </si>
  <si>
    <t>Vereniging 10</t>
  </si>
  <si>
    <t>Team naam 10</t>
  </si>
  <si>
    <t>Vereniging 9</t>
  </si>
  <si>
    <t>Team naam 9</t>
  </si>
  <si>
    <t>Vereniging 8</t>
  </si>
  <si>
    <t>Team naam 8</t>
  </si>
  <si>
    <t>Vereniging 7</t>
  </si>
  <si>
    <t>Team naam 7</t>
  </si>
  <si>
    <t>Vereniging 6</t>
  </si>
  <si>
    <t>Team naam 6</t>
  </si>
  <si>
    <t>Vereniging 4</t>
  </si>
  <si>
    <t>Vereniging 5</t>
  </si>
  <si>
    <t>Team naam 5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</si>
  <si>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</si>
  <si>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</si>
  <si>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</si>
  <si>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</si>
  <si>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</si>
  <si>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</si>
  <si>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</si>
  <si>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</si>
  <si>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Sporter 1</t>
  </si>
  <si>
    <t>Sporter 2</t>
  </si>
  <si>
    <t>Sporter 3</t>
  </si>
  <si>
    <t>Sporter 4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</si>
  <si>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</si>
  <si>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</si>
  <si>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</si>
  <si>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</si>
  <si>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</si>
  <si>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</si>
  <si>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</si>
  <si>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Je hebt dit blad vooringevuld gekregen vanuit MijnHandboogsport met de laatste stand van zaken op moment van download.</t>
  </si>
  <si>
    <r>
      <t xml:space="preserve">Toegestane invallers staan op het blad </t>
    </r>
    <r>
      <rPr>
        <b/>
        <sz val="12"/>
        <rFont val="Arial"/>
        <family val="2"/>
      </rPr>
      <t>Invallers</t>
    </r>
    <r>
      <rPr>
        <sz val="12"/>
        <rFont val="Arial"/>
        <family val="2"/>
      </rPr>
      <t xml:space="preserve"> en mogen geen hoger gemiddelde hebben dan de uitvaller.</t>
    </r>
  </si>
  <si>
    <t>Deelnemers en Scores</t>
  </si>
  <si>
    <t>Uitslag</t>
  </si>
  <si>
    <t>Finales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</si>
  <si>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</si>
  <si>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Finales</t>
    </r>
    <r>
      <rPr>
        <sz val="12"/>
        <rFont val="Arial"/>
        <family val="2"/>
      </rPr>
      <t>: voor de finales (neemt informatie automatisch over van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</si>
  <si>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</si>
  <si>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</si>
  <si>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Invallers</t>
  </si>
  <si>
    <r>
      <t>Invallers</t>
    </r>
    <r>
      <rPr>
        <sz val="12"/>
        <rFont val="Arial"/>
        <family val="2"/>
      </rPr>
      <t>: alle gerechtigde invallers met hun gemiddelde kunnen hier gevonden worden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</si>
  <si>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</si>
  <si>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</si>
  <si>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</si>
  <si>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</si>
  <si>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</si>
  <si>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</si>
  <si>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t>Instinctive Bow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</si>
  <si>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</si>
  <si>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</si>
  <si>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Invallers moeten handmatig doorgevoerd worden op dit blad in kolom F.</t>
  </si>
  <si>
    <t>De scores van de voorrondes moeten ingevuld worden in kolommen H en I.</t>
  </si>
  <si>
    <t>Dit blad bevat alle gerechtigde invallers met hun gemiddelde + boogtype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</si>
  <si>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</si>
  <si>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</si>
  <si>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</si>
  <si>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</si>
  <si>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</si>
  <si>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</si>
  <si>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</si>
  <si>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</si>
  <si>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</si>
  <si>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</si>
  <si>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</si>
  <si>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Brons score</t>
  </si>
  <si>
    <t>SO2 nodig</t>
  </si>
  <si>
    <t>Score + SO2</t>
  </si>
  <si>
    <t>Shoot-off
brons</t>
  </si>
  <si>
    <t>so nodig</t>
  </si>
  <si>
    <t>Score + SO</t>
  </si>
  <si>
    <t>ingevuld 1</t>
  </si>
  <si>
    <t>Ingevuld 2</t>
  </si>
  <si>
    <t>De juiste team namen worden doorgezet naar de finale.</t>
  </si>
  <si>
    <t>Vul de scores in van halve finale in in kolom F.</t>
  </si>
  <si>
    <t>Instructies voor een juist gebruik van dit RK programma</t>
  </si>
  <si>
    <t>Dit werkboek bestaat uit 5 bladen:</t>
  </si>
  <si>
    <t>Ingevuld 1</t>
  </si>
  <si>
    <t>Ingevuld 3</t>
  </si>
  <si>
    <t>De baannummers mag wijzigen.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</si>
  <si>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laten sorteren, want dan gaat alle transport tussen de bladen fout.</t>
    </r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</si>
  <si>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</si>
  <si>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De twee overgebleven teams zijn meteen 3e en 4e, of hebben ook een shoot-off nodig. Vul in in kolom Q.</t>
  </si>
  <si>
    <t>Indien nodig zal het blad aangeven dat een shoot-off nodig (de grijze kleur verdwijnt).</t>
  </si>
  <si>
    <t>Vul de resultaten van de shoot-off in in kolom J.</t>
  </si>
  <si>
    <t>Vul de scores van de final in in kolom Y.</t>
  </si>
  <si>
    <t>Indien nodig zal het blad aangeven dat een shoot-off nodig. Vul de resultaten van de shoot-off in in kolom AA.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</si>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</sst>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8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65"/>
        <bgColor indexed="8"/>
      </patternFill>
    </fill>
    <fill>
      <patternFill patternType="solid">
        <fgColor indexed="9"/>
        <bgColor indexed="64"/>
      </patternFill>
    </fill>
    <fill>
      <patternFill patternType="lightGray">
        <fgColor indexed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1" fillId="0" borderId="0"/>
  </cellStyleXfs>
  <cellXfs count="210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Protection="1"/>
    <xf numFmtId="0" fontId="0" fillId="2" borderId="13" xfId="0" applyFill="1" applyBorder="1" applyProtection="1"/>
    <xf numFmtId="0" fontId="0" fillId="2" borderId="14" xfId="0" applyFill="1" applyBorder="1" applyProtection="1"/>
    <xf numFmtId="0" fontId="2" fillId="2" borderId="15" xfId="0" applyFont="1" applyFill="1" applyBorder="1" applyProtection="1"/>
    <xf numFmtId="0" fontId="2" fillId="0" borderId="0" xfId="0" applyFont="1" applyProtection="1"/>
    <xf numFmtId="0" fontId="0" fillId="2" borderId="0" xfId="0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/>
    </xf>
    <xf numFmtId="0" fontId="3" fillId="0" borderId="0" xfId="0" applyFont="1" applyProtection="1"/>
    <xf numFmtId="0" fontId="3" fillId="0" borderId="16" xfId="0" applyFont="1" applyBorder="1" applyProtection="1"/>
    <xf numFmtId="0" fontId="3" fillId="0" borderId="17" xfId="0" applyFont="1" applyBorder="1" applyProtection="1"/>
    <xf numFmtId="0" fontId="0" fillId="0" borderId="18" xfId="0" applyBorder="1"/>
    <xf numFmtId="0" fontId="5" fillId="0" borderId="19" xfId="0" applyFont="1" applyBorder="1" applyAlignment="1">
      <alignment horizontal="left"/>
    </xf>
    <xf numFmtId="0" fontId="6" fillId="0" borderId="0" xfId="0" applyFont="1"/>
    <xf numFmtId="0" fontId="2" fillId="0" borderId="0" xfId="0" applyFont="1" applyAlignment="1" applyProtection="1">
      <alignment horizontal="left" vertical="center"/>
    </xf>
    <xf numFmtId="0" fontId="0" fillId="3" borderId="0" xfId="0" applyFill="1" applyBorder="1" applyProtection="1"/>
    <xf numFmtId="0" fontId="3" fillId="0" borderId="0" xfId="0" applyFont="1" applyBorder="1" applyProtection="1"/>
    <xf numFmtId="0" fontId="5" fillId="0" borderId="17" xfId="0" applyFont="1" applyBorder="1" applyAlignment="1" applyProtection="1">
      <alignment horizontal="left"/>
    </xf>
    <xf numFmtId="0" fontId="2" fillId="2" borderId="13" xfId="0" applyFont="1" applyFill="1" applyBorder="1" applyProtection="1"/>
    <xf numFmtId="0" fontId="5" fillId="0" borderId="21" xfId="0" applyFont="1" applyBorder="1" applyAlignment="1">
      <alignment horizontal="left"/>
    </xf>
    <xf numFmtId="0" fontId="11" fillId="0" borderId="0" xfId="0" applyFont="1" applyAlignment="1">
      <alignment horizontal="left" vertical="center"/>
    </xf>
    <xf numFmtId="0" fontId="5" fillId="0" borderId="21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horizontal="left" vertical="center"/>
    </xf>
    <xf numFmtId="0" fontId="11" fillId="0" borderId="0" xfId="0" applyFont="1" applyAlignment="1" applyProtection="1">
      <alignment horizontal="left" vertical="center"/>
    </xf>
    <xf numFmtId="0" fontId="13" fillId="0" borderId="21" xfId="0" applyFont="1" applyBorder="1" applyAlignment="1" applyProtection="1">
      <alignment horizontal="center"/>
      <protection locked="0"/>
    </xf>
    <xf numFmtId="0" fontId="10" fillId="2" borderId="13" xfId="0" applyFont="1" applyFill="1" applyBorder="1" applyProtection="1"/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0" fontId="1" fillId="0" borderId="0" xfId="1" applyAlignment="1"/>
    <xf numFmtId="1" fontId="15" fillId="0" borderId="0" xfId="0" applyNumberFormat="1" applyFont="1" applyBorder="1" applyAlignment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6" fillId="0" borderId="21" xfId="0" applyFont="1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1" fontId="9" fillId="2" borderId="28" xfId="0" applyNumberFormat="1" applyFont="1" applyFill="1" applyBorder="1" applyAlignment="1" applyProtection="1">
      <alignment horizontal="center" vertical="center"/>
    </xf>
    <xf numFmtId="1" fontId="9" fillId="0" borderId="30" xfId="0" applyNumberFormat="1" applyFont="1" applyBorder="1" applyAlignment="1" applyProtection="1">
      <alignment horizontal="center" vertical="center"/>
    </xf>
    <xf numFmtId="0" fontId="13" fillId="0" borderId="2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" fillId="0" borderId="16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16" fillId="0" borderId="31" xfId="0" applyFont="1" applyBorder="1" applyAlignment="1" applyProtection="1">
      <alignment horizontal="center" vertical="center"/>
      <protection locked="0"/>
    </xf>
    <xf numFmtId="0" fontId="16" fillId="0" borderId="32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6" fillId="0" borderId="31" xfId="0" applyFont="1" applyBorder="1" applyAlignment="1" applyProtection="1">
      <alignment horizontal="center"/>
      <protection locked="0"/>
    </xf>
    <xf numFmtId="0" fontId="2" fillId="2" borderId="15" xfId="0" applyFont="1" applyFill="1" applyBorder="1" applyAlignment="1" applyProtection="1">
      <alignment vertical="center"/>
      <protection locked="0"/>
    </xf>
    <xf numFmtId="0" fontId="3" fillId="2" borderId="13" xfId="0" applyFont="1" applyFill="1" applyBorder="1" applyProtection="1">
      <protection locked="0"/>
    </xf>
    <xf numFmtId="0" fontId="0" fillId="2" borderId="13" xfId="0" applyFill="1" applyBorder="1" applyProtection="1">
      <protection locked="0"/>
    </xf>
    <xf numFmtId="0" fontId="8" fillId="2" borderId="13" xfId="0" applyFont="1" applyFill="1" applyBorder="1" applyProtection="1">
      <protection locked="0"/>
    </xf>
    <xf numFmtId="0" fontId="3" fillId="2" borderId="14" xfId="0" applyFont="1" applyFill="1" applyBorder="1" applyProtection="1"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Font="1" applyAlignment="1" applyProtection="1">
      <alignment horizontal="center"/>
      <protection locked="0"/>
    </xf>
    <xf numFmtId="0" fontId="14" fillId="0" borderId="0" xfId="1" applyFont="1" applyAlignment="1"/>
    <xf numFmtId="0" fontId="12" fillId="0" borderId="0" xfId="0" applyFont="1"/>
    <xf numFmtId="0" fontId="0" fillId="0" borderId="0" xfId="0" applyBorder="1"/>
    <xf numFmtId="0" fontId="12" fillId="2" borderId="15" xfId="0" applyFont="1" applyFill="1" applyBorder="1" applyProtection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12" fillId="4" borderId="0" xfId="0" applyFont="1" applyFill="1"/>
    <xf numFmtId="0" fontId="0" fillId="4" borderId="0" xfId="0" applyFill="1" applyAlignment="1" applyProtection="1">
      <alignment horizontal="left" vertical="center"/>
    </xf>
    <xf numFmtId="0" fontId="0" fillId="4" borderId="0" xfId="0" applyFill="1" applyProtection="1"/>
    <xf numFmtId="0" fontId="5" fillId="4" borderId="0" xfId="0" applyFont="1" applyFill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/>
    <xf numFmtId="0" fontId="11" fillId="4" borderId="0" xfId="0" applyFont="1" applyFill="1" applyAlignment="1" applyProtection="1">
      <alignment horizontal="left" vertical="center"/>
    </xf>
    <xf numFmtId="0" fontId="0" fillId="4" borderId="0" xfId="0" applyFill="1" applyBorder="1" applyProtection="1"/>
    <xf numFmtId="0" fontId="2" fillId="4" borderId="0" xfId="0" applyFont="1" applyFill="1" applyAlignment="1" applyProtection="1">
      <alignment horizontal="left" vertical="center"/>
    </xf>
    <xf numFmtId="0" fontId="3" fillId="4" borderId="0" xfId="0" applyFont="1" applyFill="1" applyProtection="1"/>
    <xf numFmtId="0" fontId="11" fillId="4" borderId="0" xfId="0" applyFont="1" applyFill="1" applyAlignment="1">
      <alignment horizontal="left" vertical="center"/>
    </xf>
    <xf numFmtId="0" fontId="3" fillId="4" borderId="0" xfId="0" applyFont="1" applyFill="1" applyBorder="1" applyProtection="1">
      <protection locked="0"/>
    </xf>
    <xf numFmtId="0" fontId="3" fillId="4" borderId="0" xfId="0" applyFont="1" applyFill="1" applyBorder="1" applyProtection="1"/>
    <xf numFmtId="0" fontId="0" fillId="4" borderId="34" xfId="0" applyFill="1" applyBorder="1" applyProtection="1"/>
    <xf numFmtId="0" fontId="2" fillId="4" borderId="0" xfId="0" applyFont="1" applyFill="1" applyBorder="1" applyProtection="1"/>
    <xf numFmtId="0" fontId="0" fillId="4" borderId="0" xfId="0" applyFill="1" applyBorder="1"/>
    <xf numFmtId="0" fontId="5" fillId="4" borderId="0" xfId="0" applyFont="1" applyFill="1" applyBorder="1" applyAlignment="1">
      <alignment horizontal="left"/>
    </xf>
    <xf numFmtId="0" fontId="0" fillId="4" borderId="0" xfId="0" applyFill="1" applyBorder="1" applyAlignment="1" applyProtection="1">
      <alignment horizontal="left" vertical="center"/>
    </xf>
    <xf numFmtId="0" fontId="13" fillId="4" borderId="0" xfId="0" applyFont="1" applyFill="1" applyBorder="1" applyAlignment="1" applyProtection="1">
      <alignment horizontal="center"/>
      <protection locked="0"/>
    </xf>
    <xf numFmtId="0" fontId="16" fillId="4" borderId="0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/>
    <xf numFmtId="0" fontId="11" fillId="4" borderId="0" xfId="0" applyFont="1" applyFill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Alignment="1" applyProtection="1">
      <protection locked="0"/>
    </xf>
    <xf numFmtId="49" fontId="8" fillId="2" borderId="13" xfId="0" applyNumberFormat="1" applyFont="1" applyFill="1" applyBorder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22" xfId="1" applyNumberFormat="1" applyFont="1" applyBorder="1" applyAlignment="1">
      <alignment horizontal="right" vertical="center"/>
    </xf>
    <xf numFmtId="164" fontId="14" fillId="0" borderId="25" xfId="1" applyNumberFormat="1" applyFont="1" applyBorder="1" applyAlignment="1">
      <alignment horizontal="left" vertical="center"/>
    </xf>
    <xf numFmtId="0" fontId="14" fillId="0" borderId="33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25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26" xfId="1" applyFont="1" applyBorder="1" applyAlignment="1">
      <alignment horizontal="center" vertical="center"/>
    </xf>
    <xf numFmtId="0" fontId="14" fillId="6" borderId="25" xfId="1" applyFont="1" applyFill="1" applyBorder="1" applyAlignment="1">
      <alignment horizontal="center"/>
    </xf>
    <xf numFmtId="0" fontId="14" fillId="0" borderId="22" xfId="1" applyFont="1" applyBorder="1" applyAlignment="1">
      <alignment horizontal="left" vertical="center"/>
    </xf>
    <xf numFmtId="0" fontId="14" fillId="0" borderId="25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 applyProtection="1">
      <alignment horizontal="center" vertical="center"/>
    </xf>
    <xf numFmtId="1" fontId="7" fillId="0" borderId="29" xfId="0" applyNumberFormat="1" applyFont="1" applyBorder="1" applyAlignment="1" applyProtection="1">
      <alignment horizontal="center" vertical="center"/>
    </xf>
    <xf numFmtId="1" fontId="7" fillId="0" borderId="21" xfId="0" applyNumberFormat="1" applyFont="1" applyBorder="1" applyAlignment="1" applyProtection="1">
      <alignment horizontal="center" vertical="center"/>
    </xf>
    <xf numFmtId="1" fontId="7" fillId="0" borderId="27" xfId="0" applyNumberFormat="1" applyFont="1" applyBorder="1" applyAlignment="1" applyProtection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" vertical="center"/>
      <protection locked="0"/>
    </xf>
    <xf numFmtId="0" fontId="17" fillId="0" borderId="31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 applyProtection="1">
      <alignment horizontal="center" vertical="center"/>
      <protection locked="0"/>
    </xf>
    <xf numFmtId="0" fontId="6" fillId="4" borderId="0" xfId="0" applyFont="1" applyFill="1"/>
    <xf numFmtId="0" fontId="6" fillId="2" borderId="13" xfId="0" applyFont="1" applyFill="1" applyBorder="1" applyProtection="1"/>
    <xf numFmtId="0" fontId="6" fillId="4" borderId="0" xfId="0" applyFont="1" applyFill="1" applyBorder="1" applyProtection="1"/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0" fillId="7" borderId="0" xfId="0" applyFill="1"/>
    <xf numFmtId="0" fontId="8" fillId="7" borderId="0" xfId="0" applyFont="1" applyFill="1" applyAlignment="1" applyProtection="1">
      <alignment horizontal="center" vertical="center"/>
    </xf>
    <xf numFmtId="0" fontId="0" fillId="7" borderId="0" xfId="0" applyFill="1" applyAlignment="1" applyProtection="1">
      <alignment horizontal="left" vertical="center"/>
    </xf>
    <xf numFmtId="0" fontId="6" fillId="7" borderId="0" xfId="0" applyFont="1" applyFill="1" applyAlignment="1" applyProtection="1">
      <alignment horizontal="left" vertical="center"/>
    </xf>
    <xf numFmtId="0" fontId="8" fillId="7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/>
    </xf>
    <xf numFmtId="49" fontId="10" fillId="2" borderId="13" xfId="0" applyNumberFormat="1" applyFont="1" applyFill="1" applyBorder="1" applyAlignment="1" applyProtection="1">
      <alignment vertical="center"/>
    </xf>
    <xf numFmtId="0" fontId="12" fillId="2" borderId="15" xfId="0" applyFont="1" applyFill="1" applyBorder="1" applyAlignment="1" applyProtection="1">
      <alignment vertical="center"/>
    </xf>
    <xf numFmtId="0" fontId="2" fillId="2" borderId="13" xfId="0" applyFont="1" applyFill="1" applyBorder="1" applyAlignment="1" applyProtection="1">
      <alignment vertical="center"/>
      <protection locked="0"/>
    </xf>
    <xf numFmtId="49" fontId="22" fillId="0" borderId="0" xfId="1" applyNumberFormat="1" applyFont="1" applyAlignment="1" applyProtection="1">
      <alignment horizontal="left" vertical="center"/>
      <protection locked="0"/>
    </xf>
    <xf numFmtId="49" fontId="27" fillId="2" borderId="13" xfId="0" applyNumberFormat="1" applyFont="1" applyFill="1" applyBorder="1" applyAlignment="1" applyProtection="1">
      <alignment vertical="center"/>
      <protection locked="0"/>
    </xf>
    <xf numFmtId="0" fontId="2" fillId="2" borderId="15" xfId="0" applyFont="1" applyFill="1" applyBorder="1" applyAlignment="1" applyProtection="1">
      <alignment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left" vertical="center"/>
    </xf>
    <xf numFmtId="164" fontId="14" fillId="7" borderId="23" xfId="1" applyNumberFormat="1" applyFont="1" applyFill="1" applyBorder="1" applyAlignment="1">
      <alignment horizontal="right" vertical="center"/>
    </xf>
    <xf numFmtId="0" fontId="14" fillId="7" borderId="25" xfId="1" applyFont="1" applyFill="1" applyBorder="1" applyAlignment="1">
      <alignment horizontal="center" vertical="center"/>
    </xf>
    <xf numFmtId="0" fontId="14" fillId="7" borderId="25" xfId="1" applyFont="1" applyFill="1" applyBorder="1" applyAlignment="1">
      <alignment horizontal="left" vertical="center"/>
    </xf>
    <xf numFmtId="164" fontId="14" fillId="7" borderId="25" xfId="1" applyNumberFormat="1" applyFont="1" applyFill="1" applyBorder="1" applyAlignment="1">
      <alignment horizontal="left" vertical="center"/>
    </xf>
    <xf numFmtId="164" fontId="14" fillId="7" borderId="26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43" xfId="0" applyNumberFormat="1" applyFont="1" applyBorder="1" applyAlignment="1">
      <alignment horizontal="center" vertical="center"/>
    </xf>
    <xf numFmtId="0" fontId="2" fillId="2" borderId="0" xfId="0" applyFont="1" applyFill="1" applyBorder="1" applyProtection="1"/>
    <xf numFmtId="0" fontId="6" fillId="7" borderId="0" xfId="0" applyFont="1" applyFill="1" applyAlignment="1" applyProtection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7" borderId="22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7" borderId="33" xfId="1" applyFont="1" applyFill="1" applyBorder="1" applyAlignment="1">
      <alignment horizontal="left" vertical="center"/>
    </xf>
    <xf numFmtId="0" fontId="21" fillId="7" borderId="24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5" fillId="5" borderId="40" xfId="0" applyFont="1" applyFill="1" applyBorder="1" applyAlignment="1" applyProtection="1">
      <alignment horizontal="center" vertical="center"/>
      <protection locked="0"/>
    </xf>
    <xf numFmtId="0" fontId="5" fillId="5" borderId="39" xfId="0" applyFont="1" applyFill="1" applyBorder="1" applyAlignment="1" applyProtection="1">
      <alignment horizontal="center" vertical="center"/>
      <protection locked="0"/>
    </xf>
    <xf numFmtId="0" fontId="5" fillId="5" borderId="41" xfId="0" applyFont="1" applyFill="1" applyBorder="1" applyAlignment="1" applyProtection="1">
      <alignment horizontal="center" vertical="center"/>
      <protection locked="0"/>
    </xf>
    <xf numFmtId="0" fontId="5" fillId="5" borderId="35" xfId="0" applyFont="1" applyFill="1" applyBorder="1" applyAlignment="1" applyProtection="1">
      <alignment horizontal="center" vertical="center"/>
      <protection locked="0"/>
    </xf>
    <xf numFmtId="0" fontId="5" fillId="5" borderId="36" xfId="0" applyFont="1" applyFill="1" applyBorder="1" applyAlignment="1" applyProtection="1">
      <alignment horizontal="center" vertical="center"/>
      <protection locked="0"/>
    </xf>
    <xf numFmtId="0" fontId="5" fillId="5" borderId="37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6" borderId="22" xfId="1" applyFont="1" applyFill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49" fontId="2" fillId="2" borderId="13" xfId="0" applyNumberFormat="1" applyFont="1" applyFill="1" applyBorder="1" applyAlignment="1" applyProtection="1">
      <alignment horizontal="center"/>
    </xf>
    <xf numFmtId="0" fontId="2" fillId="2" borderId="13" xfId="0" applyFont="1" applyFill="1" applyBorder="1" applyAlignment="1" applyProtection="1">
      <alignment horizontal="center"/>
    </xf>
  </cellXfs>
  <cellStyles count="2">
    <cellStyle name="Normal" xfId="0" builtinId="0"/>
    <cellStyle name="Standaard_team model" xfId="1" xr:uid="{00000000-0005-0000-0000-000001000000}"/>
  </cellStyles>
  <dxfs count="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2"/>
  <sheetViews>
    <sheetView showGridLines="0" tabSelected="1" workbookViewId="0"/>
  </sheetViews>
  <sheetFormatPr defaultColWidth="0" defaultRowHeight="15" zeroHeight="1" x14ac:dyDescent="0.2"/>
  <cols>
    <col min="1" max="1" width="8.88671875" style="30" customWidth="1"/>
    <col min="2" max="2" width="94.33203125" style="30" customWidth="1"/>
    <col min="3" max="16384" width="8.88671875" style="30" hidden="1"/>
  </cols>
  <sheetData>
    <row r="1" spans="1:2" x14ac:dyDescent="0.2"/>
    <row r="2" spans="1:2" s="119" customFormat="1" ht="18" x14ac:dyDescent="0.25">
      <c r="A2" s="118" t="s">
        <v>108</v>
      </c>
    </row>
    <row r="3" spans="1:2" x14ac:dyDescent="0.2"/>
    <row r="4" spans="1:2" x14ac:dyDescent="0.2">
      <c r="A4" s="30" t="s">
        <v>64</v>
      </c>
    </row>
    <row r="5" spans="1:2" x14ac:dyDescent="0.2">
      <c r="A5" s="133" t="s">
        <v>60</v>
      </c>
    </row>
    <row r="6" spans="1:2" x14ac:dyDescent="0.2">
      <c r="A6" s="133"/>
    </row>
    <row r="7" spans="1:2" x14ac:dyDescent="0.2">
      <c r="A7" s="30" t="s">
        <v>113</v>
      </c>
    </row>
    <row r="8" spans="1:2" x14ac:dyDescent="0.2"/>
    <row r="9" spans="1:2" x14ac:dyDescent="0.2">
      <c r="A9" s="30" t="s">
        <v>109</v>
      </c>
    </row>
    <row r="10" spans="1:2" ht="15.75" x14ac:dyDescent="0.25">
      <c r="B10" s="30" t="s">
        <v>72</v>
      </c>
    </row>
    <row r="11" spans="1:2" ht="15.75" x14ac:dyDescent="0.25">
      <c r="B11" s="3" t="s">
        <v>74</v>
      </c>
    </row>
    <row r="12" spans="1:2" ht="15.75" x14ac:dyDescent="0.25">
      <c r="B12" s="30" t="s">
        <v>71</v>
      </c>
    </row>
    <row r="13" spans="1:2" ht="15.75" x14ac:dyDescent="0.25">
      <c r="B13" s="30" t="s">
        <v>69</v>
      </c>
    </row>
    <row r="14" spans="1:2" ht="15.75" x14ac:dyDescent="0.25">
      <c r="B14" s="30" t="s">
        <v>70</v>
      </c>
    </row>
    <row r="15" spans="1:2" x14ac:dyDescent="0.2"/>
    <row r="16" spans="1:2" ht="15.75" x14ac:dyDescent="0.25">
      <c r="A16" s="3" t="s">
        <v>73</v>
      </c>
    </row>
    <row r="17" spans="1:2" x14ac:dyDescent="0.2">
      <c r="B17" s="30" t="s">
        <v>86</v>
      </c>
    </row>
    <row r="18" spans="1:2" x14ac:dyDescent="0.2"/>
    <row r="19" spans="1:2" x14ac:dyDescent="0.2"/>
    <row r="20" spans="1:2" ht="15.75" x14ac:dyDescent="0.25">
      <c r="A20" s="3" t="s">
        <v>66</v>
      </c>
    </row>
    <row r="21" spans="1:2" x14ac:dyDescent="0.2">
      <c r="B21" s="30" t="s">
        <v>83</v>
      </c>
    </row>
    <row r="22" spans="1:2" x14ac:dyDescent="0.2">
      <c r="B22" s="30" t="s">
        <v>84</v>
      </c>
    </row>
    <row r="23" spans="1:2" ht="15.75" x14ac:dyDescent="0.25">
      <c r="B23" s="30" t="s">
        <v>65</v>
      </c>
    </row>
    <row r="24" spans="1:2" x14ac:dyDescent="0.2">
      <c r="B24" s="30" t="s">
        <v>90</v>
      </c>
    </row>
    <row r="25" spans="1:2" x14ac:dyDescent="0.2">
      <c r="B25" s="30" t="s">
        <v>112</v>
      </c>
    </row>
    <row r="26" spans="1:2" x14ac:dyDescent="0.2">
      <c r="B26" s="30" t="s">
        <v>85</v>
      </c>
    </row>
    <row r="27" spans="1:2" x14ac:dyDescent="0.2"/>
    <row r="28" spans="1:2" x14ac:dyDescent="0.2"/>
    <row r="29" spans="1:2" ht="15.75" x14ac:dyDescent="0.25">
      <c r="A29" s="3" t="s">
        <v>67</v>
      </c>
    </row>
    <row r="30" spans="1:2" ht="15.75" x14ac:dyDescent="0.25">
      <c r="A30" s="3"/>
      <c r="B30" s="30" t="s">
        <v>87</v>
      </c>
    </row>
    <row r="31" spans="1:2" x14ac:dyDescent="0.2">
      <c r="B31" s="30" t="s">
        <v>88</v>
      </c>
    </row>
    <row r="32" spans="1:2" x14ac:dyDescent="0.2">
      <c r="B32" s="30" t="s">
        <v>89</v>
      </c>
    </row>
    <row r="33" spans="1:2" x14ac:dyDescent="0.2">
      <c r="B33" s="30" t="s">
        <v>11</v>
      </c>
    </row>
    <row r="34" spans="1:2" x14ac:dyDescent="0.2">
      <c r="B34" s="30" t="s">
        <v>91</v>
      </c>
    </row>
    <row r="35" spans="1:2" x14ac:dyDescent="0.2"/>
    <row r="36" spans="1:2" ht="15.75" x14ac:dyDescent="0.25">
      <c r="A36" s="3" t="s">
        <v>68</v>
      </c>
    </row>
    <row r="37" spans="1:2" ht="15.75" x14ac:dyDescent="0.25">
      <c r="A37" s="3"/>
      <c r="B37" s="30" t="s">
        <v>114</v>
      </c>
    </row>
    <row r="38" spans="1:2" ht="15.75" x14ac:dyDescent="0.25">
      <c r="A38" s="3"/>
      <c r="B38" s="30" t="s">
        <v>92</v>
      </c>
    </row>
    <row r="39" spans="1:2" ht="15.75" x14ac:dyDescent="0.25">
      <c r="A39" s="3"/>
      <c r="B39" s="30" t="s">
        <v>107</v>
      </c>
    </row>
    <row r="40" spans="1:2" ht="15.75" x14ac:dyDescent="0.25">
      <c r="A40" s="3"/>
      <c r="B40" s="30" t="s">
        <v>116</v>
      </c>
    </row>
    <row r="41" spans="1:2" ht="15.75" x14ac:dyDescent="0.25">
      <c r="A41" s="3"/>
      <c r="B41" s="30" t="s">
        <v>117</v>
      </c>
    </row>
    <row r="42" spans="1:2" ht="15.75" x14ac:dyDescent="0.25">
      <c r="A42" s="3"/>
      <c r="B42" s="30" t="s">
        <v>115</v>
      </c>
    </row>
    <row r="43" spans="1:2" ht="15.75" x14ac:dyDescent="0.25">
      <c r="A43" s="3"/>
      <c r="B43" s="30" t="s">
        <v>11</v>
      </c>
    </row>
    <row r="44" spans="1:2" ht="15.75" x14ac:dyDescent="0.25">
      <c r="A44" s="3"/>
    </row>
    <row r="45" spans="1:2" x14ac:dyDescent="0.2">
      <c r="B45" s="30" t="s">
        <v>106</v>
      </c>
    </row>
    <row r="46" spans="1:2" x14ac:dyDescent="0.2">
      <c r="B46" s="30" t="s">
        <v>118</v>
      </c>
    </row>
    <row r="47" spans="1:2" x14ac:dyDescent="0.2">
      <c r="B47" s="30" t="s">
        <v>119</v>
      </c>
    </row>
    <row r="48" spans="1:2" x14ac:dyDescent="0.2">
      <c r="B48" s="30" t="s">
        <v>11</v>
      </c>
    </row>
    <row r="49" spans="2:2" x14ac:dyDescent="0.2">
      <c r="B49" s="30" t="s">
        <v>91</v>
      </c>
    </row>
    <row r="50" spans="2:2" x14ac:dyDescent="0.2"/>
    <row r="51" spans="2:2" x14ac:dyDescent="0.2"/>
    <row r="52" spans="2:2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/>
  </sheetPr>
  <dimension ref="B1:H18"/>
  <sheetViews>
    <sheetView zoomScaleNormal="100" workbookViewId="0"/>
  </sheetViews>
  <sheetFormatPr defaultColWidth="7.109375" defaultRowHeight="12.75" x14ac:dyDescent="0.2"/>
  <cols>
    <col min="1" max="1" width="3.109375" style="43" customWidth="1"/>
    <col min="2" max="2" width="4.44140625" style="117" customWidth="1"/>
    <col min="3" max="3" width="5.109375" style="45" customWidth="1"/>
    <col min="4" max="4" width="29.33203125" style="182" customWidth="1"/>
    <col min="5" max="5" width="7.77734375" style="44" customWidth="1"/>
    <col min="6" max="6" width="34.44140625" style="185" customWidth="1"/>
    <col min="7" max="7" width="9.6640625" style="178" customWidth="1"/>
    <col min="8" max="8" width="11.21875" style="43" customWidth="1"/>
    <col min="9" max="16384" width="7.109375" style="43"/>
  </cols>
  <sheetData>
    <row r="1" spans="2:8" ht="24" thickBot="1" x14ac:dyDescent="0.25">
      <c r="B1" s="195" t="str">
        <f>'Deelnemers en Scores'!B1</f>
        <v>Rayon kampioenschappen Indoor Teams   Rayon 3</v>
      </c>
      <c r="C1" s="196"/>
      <c r="D1" s="196"/>
      <c r="E1" s="196"/>
      <c r="F1" s="196"/>
      <c r="G1" s="196"/>
      <c r="H1" s="197"/>
    </row>
    <row r="2" spans="2:8" x14ac:dyDescent="0.2">
      <c r="C2" s="71"/>
    </row>
    <row r="3" spans="2:8" ht="15.75" x14ac:dyDescent="0.2">
      <c r="B3" s="105" t="s">
        <v>10</v>
      </c>
      <c r="C3" s="106"/>
      <c r="D3" s="107" t="str">
        <f>'Deelnemers en Scores'!D3</f>
        <v>yyyy-mm-dd</v>
      </c>
    </row>
    <row r="4" spans="2:8" ht="23.25" x14ac:dyDescent="0.35">
      <c r="B4" s="186" t="str">
        <f>'Deelnemers en Scores'!B4</f>
        <v>Klasse: ???</v>
      </c>
      <c r="C4" s="102"/>
      <c r="G4" s="179"/>
    </row>
    <row r="6" spans="2:8" ht="20.25" x14ac:dyDescent="0.2">
      <c r="D6" s="183" t="s">
        <v>75</v>
      </c>
    </row>
    <row r="7" spans="2:8" ht="14.25" x14ac:dyDescent="0.2">
      <c r="D7" s="184" t="s">
        <v>79</v>
      </c>
    </row>
    <row r="8" spans="2:8" ht="14.25" x14ac:dyDescent="0.2">
      <c r="D8" s="184" t="s">
        <v>120</v>
      </c>
    </row>
    <row r="9" spans="2:8" x14ac:dyDescent="0.2">
      <c r="D9" s="117"/>
    </row>
    <row r="10" spans="2:8" x14ac:dyDescent="0.2">
      <c r="D10" s="173" t="s">
        <v>76</v>
      </c>
    </row>
    <row r="11" spans="2:8" x14ac:dyDescent="0.2">
      <c r="D11" s="173" t="s">
        <v>78</v>
      </c>
    </row>
    <row r="12" spans="2:8" x14ac:dyDescent="0.2">
      <c r="D12" s="173" t="s">
        <v>122</v>
      </c>
    </row>
    <row r="13" spans="2:8" x14ac:dyDescent="0.2">
      <c r="D13" s="117" t="s">
        <v>82</v>
      </c>
    </row>
    <row r="14" spans="2:8" ht="13.5" thickBot="1" x14ac:dyDescent="0.25"/>
    <row r="15" spans="2:8" ht="15" customHeight="1" x14ac:dyDescent="0.2">
      <c r="B15" s="187"/>
      <c r="C15" s="166"/>
      <c r="D15" s="167"/>
      <c r="E15" s="166"/>
      <c r="F15" s="167"/>
      <c r="G15" s="180"/>
      <c r="H15" s="168"/>
    </row>
    <row r="16" spans="2:8" ht="13.5" thickBot="1" x14ac:dyDescent="0.25">
      <c r="B16" s="188"/>
      <c r="C16" s="169" t="s">
        <v>19</v>
      </c>
      <c r="D16" s="170" t="s">
        <v>15</v>
      </c>
      <c r="E16" s="169" t="s">
        <v>17</v>
      </c>
      <c r="F16" s="170" t="s">
        <v>121</v>
      </c>
      <c r="G16" s="171" t="s">
        <v>51</v>
      </c>
      <c r="H16" s="172" t="s">
        <v>77</v>
      </c>
    </row>
    <row r="17" spans="2:8" x14ac:dyDescent="0.2">
      <c r="E17" s="45"/>
      <c r="F17" s="182"/>
      <c r="G17" s="181"/>
    </row>
    <row r="18" spans="2:8" x14ac:dyDescent="0.2">
      <c r="B18" s="131"/>
      <c r="C18" s="66">
        <v>100</v>
      </c>
      <c r="D18" s="68" t="s">
        <v>24</v>
      </c>
      <c r="E18" s="70">
        <v>123456</v>
      </c>
      <c r="F18" s="131" t="s">
        <v>80</v>
      </c>
      <c r="G18" s="114">
        <v>7.7770000000000001</v>
      </c>
      <c r="H18" s="132" t="s">
        <v>81</v>
      </c>
    </row>
  </sheetData>
  <sheetProtection selectLockedCells="1"/>
  <protectedRanges>
    <protectedRange password="E95F" sqref="E17:G18" name="Invoer"/>
  </protectedRanges>
  <dataConsolidate/>
  <mergeCells count="1">
    <mergeCell ref="B1:H1"/>
  </mergeCells>
  <pageMargins left="0.49" right="0.42" top="0.49" bottom="1.38" header="0.5" footer="0.6"/>
  <pageSetup paperSize="9" scale="9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K82"/>
  <sheetViews>
    <sheetView zoomScaleNormal="100" workbookViewId="0"/>
  </sheetViews>
  <sheetFormatPr defaultColWidth="7.109375" defaultRowHeight="12.75" x14ac:dyDescent="0.2"/>
  <cols>
    <col min="1" max="1" width="3.109375" style="43" customWidth="1"/>
    <col min="2" max="2" width="4.44140625" style="45" customWidth="1"/>
    <col min="3" max="3" width="5.109375" style="45" customWidth="1"/>
    <col min="4" max="4" width="29.33203125" style="45" customWidth="1"/>
    <col min="5" max="5" width="7.77734375" style="43" customWidth="1"/>
    <col min="6" max="6" width="34.44140625" style="43" customWidth="1"/>
    <col min="7" max="7" width="9.6640625" style="109" customWidth="1"/>
    <col min="8" max="9" width="3.6640625" style="44" customWidth="1"/>
    <col min="10" max="10" width="6.77734375" style="44" customWidth="1"/>
    <col min="11" max="11" width="6.77734375" style="43" customWidth="1"/>
    <col min="12" max="16384" width="7.109375" style="43"/>
  </cols>
  <sheetData>
    <row r="1" spans="1:11" ht="24" thickBot="1" x14ac:dyDescent="0.25">
      <c r="B1" s="198" t="s">
        <v>12</v>
      </c>
      <c r="C1" s="199"/>
      <c r="D1" s="199"/>
      <c r="E1" s="199"/>
      <c r="F1" s="199"/>
      <c r="G1" s="199"/>
      <c r="H1" s="199"/>
      <c r="I1" s="199"/>
      <c r="J1" s="199"/>
      <c r="K1" s="200"/>
    </row>
    <row r="2" spans="1:11" x14ac:dyDescent="0.2">
      <c r="B2" s="71"/>
      <c r="C2" s="71"/>
      <c r="D2" s="71"/>
    </row>
    <row r="3" spans="1:11" ht="23.25" x14ac:dyDescent="0.2">
      <c r="B3" s="105" t="s">
        <v>10</v>
      </c>
      <c r="C3" s="106"/>
      <c r="D3" s="163" t="s">
        <v>45</v>
      </c>
      <c r="E3" s="201" t="s">
        <v>20</v>
      </c>
      <c r="F3" s="201"/>
      <c r="G3" s="108" t="s">
        <v>57</v>
      </c>
      <c r="H3" s="202" t="s">
        <v>58</v>
      </c>
      <c r="I3" s="203"/>
      <c r="J3" s="203"/>
      <c r="K3" s="203"/>
    </row>
    <row r="4" spans="1:11" ht="23.25" x14ac:dyDescent="0.35">
      <c r="B4" s="104" t="s">
        <v>14</v>
      </c>
      <c r="C4" s="102"/>
      <c r="F4" s="102"/>
      <c r="G4" s="110"/>
      <c r="H4" s="203"/>
      <c r="I4" s="203"/>
      <c r="J4" s="203"/>
      <c r="K4" s="203"/>
    </row>
    <row r="5" spans="1:11" ht="13.5" thickBot="1" x14ac:dyDescent="0.25"/>
    <row r="6" spans="1:11" ht="15" customHeight="1" x14ac:dyDescent="0.2">
      <c r="B6" s="122"/>
      <c r="C6" s="123"/>
      <c r="D6" s="123"/>
      <c r="E6" s="123"/>
      <c r="F6" s="129" t="s">
        <v>16</v>
      </c>
      <c r="G6" s="120" t="s">
        <v>59</v>
      </c>
      <c r="H6" s="204" t="s">
        <v>61</v>
      </c>
      <c r="I6" s="204"/>
      <c r="J6" s="123" t="s">
        <v>8</v>
      </c>
      <c r="K6" s="126" t="s">
        <v>8</v>
      </c>
    </row>
    <row r="7" spans="1:11" ht="13.5" thickBot="1" x14ac:dyDescent="0.25">
      <c r="B7" s="124" t="s">
        <v>0</v>
      </c>
      <c r="C7" s="125" t="s">
        <v>19</v>
      </c>
      <c r="D7" s="130" t="s">
        <v>15</v>
      </c>
      <c r="E7" s="125" t="s">
        <v>17</v>
      </c>
      <c r="F7" s="130" t="s">
        <v>18</v>
      </c>
      <c r="G7" s="121" t="s">
        <v>51</v>
      </c>
      <c r="H7" s="128" t="s">
        <v>62</v>
      </c>
      <c r="I7" s="128" t="s">
        <v>63</v>
      </c>
      <c r="J7" s="125" t="s">
        <v>52</v>
      </c>
      <c r="K7" s="127" t="s">
        <v>9</v>
      </c>
    </row>
    <row r="8" spans="1:11" x14ac:dyDescent="0.2">
      <c r="E8" s="45"/>
      <c r="F8" s="45"/>
      <c r="G8" s="111"/>
      <c r="H8" s="45"/>
      <c r="I8" s="45"/>
      <c r="J8" s="45"/>
      <c r="K8" s="45"/>
    </row>
    <row r="9" spans="1:11" x14ac:dyDescent="0.2">
      <c r="B9" s="66">
        <v>1</v>
      </c>
      <c r="C9" s="66">
        <v>100</v>
      </c>
      <c r="D9" s="68" t="s">
        <v>24</v>
      </c>
      <c r="E9" s="66"/>
      <c r="F9" s="68" t="s">
        <v>23</v>
      </c>
      <c r="G9" s="116">
        <v>888.8</v>
      </c>
      <c r="H9" s="66"/>
      <c r="I9" s="66"/>
      <c r="J9" s="45"/>
      <c r="K9" s="47">
        <f>IF(COUNTA(J10:J13)&lt;3,0,IF(COUNTA(J10:J13)=3,SUM(J10:J13),IF(SUM(J10:J13)&gt;0,SUM(J10:J13)-MINA(J10:J13),0)))</f>
        <v>0</v>
      </c>
    </row>
    <row r="10" spans="1:11" x14ac:dyDescent="0.2">
      <c r="A10" s="46"/>
      <c r="B10" s="66"/>
      <c r="C10" s="66"/>
      <c r="D10" s="66"/>
      <c r="E10" s="70">
        <v>123456</v>
      </c>
      <c r="F10" s="69" t="s">
        <v>53</v>
      </c>
      <c r="G10" s="114">
        <v>7.7770000000000001</v>
      </c>
      <c r="H10" s="67">
        <v>0</v>
      </c>
      <c r="I10" s="67">
        <v>0</v>
      </c>
      <c r="J10" s="44">
        <f>SUM(H10:I10)</f>
        <v>0</v>
      </c>
    </row>
    <row r="11" spans="1:11" x14ac:dyDescent="0.2">
      <c r="A11" s="46"/>
      <c r="B11" s="66"/>
      <c r="C11" s="66"/>
      <c r="D11" s="66"/>
      <c r="E11" s="70">
        <v>123456</v>
      </c>
      <c r="F11" s="69" t="s">
        <v>54</v>
      </c>
      <c r="G11" s="114">
        <v>7.7770000000000001</v>
      </c>
      <c r="H11" s="67">
        <v>0</v>
      </c>
      <c r="I11" s="67">
        <v>0</v>
      </c>
      <c r="J11" s="44">
        <f>SUM(H11:I11)</f>
        <v>0</v>
      </c>
      <c r="K11" s="46"/>
    </row>
    <row r="12" spans="1:11" x14ac:dyDescent="0.2">
      <c r="A12" s="46"/>
      <c r="B12" s="66"/>
      <c r="C12" s="66"/>
      <c r="D12" s="66"/>
      <c r="E12" s="70">
        <v>123456</v>
      </c>
      <c r="F12" s="69" t="s">
        <v>55</v>
      </c>
      <c r="G12" s="114">
        <v>7.7770000000000001</v>
      </c>
      <c r="H12" s="67">
        <v>0</v>
      </c>
      <c r="I12" s="67">
        <v>0</v>
      </c>
      <c r="J12" s="44">
        <f>SUM(H12:I12)</f>
        <v>0</v>
      </c>
      <c r="K12" s="46"/>
    </row>
    <row r="13" spans="1:11" x14ac:dyDescent="0.2">
      <c r="A13" s="46"/>
      <c r="B13" s="66"/>
      <c r="C13" s="66"/>
      <c r="D13" s="66"/>
      <c r="E13" s="70">
        <v>123456</v>
      </c>
      <c r="F13" s="69" t="s">
        <v>56</v>
      </c>
      <c r="G13" s="114">
        <v>7.7770000000000001</v>
      </c>
      <c r="H13" s="67">
        <v>0</v>
      </c>
      <c r="I13" s="67">
        <v>0</v>
      </c>
      <c r="J13" s="44">
        <f>SUM(H13:I13)</f>
        <v>0</v>
      </c>
      <c r="K13" s="46"/>
    </row>
    <row r="14" spans="1:11" x14ac:dyDescent="0.2">
      <c r="A14" s="46"/>
      <c r="B14" s="66"/>
      <c r="C14" s="66"/>
      <c r="D14" s="66"/>
      <c r="E14" s="67"/>
      <c r="F14" s="69"/>
      <c r="G14" s="112"/>
      <c r="H14" s="67"/>
      <c r="I14" s="67"/>
      <c r="K14" s="46"/>
    </row>
    <row r="15" spans="1:11" x14ac:dyDescent="0.2">
      <c r="B15" s="66">
        <v>2</v>
      </c>
      <c r="C15" s="66">
        <v>100</v>
      </c>
      <c r="D15" s="68" t="s">
        <v>25</v>
      </c>
      <c r="E15" s="66"/>
      <c r="F15" s="68" t="s">
        <v>21</v>
      </c>
      <c r="G15" s="116">
        <v>888.8</v>
      </c>
      <c r="H15" s="67"/>
      <c r="I15" s="67"/>
      <c r="J15" s="45"/>
      <c r="K15" s="47">
        <f>IF(COUNTA(J16:J19)&lt;3,0,IF(COUNTA(J16:J19)=3,SUM(J16:J19),IF(SUM(J16:J19)&gt;0,SUM(J16:J19)-MINA(J16:J19),0)))</f>
        <v>0</v>
      </c>
    </row>
    <row r="16" spans="1:11" x14ac:dyDescent="0.2">
      <c r="B16" s="66"/>
      <c r="C16" s="66"/>
      <c r="D16" s="66"/>
      <c r="E16" s="70">
        <v>123456</v>
      </c>
      <c r="F16" s="69" t="s">
        <v>53</v>
      </c>
      <c r="G16" s="114">
        <v>7.7770000000000001</v>
      </c>
      <c r="H16" s="67">
        <v>0</v>
      </c>
      <c r="I16" s="67">
        <v>0</v>
      </c>
      <c r="J16" s="44">
        <f>SUM(H16:I16)</f>
        <v>0</v>
      </c>
    </row>
    <row r="17" spans="2:11" x14ac:dyDescent="0.2">
      <c r="B17" s="66"/>
      <c r="C17" s="66"/>
      <c r="D17" s="66"/>
      <c r="E17" s="70">
        <v>123456</v>
      </c>
      <c r="F17" s="69" t="s">
        <v>54</v>
      </c>
      <c r="G17" s="114">
        <v>7.7770000000000001</v>
      </c>
      <c r="H17" s="67">
        <v>0</v>
      </c>
      <c r="I17" s="67">
        <v>0</v>
      </c>
      <c r="J17" s="44">
        <f>SUM(H17:I17)</f>
        <v>0</v>
      </c>
    </row>
    <row r="18" spans="2:11" x14ac:dyDescent="0.2">
      <c r="B18" s="66"/>
      <c r="C18" s="66"/>
      <c r="D18" s="66"/>
      <c r="E18" s="70">
        <v>123456</v>
      </c>
      <c r="F18" s="69" t="s">
        <v>55</v>
      </c>
      <c r="G18" s="114">
        <v>7.7770000000000001</v>
      </c>
      <c r="H18" s="67">
        <v>0</v>
      </c>
      <c r="I18" s="67">
        <v>0</v>
      </c>
      <c r="J18" s="44">
        <f>SUM(H18:I18)</f>
        <v>0</v>
      </c>
    </row>
    <row r="19" spans="2:11" x14ac:dyDescent="0.2">
      <c r="B19" s="66"/>
      <c r="C19" s="66"/>
      <c r="D19" s="66"/>
      <c r="E19" s="70">
        <v>123456</v>
      </c>
      <c r="F19" s="69" t="s">
        <v>56</v>
      </c>
      <c r="G19" s="114">
        <v>7.7770000000000001</v>
      </c>
      <c r="H19" s="67">
        <v>0</v>
      </c>
      <c r="I19" s="67">
        <v>0</v>
      </c>
      <c r="J19" s="44">
        <f>SUM(H19:I19)</f>
        <v>0</v>
      </c>
    </row>
    <row r="20" spans="2:11" x14ac:dyDescent="0.2">
      <c r="B20" s="66"/>
      <c r="C20" s="66"/>
      <c r="D20" s="66"/>
      <c r="E20" s="67"/>
      <c r="F20" s="69"/>
      <c r="G20" s="112"/>
      <c r="H20" s="67"/>
      <c r="I20" s="67"/>
    </row>
    <row r="21" spans="2:11" x14ac:dyDescent="0.2">
      <c r="B21" s="66">
        <v>3</v>
      </c>
      <c r="C21" s="66">
        <v>100</v>
      </c>
      <c r="D21" s="68" t="s">
        <v>26</v>
      </c>
      <c r="E21" s="66"/>
      <c r="F21" s="68" t="s">
        <v>22</v>
      </c>
      <c r="G21" s="116">
        <v>888.8</v>
      </c>
      <c r="H21" s="67"/>
      <c r="I21" s="67"/>
      <c r="J21" s="45"/>
      <c r="K21" s="47">
        <f>IF(COUNTA(J22:J25)&lt;3,0,IF(COUNTA(J22:J25)=3,SUM(J22:J25),IF(SUM(J22:J25)&gt;0,SUM(J22:J25)-MINA(J22:J25),0)))</f>
        <v>0</v>
      </c>
    </row>
    <row r="22" spans="2:11" x14ac:dyDescent="0.2">
      <c r="B22" s="66"/>
      <c r="C22" s="66"/>
      <c r="D22" s="66"/>
      <c r="E22" s="70">
        <v>123456</v>
      </c>
      <c r="F22" s="69" t="s">
        <v>53</v>
      </c>
      <c r="G22" s="114">
        <v>7.7770000000000001</v>
      </c>
      <c r="H22" s="67">
        <v>0</v>
      </c>
      <c r="I22" s="67">
        <v>0</v>
      </c>
      <c r="J22" s="44">
        <f>SUM(H22:I22)</f>
        <v>0</v>
      </c>
    </row>
    <row r="23" spans="2:11" x14ac:dyDescent="0.2">
      <c r="B23" s="66"/>
      <c r="C23" s="66"/>
      <c r="D23" s="66"/>
      <c r="E23" s="70">
        <v>123456</v>
      </c>
      <c r="F23" s="69" t="s">
        <v>54</v>
      </c>
      <c r="G23" s="114">
        <v>7.7770000000000001</v>
      </c>
      <c r="H23" s="67">
        <v>0</v>
      </c>
      <c r="I23" s="67">
        <v>0</v>
      </c>
      <c r="J23" s="44">
        <f>SUM(H23:I23)</f>
        <v>0</v>
      </c>
    </row>
    <row r="24" spans="2:11" x14ac:dyDescent="0.2">
      <c r="B24" s="66"/>
      <c r="C24" s="66"/>
      <c r="D24" s="66"/>
      <c r="E24" s="70">
        <v>123456</v>
      </c>
      <c r="F24" s="69" t="s">
        <v>55</v>
      </c>
      <c r="G24" s="114">
        <v>7.7770000000000001</v>
      </c>
      <c r="H24" s="67">
        <v>0</v>
      </c>
      <c r="I24" s="67">
        <v>0</v>
      </c>
      <c r="J24" s="44">
        <f>SUM(H24:I24)</f>
        <v>0</v>
      </c>
    </row>
    <row r="25" spans="2:11" x14ac:dyDescent="0.2">
      <c r="B25" s="66"/>
      <c r="C25" s="66"/>
      <c r="D25" s="66"/>
      <c r="E25" s="70">
        <v>123456</v>
      </c>
      <c r="F25" s="69" t="s">
        <v>56</v>
      </c>
      <c r="G25" s="114">
        <v>7.7770000000000001</v>
      </c>
      <c r="H25" s="67">
        <v>0</v>
      </c>
      <c r="I25" s="67">
        <v>0</v>
      </c>
      <c r="J25" s="44">
        <f>SUM(H25:I25)</f>
        <v>0</v>
      </c>
    </row>
    <row r="26" spans="2:11" x14ac:dyDescent="0.2">
      <c r="B26" s="66"/>
      <c r="C26" s="66"/>
      <c r="D26" s="66"/>
      <c r="E26" s="67"/>
      <c r="F26" s="69"/>
      <c r="G26" s="112"/>
      <c r="H26" s="67"/>
      <c r="I26" s="67"/>
    </row>
    <row r="27" spans="2:11" x14ac:dyDescent="0.2">
      <c r="B27" s="66">
        <v>4</v>
      </c>
      <c r="C27" s="66">
        <v>100</v>
      </c>
      <c r="D27" s="68" t="s">
        <v>42</v>
      </c>
      <c r="E27" s="66"/>
      <c r="F27" s="68" t="s">
        <v>27</v>
      </c>
      <c r="G27" s="116">
        <v>888.8</v>
      </c>
      <c r="H27" s="67"/>
      <c r="I27" s="67"/>
      <c r="J27" s="45"/>
      <c r="K27" s="47">
        <f>IF(COUNTA(J28:J31)&lt;3,0,IF(COUNTA(J28:J31)=3,SUM(J28:J31),IF(SUM(J28:J31)&gt;0,SUM(J28:J31)-MINA(J28:J31),0)))</f>
        <v>0</v>
      </c>
    </row>
    <row r="28" spans="2:11" x14ac:dyDescent="0.2">
      <c r="B28" s="66"/>
      <c r="C28" s="66"/>
      <c r="D28" s="66"/>
      <c r="E28" s="70">
        <v>123456</v>
      </c>
      <c r="F28" s="69" t="s">
        <v>53</v>
      </c>
      <c r="G28" s="114">
        <v>7.7770000000000001</v>
      </c>
      <c r="H28" s="67">
        <v>0</v>
      </c>
      <c r="I28" s="67">
        <v>0</v>
      </c>
      <c r="J28" s="44">
        <f>SUM(H28:I28)</f>
        <v>0</v>
      </c>
    </row>
    <row r="29" spans="2:11" x14ac:dyDescent="0.2">
      <c r="B29" s="66"/>
      <c r="C29" s="66"/>
      <c r="D29" s="66"/>
      <c r="E29" s="70">
        <v>123456</v>
      </c>
      <c r="F29" s="69" t="s">
        <v>54</v>
      </c>
      <c r="G29" s="114">
        <v>7.7770000000000001</v>
      </c>
      <c r="H29" s="67">
        <v>0</v>
      </c>
      <c r="I29" s="67">
        <v>0</v>
      </c>
      <c r="J29" s="44">
        <f>SUM(H29:I29)</f>
        <v>0</v>
      </c>
    </row>
    <row r="30" spans="2:11" x14ac:dyDescent="0.2">
      <c r="B30" s="66"/>
      <c r="C30" s="66"/>
      <c r="D30" s="66"/>
      <c r="E30" s="70">
        <v>123456</v>
      </c>
      <c r="F30" s="69" t="s">
        <v>55</v>
      </c>
      <c r="G30" s="114">
        <v>7.7770000000000001</v>
      </c>
      <c r="H30" s="67">
        <v>0</v>
      </c>
      <c r="I30" s="67">
        <v>0</v>
      </c>
      <c r="J30" s="44">
        <f>SUM(H30:I30)</f>
        <v>0</v>
      </c>
    </row>
    <row r="31" spans="2:11" x14ac:dyDescent="0.2">
      <c r="B31" s="66"/>
      <c r="C31" s="66"/>
      <c r="D31" s="66"/>
      <c r="E31" s="70">
        <v>123456</v>
      </c>
      <c r="F31" s="69" t="s">
        <v>56</v>
      </c>
      <c r="G31" s="114">
        <v>7.7770000000000001</v>
      </c>
      <c r="H31" s="67">
        <v>0</v>
      </c>
      <c r="I31" s="67">
        <v>0</v>
      </c>
      <c r="J31" s="44">
        <f>SUM(H31:I31)</f>
        <v>0</v>
      </c>
    </row>
    <row r="32" spans="2:11" x14ac:dyDescent="0.2">
      <c r="B32" s="66"/>
      <c r="C32" s="66"/>
      <c r="D32" s="66"/>
      <c r="E32" s="67"/>
      <c r="F32" s="69"/>
      <c r="G32" s="112"/>
      <c r="H32" s="67"/>
      <c r="I32" s="67"/>
    </row>
    <row r="33" spans="2:11" x14ac:dyDescent="0.2">
      <c r="B33" s="66">
        <v>5</v>
      </c>
      <c r="C33" s="66">
        <v>100</v>
      </c>
      <c r="D33" s="68" t="s">
        <v>43</v>
      </c>
      <c r="E33" s="66"/>
      <c r="F33" s="68" t="s">
        <v>44</v>
      </c>
      <c r="G33" s="116">
        <v>888.8</v>
      </c>
      <c r="H33" s="67"/>
      <c r="I33" s="67"/>
      <c r="J33" s="45"/>
      <c r="K33" s="47">
        <f>IF(COUNTA(J34:J37)&lt;3,0,IF(COUNTA(J34:J37)=3,SUM(J34:J37),IF(SUM(J34:J37)&gt;0,SUM(J34:J37)-MINA(J34:J37),0)))</f>
        <v>0</v>
      </c>
    </row>
    <row r="34" spans="2:11" x14ac:dyDescent="0.2">
      <c r="B34" s="66"/>
      <c r="C34" s="66"/>
      <c r="D34" s="66"/>
      <c r="E34" s="70">
        <v>123456</v>
      </c>
      <c r="F34" s="69" t="s">
        <v>53</v>
      </c>
      <c r="G34" s="114">
        <v>7.7770000000000001</v>
      </c>
      <c r="H34" s="67">
        <v>0</v>
      </c>
      <c r="I34" s="67">
        <v>0</v>
      </c>
      <c r="J34" s="44">
        <f>SUM(H34:I34)</f>
        <v>0</v>
      </c>
    </row>
    <row r="35" spans="2:11" x14ac:dyDescent="0.2">
      <c r="B35" s="66"/>
      <c r="C35" s="66"/>
      <c r="D35" s="66"/>
      <c r="E35" s="70">
        <v>123456</v>
      </c>
      <c r="F35" s="69" t="s">
        <v>54</v>
      </c>
      <c r="G35" s="114">
        <v>7.7770000000000001</v>
      </c>
      <c r="H35" s="67">
        <v>0</v>
      </c>
      <c r="I35" s="67">
        <v>0</v>
      </c>
      <c r="J35" s="44">
        <f>SUM(H35:I35)</f>
        <v>0</v>
      </c>
    </row>
    <row r="36" spans="2:11" x14ac:dyDescent="0.2">
      <c r="B36" s="66"/>
      <c r="C36" s="66"/>
      <c r="D36" s="66"/>
      <c r="E36" s="70">
        <v>123456</v>
      </c>
      <c r="F36" s="69" t="s">
        <v>55</v>
      </c>
      <c r="G36" s="114">
        <v>7.7770000000000001</v>
      </c>
      <c r="H36" s="67">
        <v>0</v>
      </c>
      <c r="I36" s="67">
        <v>0</v>
      </c>
      <c r="J36" s="44">
        <f>SUM(H36:I36)</f>
        <v>0</v>
      </c>
    </row>
    <row r="37" spans="2:11" x14ac:dyDescent="0.2">
      <c r="B37" s="66"/>
      <c r="C37" s="66"/>
      <c r="D37" s="66"/>
      <c r="E37" s="70">
        <v>123456</v>
      </c>
      <c r="F37" s="69" t="s">
        <v>56</v>
      </c>
      <c r="G37" s="114">
        <v>7.7770000000000001</v>
      </c>
      <c r="H37" s="67">
        <v>0</v>
      </c>
      <c r="I37" s="67">
        <v>0</v>
      </c>
      <c r="J37" s="44">
        <f>SUM(H37:I37)</f>
        <v>0</v>
      </c>
    </row>
    <row r="38" spans="2:11" x14ac:dyDescent="0.2">
      <c r="B38" s="66"/>
      <c r="C38" s="66"/>
      <c r="D38" s="66"/>
      <c r="E38" s="67"/>
      <c r="F38" s="69"/>
      <c r="G38" s="112"/>
      <c r="H38" s="67"/>
      <c r="I38" s="67"/>
    </row>
    <row r="39" spans="2:11" x14ac:dyDescent="0.2">
      <c r="B39" s="66">
        <v>6</v>
      </c>
      <c r="C39" s="66">
        <v>100</v>
      </c>
      <c r="D39" s="68" t="s">
        <v>40</v>
      </c>
      <c r="E39" s="66"/>
      <c r="F39" s="68" t="s">
        <v>41</v>
      </c>
      <c r="G39" s="116">
        <v>888.8</v>
      </c>
      <c r="H39" s="67"/>
      <c r="I39" s="67"/>
      <c r="J39" s="45"/>
      <c r="K39" s="47">
        <f>IF(COUNTA(J40:J43)&lt;3,0,IF(COUNTA(J40:J43)=3,SUM(J40:J43),IF(SUM(J40:J43)&gt;0,SUM(J40:J43)-MINA(J40:J43),0)))</f>
        <v>0</v>
      </c>
    </row>
    <row r="40" spans="2:11" x14ac:dyDescent="0.2">
      <c r="B40" s="66"/>
      <c r="C40" s="66"/>
      <c r="D40" s="66"/>
      <c r="E40" s="70">
        <v>123456</v>
      </c>
      <c r="F40" s="69" t="s">
        <v>53</v>
      </c>
      <c r="G40" s="114">
        <v>7.7770000000000001</v>
      </c>
      <c r="H40" s="67">
        <v>0</v>
      </c>
      <c r="I40" s="67">
        <v>0</v>
      </c>
      <c r="J40" s="44">
        <f>SUM(H40:I40)</f>
        <v>0</v>
      </c>
    </row>
    <row r="41" spans="2:11" x14ac:dyDescent="0.2">
      <c r="B41" s="66"/>
      <c r="C41" s="66"/>
      <c r="D41" s="66"/>
      <c r="E41" s="70">
        <v>123456</v>
      </c>
      <c r="F41" s="69" t="s">
        <v>54</v>
      </c>
      <c r="G41" s="114">
        <v>7.7770000000000001</v>
      </c>
      <c r="H41" s="67">
        <v>0</v>
      </c>
      <c r="I41" s="67">
        <v>0</v>
      </c>
      <c r="J41" s="44">
        <f>SUM(H41:I41)</f>
        <v>0</v>
      </c>
    </row>
    <row r="42" spans="2:11" x14ac:dyDescent="0.2">
      <c r="B42" s="66"/>
      <c r="C42" s="66"/>
      <c r="D42" s="66"/>
      <c r="E42" s="70">
        <v>123456</v>
      </c>
      <c r="F42" s="69" t="s">
        <v>55</v>
      </c>
      <c r="G42" s="114">
        <v>7.7770000000000001</v>
      </c>
      <c r="H42" s="67">
        <v>0</v>
      </c>
      <c r="I42" s="67">
        <v>0</v>
      </c>
      <c r="J42" s="44">
        <f>SUM(H42:I42)</f>
        <v>0</v>
      </c>
    </row>
    <row r="43" spans="2:11" x14ac:dyDescent="0.2">
      <c r="B43" s="66"/>
      <c r="C43" s="66"/>
      <c r="D43" s="66"/>
      <c r="E43" s="70">
        <v>123456</v>
      </c>
      <c r="F43" s="69" t="s">
        <v>56</v>
      </c>
      <c r="G43" s="114">
        <v>7.7770000000000001</v>
      </c>
      <c r="H43" s="67">
        <v>0</v>
      </c>
      <c r="I43" s="67">
        <v>0</v>
      </c>
      <c r="J43" s="44">
        <f>SUM(H43:I43)</f>
        <v>0</v>
      </c>
    </row>
    <row r="44" spans="2:11" x14ac:dyDescent="0.2">
      <c r="B44" s="66"/>
      <c r="C44" s="66"/>
      <c r="D44" s="66"/>
      <c r="E44" s="67"/>
      <c r="F44" s="69"/>
      <c r="G44" s="112"/>
      <c r="H44" s="67"/>
      <c r="I44" s="67"/>
    </row>
    <row r="45" spans="2:11" x14ac:dyDescent="0.2">
      <c r="B45" s="66">
        <v>7</v>
      </c>
      <c r="C45" s="66">
        <v>100</v>
      </c>
      <c r="D45" s="68" t="s">
        <v>38</v>
      </c>
      <c r="E45" s="66"/>
      <c r="F45" s="68" t="s">
        <v>39</v>
      </c>
      <c r="G45" s="116">
        <v>888.8</v>
      </c>
      <c r="H45" s="67"/>
      <c r="I45" s="67"/>
      <c r="J45" s="45"/>
      <c r="K45" s="47">
        <f>IF(COUNTA(J46:J49)&lt;3,0,IF(COUNTA(J46:J49)=3,SUM(J46:J49),IF(SUM(J46:J49)&gt;0,SUM(J46:J49)-MINA(J46:J49),0)))</f>
        <v>0</v>
      </c>
    </row>
    <row r="46" spans="2:11" x14ac:dyDescent="0.2">
      <c r="B46" s="66"/>
      <c r="C46" s="66"/>
      <c r="D46" s="66"/>
      <c r="E46" s="70">
        <v>123456</v>
      </c>
      <c r="F46" s="69" t="s">
        <v>53</v>
      </c>
      <c r="G46" s="114">
        <v>7.7770000000000001</v>
      </c>
      <c r="H46" s="67">
        <v>0</v>
      </c>
      <c r="I46" s="67">
        <v>0</v>
      </c>
      <c r="J46" s="44">
        <f>SUM(H46:I46)</f>
        <v>0</v>
      </c>
    </row>
    <row r="47" spans="2:11" x14ac:dyDescent="0.2">
      <c r="B47" s="66"/>
      <c r="C47" s="66"/>
      <c r="D47" s="66"/>
      <c r="E47" s="70">
        <v>123456</v>
      </c>
      <c r="F47" s="69" t="s">
        <v>54</v>
      </c>
      <c r="G47" s="114">
        <v>7.7770000000000001</v>
      </c>
      <c r="H47" s="67">
        <v>0</v>
      </c>
      <c r="I47" s="67">
        <v>0</v>
      </c>
      <c r="J47" s="44">
        <f>SUM(H47:I47)</f>
        <v>0</v>
      </c>
    </row>
    <row r="48" spans="2:11" x14ac:dyDescent="0.2">
      <c r="B48" s="66"/>
      <c r="C48" s="66"/>
      <c r="D48" s="66"/>
      <c r="E48" s="70">
        <v>123456</v>
      </c>
      <c r="F48" s="69" t="s">
        <v>55</v>
      </c>
      <c r="G48" s="114">
        <v>7.7770000000000001</v>
      </c>
      <c r="H48" s="67">
        <v>0</v>
      </c>
      <c r="I48" s="67">
        <v>0</v>
      </c>
      <c r="J48" s="44">
        <f>SUM(H48:I48)</f>
        <v>0</v>
      </c>
    </row>
    <row r="49" spans="1:11" x14ac:dyDescent="0.2">
      <c r="B49" s="66"/>
      <c r="C49" s="66"/>
      <c r="D49" s="66"/>
      <c r="E49" s="70">
        <v>123456</v>
      </c>
      <c r="F49" s="69" t="s">
        <v>56</v>
      </c>
      <c r="G49" s="114">
        <v>7.7770000000000001</v>
      </c>
      <c r="H49" s="67">
        <v>0</v>
      </c>
      <c r="I49" s="67">
        <v>0</v>
      </c>
      <c r="J49" s="44">
        <f>SUM(H49:I49)</f>
        <v>0</v>
      </c>
    </row>
    <row r="50" spans="1:11" x14ac:dyDescent="0.2">
      <c r="B50" s="66"/>
      <c r="C50" s="66"/>
      <c r="D50" s="66"/>
      <c r="E50" s="67"/>
      <c r="F50" s="69"/>
      <c r="G50" s="112"/>
      <c r="H50" s="67"/>
      <c r="I50" s="67"/>
    </row>
    <row r="51" spans="1:11" x14ac:dyDescent="0.2">
      <c r="B51" s="66">
        <v>8</v>
      </c>
      <c r="C51" s="66">
        <v>100</v>
      </c>
      <c r="D51" s="68" t="s">
        <v>36</v>
      </c>
      <c r="E51" s="66"/>
      <c r="F51" s="68" t="s">
        <v>37</v>
      </c>
      <c r="G51" s="116">
        <v>888.8</v>
      </c>
      <c r="H51" s="67"/>
      <c r="I51" s="67"/>
      <c r="J51" s="45"/>
      <c r="K51" s="47">
        <f>IF(COUNTA(J52:J55)&lt;3,0,IF(COUNTA(J52:J55)=3,SUM(J52:J55),IF(SUM(J52:J55)&gt;0,SUM(J52:J55)-MINA(J52:J55),0)))</f>
        <v>0</v>
      </c>
    </row>
    <row r="52" spans="1:11" x14ac:dyDescent="0.2">
      <c r="B52" s="66"/>
      <c r="C52" s="66"/>
      <c r="D52" s="66"/>
      <c r="E52" s="70">
        <v>123456</v>
      </c>
      <c r="F52" s="69" t="s">
        <v>53</v>
      </c>
      <c r="G52" s="114">
        <v>7.7770000000000001</v>
      </c>
      <c r="H52" s="67">
        <v>0</v>
      </c>
      <c r="I52" s="67">
        <v>0</v>
      </c>
      <c r="J52" s="44">
        <f>SUM(H52:I52)</f>
        <v>0</v>
      </c>
    </row>
    <row r="53" spans="1:11" x14ac:dyDescent="0.2">
      <c r="B53" s="66"/>
      <c r="C53" s="66"/>
      <c r="D53" s="66"/>
      <c r="E53" s="70">
        <v>123456</v>
      </c>
      <c r="F53" s="69" t="s">
        <v>54</v>
      </c>
      <c r="G53" s="114">
        <v>7.7770000000000001</v>
      </c>
      <c r="H53" s="67">
        <v>0</v>
      </c>
      <c r="I53" s="67">
        <v>0</v>
      </c>
      <c r="J53" s="44">
        <f>SUM(H53:I53)</f>
        <v>0</v>
      </c>
    </row>
    <row r="54" spans="1:11" x14ac:dyDescent="0.2">
      <c r="B54" s="66"/>
      <c r="C54" s="66"/>
      <c r="D54" s="66"/>
      <c r="E54" s="70">
        <v>123456</v>
      </c>
      <c r="F54" s="69" t="s">
        <v>55</v>
      </c>
      <c r="G54" s="114">
        <v>7.7770000000000001</v>
      </c>
      <c r="H54" s="67">
        <v>0</v>
      </c>
      <c r="I54" s="67">
        <v>0</v>
      </c>
      <c r="J54" s="44">
        <f>SUM(H54:I54)</f>
        <v>0</v>
      </c>
    </row>
    <row r="55" spans="1:11" x14ac:dyDescent="0.2">
      <c r="B55" s="66"/>
      <c r="C55" s="66"/>
      <c r="D55" s="66"/>
      <c r="E55" s="70">
        <v>123456</v>
      </c>
      <c r="F55" s="69" t="s">
        <v>56</v>
      </c>
      <c r="G55" s="114">
        <v>7.7770000000000001</v>
      </c>
      <c r="H55" s="67">
        <v>0</v>
      </c>
      <c r="I55" s="67">
        <v>0</v>
      </c>
      <c r="J55" s="44">
        <f>SUM(H55:I55)</f>
        <v>0</v>
      </c>
    </row>
    <row r="56" spans="1:11" x14ac:dyDescent="0.2">
      <c r="B56" s="66"/>
      <c r="C56" s="66"/>
      <c r="D56" s="66"/>
      <c r="E56" s="67"/>
      <c r="F56" s="69"/>
      <c r="G56" s="112"/>
      <c r="H56" s="67"/>
      <c r="I56" s="67"/>
    </row>
    <row r="57" spans="1:11" x14ac:dyDescent="0.2">
      <c r="B57" s="66">
        <v>9</v>
      </c>
      <c r="C57" s="66">
        <v>100</v>
      </c>
      <c r="D57" s="68" t="s">
        <v>34</v>
      </c>
      <c r="E57" s="66"/>
      <c r="F57" s="68" t="s">
        <v>35</v>
      </c>
      <c r="G57" s="116">
        <v>888.8</v>
      </c>
      <c r="H57" s="67"/>
      <c r="I57" s="67"/>
      <c r="J57" s="45"/>
      <c r="K57" s="47">
        <f>IF(COUNTA(J58:J61)&lt;3,0,IF(COUNTA(J58:J61)=3,SUM(J58:J61),IF(SUM(J58:J61)&gt;0,SUM(J58:J61)-MINA(J58:J61),0)))</f>
        <v>0</v>
      </c>
    </row>
    <row r="58" spans="1:11" x14ac:dyDescent="0.2">
      <c r="B58" s="66"/>
      <c r="C58" s="66"/>
      <c r="D58" s="66"/>
      <c r="E58" s="70">
        <v>123456</v>
      </c>
      <c r="F58" s="69" t="s">
        <v>53</v>
      </c>
      <c r="G58" s="114">
        <v>7.7770000000000001</v>
      </c>
      <c r="H58" s="67">
        <v>0</v>
      </c>
      <c r="I58" s="67">
        <v>0</v>
      </c>
      <c r="J58" s="44">
        <f>SUM(H58:I58)</f>
        <v>0</v>
      </c>
    </row>
    <row r="59" spans="1:11" x14ac:dyDescent="0.2">
      <c r="B59" s="66"/>
      <c r="C59" s="66"/>
      <c r="D59" s="66"/>
      <c r="E59" s="70">
        <v>123456</v>
      </c>
      <c r="F59" s="69" t="s">
        <v>54</v>
      </c>
      <c r="G59" s="114">
        <v>7.7770000000000001</v>
      </c>
      <c r="H59" s="67">
        <v>0</v>
      </c>
      <c r="I59" s="67">
        <v>0</v>
      </c>
      <c r="J59" s="44">
        <f>SUM(H59:I59)</f>
        <v>0</v>
      </c>
    </row>
    <row r="60" spans="1:11" x14ac:dyDescent="0.2">
      <c r="B60" s="66"/>
      <c r="C60" s="66"/>
      <c r="D60" s="66"/>
      <c r="E60" s="70">
        <v>123456</v>
      </c>
      <c r="F60" s="69" t="s">
        <v>55</v>
      </c>
      <c r="G60" s="114">
        <v>7.7770000000000001</v>
      </c>
      <c r="H60" s="67">
        <v>0</v>
      </c>
      <c r="I60" s="67">
        <v>0</v>
      </c>
      <c r="J60" s="44">
        <f>SUM(H60:I60)</f>
        <v>0</v>
      </c>
    </row>
    <row r="61" spans="1:11" x14ac:dyDescent="0.2">
      <c r="B61" s="66"/>
      <c r="C61" s="66"/>
      <c r="D61" s="66"/>
      <c r="E61" s="70">
        <v>123456</v>
      </c>
      <c r="F61" s="69" t="s">
        <v>56</v>
      </c>
      <c r="G61" s="114">
        <v>7.7770000000000001</v>
      </c>
      <c r="H61" s="67">
        <v>0</v>
      </c>
      <c r="I61" s="67">
        <v>0</v>
      </c>
      <c r="J61" s="44">
        <f>SUM(H61:I61)</f>
        <v>0</v>
      </c>
    </row>
    <row r="62" spans="1:11" ht="15" x14ac:dyDescent="0.2">
      <c r="A62"/>
      <c r="B62"/>
      <c r="C62"/>
      <c r="D62"/>
      <c r="E62"/>
      <c r="F62"/>
      <c r="G62" s="113"/>
      <c r="H62" s="67"/>
      <c r="I62" s="67"/>
      <c r="J62"/>
      <c r="K62"/>
    </row>
    <row r="63" spans="1:11" x14ac:dyDescent="0.2">
      <c r="B63" s="66">
        <v>10</v>
      </c>
      <c r="C63" s="66">
        <v>100</v>
      </c>
      <c r="D63" s="68" t="s">
        <v>32</v>
      </c>
      <c r="E63" s="66"/>
      <c r="F63" s="68" t="s">
        <v>33</v>
      </c>
      <c r="G63" s="116">
        <v>888.8</v>
      </c>
      <c r="H63" s="67"/>
      <c r="I63" s="67"/>
      <c r="J63" s="45"/>
      <c r="K63" s="47">
        <f>IF(COUNTA(J64:J67)&lt;3,0,IF(COUNTA(J64:J67)=3,SUM(J64:J67),IF(SUM(J64:J67)&gt;0,SUM(J64:J67)-MINA(J64:J67),0)))</f>
        <v>0</v>
      </c>
    </row>
    <row r="64" spans="1:11" x14ac:dyDescent="0.2">
      <c r="B64" s="66"/>
      <c r="C64" s="66"/>
      <c r="D64" s="66"/>
      <c r="E64" s="70">
        <v>123456</v>
      </c>
      <c r="F64" s="69" t="s">
        <v>53</v>
      </c>
      <c r="G64" s="114">
        <v>7.7770000000000001</v>
      </c>
      <c r="H64" s="67">
        <v>0</v>
      </c>
      <c r="I64" s="67">
        <v>0</v>
      </c>
      <c r="J64" s="44">
        <f>SUM(H64:I64)</f>
        <v>0</v>
      </c>
    </row>
    <row r="65" spans="2:11" x14ac:dyDescent="0.2">
      <c r="B65" s="66"/>
      <c r="C65" s="66"/>
      <c r="D65" s="66"/>
      <c r="E65" s="70">
        <v>123456</v>
      </c>
      <c r="F65" s="69" t="s">
        <v>54</v>
      </c>
      <c r="G65" s="114">
        <v>7.7770000000000001</v>
      </c>
      <c r="H65" s="67">
        <v>0</v>
      </c>
      <c r="I65" s="67">
        <v>0</v>
      </c>
      <c r="J65" s="44">
        <f>SUM(H65:I65)</f>
        <v>0</v>
      </c>
    </row>
    <row r="66" spans="2:11" x14ac:dyDescent="0.2">
      <c r="B66" s="66"/>
      <c r="C66" s="66"/>
      <c r="D66" s="66"/>
      <c r="E66" s="70">
        <v>123456</v>
      </c>
      <c r="F66" s="69" t="s">
        <v>55</v>
      </c>
      <c r="G66" s="114">
        <v>7.7770000000000001</v>
      </c>
      <c r="H66" s="67">
        <v>0</v>
      </c>
      <c r="I66" s="67">
        <v>0</v>
      </c>
      <c r="J66" s="44">
        <f>SUM(H66:I66)</f>
        <v>0</v>
      </c>
    </row>
    <row r="67" spans="2:11" x14ac:dyDescent="0.2">
      <c r="B67" s="66"/>
      <c r="C67" s="66"/>
      <c r="D67" s="66"/>
      <c r="E67" s="70">
        <v>123456</v>
      </c>
      <c r="F67" s="69" t="s">
        <v>56</v>
      </c>
      <c r="G67" s="114">
        <v>7.7770000000000001</v>
      </c>
      <c r="H67" s="67">
        <v>0</v>
      </c>
      <c r="I67" s="67">
        <v>0</v>
      </c>
      <c r="J67" s="44">
        <f>SUM(H67:I67)</f>
        <v>0</v>
      </c>
    </row>
    <row r="68" spans="2:11" x14ac:dyDescent="0.2">
      <c r="H68" s="67"/>
      <c r="I68" s="67"/>
    </row>
    <row r="69" spans="2:11" x14ac:dyDescent="0.2">
      <c r="B69" s="66">
        <v>11</v>
      </c>
      <c r="C69" s="66">
        <v>100</v>
      </c>
      <c r="D69" s="68" t="s">
        <v>31</v>
      </c>
      <c r="E69" s="66"/>
      <c r="F69" s="68" t="s">
        <v>30</v>
      </c>
      <c r="G69" s="116">
        <v>888.8</v>
      </c>
      <c r="H69" s="67"/>
      <c r="I69" s="67"/>
      <c r="J69" s="45"/>
      <c r="K69" s="47">
        <f>IF(COUNTA(J70:J73)&lt;3,0,IF(COUNTA(J70:J73)=3,SUM(J70:J73),IF(SUM(J70:J73)&gt;0,SUM(J70:J73)-MINA(J70:J73),0)))</f>
        <v>0</v>
      </c>
    </row>
    <row r="70" spans="2:11" x14ac:dyDescent="0.2">
      <c r="B70" s="66"/>
      <c r="C70" s="66"/>
      <c r="D70" s="66"/>
      <c r="E70" s="70">
        <v>123456</v>
      </c>
      <c r="F70" s="69" t="s">
        <v>53</v>
      </c>
      <c r="G70" s="114">
        <v>7.7770000000000001</v>
      </c>
      <c r="H70" s="67">
        <v>0</v>
      </c>
      <c r="I70" s="67">
        <v>0</v>
      </c>
      <c r="J70" s="44">
        <f>SUM(H70:I70)</f>
        <v>0</v>
      </c>
    </row>
    <row r="71" spans="2:11" x14ac:dyDescent="0.2">
      <c r="B71" s="66"/>
      <c r="C71" s="66"/>
      <c r="D71" s="66"/>
      <c r="E71" s="70">
        <v>123456</v>
      </c>
      <c r="F71" s="69" t="s">
        <v>54</v>
      </c>
      <c r="G71" s="114">
        <v>7.7770000000000001</v>
      </c>
      <c r="H71" s="67">
        <v>0</v>
      </c>
      <c r="I71" s="67">
        <v>0</v>
      </c>
      <c r="J71" s="44">
        <f>SUM(H71:I71)</f>
        <v>0</v>
      </c>
    </row>
    <row r="72" spans="2:11" x14ac:dyDescent="0.2">
      <c r="B72" s="66"/>
      <c r="C72" s="66"/>
      <c r="D72" s="66"/>
      <c r="E72" s="70">
        <v>123456</v>
      </c>
      <c r="F72" s="69" t="s">
        <v>55</v>
      </c>
      <c r="G72" s="114">
        <v>7.7770000000000001</v>
      </c>
      <c r="H72" s="67">
        <v>0</v>
      </c>
      <c r="I72" s="67">
        <v>0</v>
      </c>
      <c r="J72" s="44">
        <f>SUM(H72:I72)</f>
        <v>0</v>
      </c>
    </row>
    <row r="73" spans="2:11" x14ac:dyDescent="0.2">
      <c r="B73" s="66"/>
      <c r="C73" s="66"/>
      <c r="D73" s="66"/>
      <c r="E73" s="70">
        <v>123456</v>
      </c>
      <c r="F73" s="69" t="s">
        <v>56</v>
      </c>
      <c r="G73" s="114">
        <v>7.7770000000000001</v>
      </c>
      <c r="H73" s="67">
        <v>0</v>
      </c>
      <c r="I73" s="67">
        <v>0</v>
      </c>
      <c r="J73" s="44">
        <f>SUM(H73:I73)</f>
        <v>0</v>
      </c>
    </row>
    <row r="74" spans="2:11" x14ac:dyDescent="0.2">
      <c r="H74" s="67"/>
      <c r="I74" s="67"/>
    </row>
    <row r="75" spans="2:11" x14ac:dyDescent="0.2">
      <c r="B75" s="66">
        <v>12</v>
      </c>
      <c r="C75" s="66">
        <v>100</v>
      </c>
      <c r="D75" s="68" t="s">
        <v>28</v>
      </c>
      <c r="E75" s="66"/>
      <c r="F75" s="68" t="s">
        <v>29</v>
      </c>
      <c r="G75" s="116">
        <v>888.8</v>
      </c>
      <c r="H75" s="67"/>
      <c r="I75" s="67"/>
      <c r="J75" s="45"/>
      <c r="K75" s="47">
        <f>IF(COUNTA(J76:J79)&lt;3,0,IF(COUNTA(J76:J79)=3,SUM(J76:J79),IF(SUM(J76:J79)&gt;0,SUM(J76:J79)-MINA(J76:J79),0)))</f>
        <v>0</v>
      </c>
    </row>
    <row r="76" spans="2:11" x14ac:dyDescent="0.2">
      <c r="B76" s="66"/>
      <c r="C76" s="66"/>
      <c r="D76" s="66"/>
      <c r="E76" s="70">
        <v>123456</v>
      </c>
      <c r="F76" s="69" t="s">
        <v>53</v>
      </c>
      <c r="G76" s="114">
        <v>7.7770000000000001</v>
      </c>
      <c r="H76" s="67">
        <v>0</v>
      </c>
      <c r="I76" s="67">
        <v>0</v>
      </c>
      <c r="J76" s="44">
        <f>SUM(H76:I76)</f>
        <v>0</v>
      </c>
    </row>
    <row r="77" spans="2:11" x14ac:dyDescent="0.2">
      <c r="B77" s="66"/>
      <c r="C77" s="66"/>
      <c r="D77" s="66"/>
      <c r="E77" s="70">
        <v>123456</v>
      </c>
      <c r="F77" s="69" t="s">
        <v>54</v>
      </c>
      <c r="G77" s="114">
        <v>7.7770000000000001</v>
      </c>
      <c r="H77" s="67">
        <v>0</v>
      </c>
      <c r="I77" s="67">
        <v>0</v>
      </c>
      <c r="J77" s="44">
        <f>SUM(H77:I77)</f>
        <v>0</v>
      </c>
    </row>
    <row r="78" spans="2:11" x14ac:dyDescent="0.2">
      <c r="B78" s="66"/>
      <c r="C78" s="66"/>
      <c r="D78" s="66"/>
      <c r="E78" s="70">
        <v>123456</v>
      </c>
      <c r="F78" s="69" t="s">
        <v>55</v>
      </c>
      <c r="G78" s="114">
        <v>7.7770000000000001</v>
      </c>
      <c r="H78" s="67">
        <v>0</v>
      </c>
      <c r="I78" s="67">
        <v>0</v>
      </c>
      <c r="J78" s="44">
        <f>SUM(H78:I78)</f>
        <v>0</v>
      </c>
    </row>
    <row r="79" spans="2:11" x14ac:dyDescent="0.2">
      <c r="B79" s="66"/>
      <c r="C79" s="66"/>
      <c r="D79" s="66"/>
      <c r="E79" s="70">
        <v>123456</v>
      </c>
      <c r="F79" s="69" t="s">
        <v>56</v>
      </c>
      <c r="G79" s="114">
        <v>7.7770000000000001</v>
      </c>
      <c r="H79" s="67">
        <v>0</v>
      </c>
      <c r="I79" s="67">
        <v>0</v>
      </c>
      <c r="J79" s="44">
        <f>SUM(H79:I79)</f>
        <v>0</v>
      </c>
    </row>
    <row r="82" spans="2:2" x14ac:dyDescent="0.2">
      <c r="B82" s="117" t="s">
        <v>60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86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V22"/>
  <sheetViews>
    <sheetView defaultGridColor="0" colorId="22" zoomScale="85" zoomScaleNormal="85" workbookViewId="0"/>
  </sheetViews>
  <sheetFormatPr defaultColWidth="9.77734375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</cols>
  <sheetData>
    <row r="1" spans="1:22" ht="73.5" customHeight="1" x14ac:dyDescent="0.2"/>
    <row r="2" spans="1:22" ht="30" customHeight="1" x14ac:dyDescent="0.3">
      <c r="B2" s="61" t="str">
        <f>'Deelnemers en Scores'!B1</f>
        <v>Rayon kampioenschappen Indoor Teams   Rayon 3</v>
      </c>
      <c r="C2" s="62"/>
      <c r="D2" s="62"/>
      <c r="E2" s="62"/>
      <c r="F2" s="62"/>
      <c r="G2" s="62"/>
      <c r="H2" s="62"/>
      <c r="I2" s="62"/>
      <c r="J2" s="63"/>
      <c r="K2" s="64"/>
      <c r="L2" s="64"/>
      <c r="M2" s="62"/>
      <c r="N2" s="164"/>
      <c r="O2" s="162"/>
      <c r="P2" s="63"/>
      <c r="Q2" s="103"/>
      <c r="R2" s="63"/>
      <c r="S2" s="65"/>
    </row>
    <row r="4" spans="1:22" ht="28.5" customHeight="1" x14ac:dyDescent="0.25">
      <c r="B4" s="2" t="str">
        <f>'Deelnemers en Scores'!B4</f>
        <v>Klasse: ???</v>
      </c>
      <c r="E4" s="3"/>
      <c r="O4" s="192" t="s">
        <v>10</v>
      </c>
      <c r="P4" s="189" t="str">
        <f>'Deelnemers en Scores'!D3</f>
        <v>yyyy-mm-dd</v>
      </c>
      <c r="Q4" s="115"/>
      <c r="R4" s="190"/>
      <c r="S4" s="191"/>
    </row>
    <row r="5" spans="1:22" ht="12.95" customHeight="1" x14ac:dyDescent="0.2"/>
    <row r="7" spans="1:22" ht="21" customHeight="1" x14ac:dyDescent="0.25">
      <c r="B7" s="4"/>
      <c r="C7" s="5"/>
      <c r="D7" s="6"/>
      <c r="E7" s="205" t="s">
        <v>46</v>
      </c>
      <c r="F7" s="206"/>
      <c r="G7" s="206"/>
      <c r="H7" s="207"/>
      <c r="I7" s="142"/>
      <c r="J7" s="205" t="s">
        <v>47</v>
      </c>
      <c r="K7" s="206"/>
      <c r="L7" s="206"/>
      <c r="M7" s="207"/>
      <c r="N7" s="142"/>
      <c r="O7" s="205" t="s">
        <v>48</v>
      </c>
      <c r="P7" s="206"/>
      <c r="Q7" s="206"/>
      <c r="R7" s="207"/>
      <c r="S7" s="7"/>
      <c r="U7" s="138" t="s">
        <v>4</v>
      </c>
      <c r="V7" s="140" t="s">
        <v>5</v>
      </c>
    </row>
    <row r="8" spans="1:22" ht="21" customHeight="1" x14ac:dyDescent="0.2">
      <c r="A8" s="1"/>
      <c r="B8" s="8" t="s">
        <v>0</v>
      </c>
      <c r="C8" s="100" t="s">
        <v>15</v>
      </c>
      <c r="D8" s="101" t="s">
        <v>16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139" t="s">
        <v>6</v>
      </c>
      <c r="V8" s="141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143" t="s">
        <v>49</v>
      </c>
      <c r="U9" s="30"/>
      <c r="V9" s="30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143" t="s">
        <v>50</v>
      </c>
      <c r="U10" s="30"/>
      <c r="V10" s="30"/>
    </row>
    <row r="11" spans="1:22" ht="19.899999999999999" customHeight="1" x14ac:dyDescent="0.2">
      <c r="A11" s="1">
        <f>A10+1</f>
        <v>1</v>
      </c>
      <c r="B11" s="48">
        <f>IF('Deelnemers en Scores'!B9&gt;0,'Deelnemers en Scores'!B9,"")</f>
        <v>1</v>
      </c>
      <c r="C11" s="49" t="str">
        <f>IF('Deelnemers en Scores'!F9="","",'Deelnemers en Scores'!F9)</f>
        <v>Team naam 1</v>
      </c>
      <c r="D11" s="50" t="str">
        <f>'Deelnemers en Scores'!D9</f>
        <v>Vereniging 1</v>
      </c>
      <c r="E11" s="134" t="str">
        <f>IF('Deelnemers en Scores'!H10=0,"",'Deelnemers en Scores'!H10)</f>
        <v/>
      </c>
      <c r="F11" s="134" t="str">
        <f>IF('Deelnemers en Scores'!H11=0,"",'Deelnemers en Scores'!H11)</f>
        <v/>
      </c>
      <c r="G11" s="134" t="str">
        <f>IF('Deelnemers en Scores'!H12=0,"",'Deelnemers en Scores'!H12)</f>
        <v/>
      </c>
      <c r="H11" s="134" t="str">
        <f>IF('Deelnemers en Scores'!H13=0,"",'Deelnemers en Scores'!H13)</f>
        <v/>
      </c>
      <c r="I11" s="51"/>
      <c r="J11" s="134" t="str">
        <f>IF('Deelnemers en Scores'!I10=0,"",'Deelnemers en Scores'!I10)</f>
        <v/>
      </c>
      <c r="K11" s="134" t="str">
        <f>IF('Deelnemers en Scores'!I11=0,"",'Deelnemers en Scores'!I11)</f>
        <v/>
      </c>
      <c r="L11" s="134" t="str">
        <f>IF('Deelnemers en Scores'!I12=0,"",'Deelnemers en Scores'!I12)</f>
        <v/>
      </c>
      <c r="M11" s="134" t="str">
        <f>IF('Deelnemers en Scores'!I13=0,"",'Deelnemers en Scores'!I13)</f>
        <v/>
      </c>
      <c r="N11" s="51"/>
      <c r="O11" s="135" t="str">
        <f t="shared" ref="O11:O22" si="0">IF(ISNUMBER(J11),E11+J11,"")</f>
        <v/>
      </c>
      <c r="P11" s="136" t="str">
        <f t="shared" ref="P11:P22" si="1">IF(ISNUMBER(K11),F11+K11,"")</f>
        <v/>
      </c>
      <c r="Q11" s="136" t="str">
        <f t="shared" ref="Q11:Q22" si="2">IF(ISNUMBER(L11),G11+L11,"")</f>
        <v/>
      </c>
      <c r="R11" s="137" t="str">
        <f t="shared" ref="R11:R22" si="3">IF(ISNUMBER(M11),H11+M11,"")</f>
        <v/>
      </c>
      <c r="S11" s="52">
        <f t="shared" ref="S11:S22" si="4">IF(COUNTA(O11:R11)&lt;3,0,IF(COUNTA(O11:R11)=3,SUM(O11:R11),IF(SUM(O11:R11)&gt;0,SUM(O11:R11)-MINA(O11:R11),0)))</f>
        <v>0</v>
      </c>
      <c r="T11" s="30"/>
      <c r="U11" s="174"/>
      <c r="V11" s="175">
        <f t="shared" ref="V11:V22" si="5">S11+U11</f>
        <v>0</v>
      </c>
    </row>
    <row r="12" spans="1:22" ht="19.899999999999999" customHeight="1" x14ac:dyDescent="0.2">
      <c r="A12" s="1">
        <f t="shared" ref="A12:A22" si="6">A11+1</f>
        <v>2</v>
      </c>
      <c r="B12" s="48">
        <f>IF('Deelnemers en Scores'!B15&gt;0,'Deelnemers en Scores'!B15,"")</f>
        <v>2</v>
      </c>
      <c r="C12" s="49" t="str">
        <f>IF('Deelnemers en Scores'!F15="","",'Deelnemers en Scores'!F15)</f>
        <v>Team naam 2</v>
      </c>
      <c r="D12" s="50" t="str">
        <f>'Deelnemers en Scores'!D15</f>
        <v>Vereniging 2</v>
      </c>
      <c r="E12" s="134" t="str">
        <f>IF('Deelnemers en Scores'!H16=0,"",'Deelnemers en Scores'!H16)</f>
        <v/>
      </c>
      <c r="F12" s="134" t="str">
        <f>IF('Deelnemers en Scores'!H17=0,"",'Deelnemers en Scores'!H17)</f>
        <v/>
      </c>
      <c r="G12" s="134" t="str">
        <f>IF('Deelnemers en Scores'!H18=0,"",'Deelnemers en Scores'!H18)</f>
        <v/>
      </c>
      <c r="H12" s="134" t="str">
        <f>IF('Deelnemers en Scores'!H19=0,"",'Deelnemers en Scores'!H19)</f>
        <v/>
      </c>
      <c r="I12" s="51"/>
      <c r="J12" s="134" t="str">
        <f>IF('Deelnemers en Scores'!I16=0,"",'Deelnemers en Scores'!I16)</f>
        <v/>
      </c>
      <c r="K12" s="134" t="str">
        <f>IF('Deelnemers en Scores'!I17=0,"",'Deelnemers en Scores'!I17)</f>
        <v/>
      </c>
      <c r="L12" s="134" t="str">
        <f>IF('Deelnemers en Scores'!I18=0,"",'Deelnemers en Scores'!I18)</f>
        <v/>
      </c>
      <c r="M12" s="134" t="str">
        <f>IF('Deelnemers en Scores'!I19=0,"",'Deelnemers en Scores'!I19)</f>
        <v/>
      </c>
      <c r="N12" s="51"/>
      <c r="O12" s="135" t="str">
        <f t="shared" si="0"/>
        <v/>
      </c>
      <c r="P12" s="136" t="str">
        <f t="shared" si="1"/>
        <v/>
      </c>
      <c r="Q12" s="136" t="str">
        <f t="shared" si="2"/>
        <v/>
      </c>
      <c r="R12" s="137" t="str">
        <f t="shared" si="3"/>
        <v/>
      </c>
      <c r="S12" s="52">
        <f t="shared" si="4"/>
        <v>0</v>
      </c>
      <c r="T12" s="30"/>
      <c r="U12" s="174"/>
      <c r="V12" s="175">
        <f t="shared" si="5"/>
        <v>0</v>
      </c>
    </row>
    <row r="13" spans="1:22" ht="19.899999999999999" customHeight="1" x14ac:dyDescent="0.2">
      <c r="A13" s="1">
        <f t="shared" si="6"/>
        <v>3</v>
      </c>
      <c r="B13" s="48">
        <f>IF('Deelnemers en Scores'!B21&gt;0,'Deelnemers en Scores'!B21,"")</f>
        <v>3</v>
      </c>
      <c r="C13" s="49" t="str">
        <f>IF('Deelnemers en Scores'!F21="","",'Deelnemers en Scores'!F21)</f>
        <v>Team naam 3</v>
      </c>
      <c r="D13" s="50" t="str">
        <f>'Deelnemers en Scores'!D21</f>
        <v>Vereniging 3</v>
      </c>
      <c r="E13" s="134" t="str">
        <f>IF('Deelnemers en Scores'!H22=0,"",'Deelnemers en Scores'!H22)</f>
        <v/>
      </c>
      <c r="F13" s="134" t="str">
        <f>IF('Deelnemers en Scores'!H23=0,"",'Deelnemers en Scores'!H23)</f>
        <v/>
      </c>
      <c r="G13" s="134" t="str">
        <f>IF('Deelnemers en Scores'!H24=0,"",'Deelnemers en Scores'!H24)</f>
        <v/>
      </c>
      <c r="H13" s="134" t="str">
        <f>IF('Deelnemers en Scores'!H25=0,"",'Deelnemers en Scores'!H25)</f>
        <v/>
      </c>
      <c r="I13" s="51"/>
      <c r="J13" s="134" t="str">
        <f>IF('Deelnemers en Scores'!I22=0,"",'Deelnemers en Scores'!I22)</f>
        <v/>
      </c>
      <c r="K13" s="134" t="str">
        <f>IF('Deelnemers en Scores'!I23=0,"",'Deelnemers en Scores'!I23)</f>
        <v/>
      </c>
      <c r="L13" s="134" t="str">
        <f>IF('Deelnemers en Scores'!I24=0,"",'Deelnemers en Scores'!I24)</f>
        <v/>
      </c>
      <c r="M13" s="134" t="str">
        <f>IF('Deelnemers en Scores'!I25=0,"",'Deelnemers en Scores'!I25)</f>
        <v/>
      </c>
      <c r="N13" s="51"/>
      <c r="O13" s="135" t="str">
        <f t="shared" si="0"/>
        <v/>
      </c>
      <c r="P13" s="136" t="str">
        <f t="shared" si="1"/>
        <v/>
      </c>
      <c r="Q13" s="136" t="str">
        <f t="shared" si="2"/>
        <v/>
      </c>
      <c r="R13" s="137" t="str">
        <f t="shared" si="3"/>
        <v/>
      </c>
      <c r="S13" s="52">
        <f t="shared" si="4"/>
        <v>0</v>
      </c>
      <c r="T13" s="30"/>
      <c r="U13" s="174"/>
      <c r="V13" s="175">
        <f t="shared" si="5"/>
        <v>0</v>
      </c>
    </row>
    <row r="14" spans="1:22" ht="19.899999999999999" customHeight="1" x14ac:dyDescent="0.2">
      <c r="A14" s="1">
        <f t="shared" si="6"/>
        <v>4</v>
      </c>
      <c r="B14" s="48">
        <f>IF('Deelnemers en Scores'!B27&gt;0,'Deelnemers en Scores'!B27,"")</f>
        <v>4</v>
      </c>
      <c r="C14" s="49" t="str">
        <f>IF('Deelnemers en Scores'!F27="","",'Deelnemers en Scores'!F27)</f>
        <v>Team naam 4</v>
      </c>
      <c r="D14" s="50" t="str">
        <f>'Deelnemers en Scores'!D27</f>
        <v>Vereniging 4</v>
      </c>
      <c r="E14" s="134" t="str">
        <f>IF('Deelnemers en Scores'!H28=0,"",'Deelnemers en Scores'!H28)</f>
        <v/>
      </c>
      <c r="F14" s="134" t="str">
        <f>IF('Deelnemers en Scores'!H29=0,"",'Deelnemers en Scores'!H29)</f>
        <v/>
      </c>
      <c r="G14" s="134" t="str">
        <f>IF('Deelnemers en Scores'!H30=0,"",'Deelnemers en Scores'!H30)</f>
        <v/>
      </c>
      <c r="H14" s="134" t="str">
        <f>IF('Deelnemers en Scores'!H31=0,"",'Deelnemers en Scores'!H31)</f>
        <v/>
      </c>
      <c r="I14" s="51"/>
      <c r="J14" s="134" t="str">
        <f>IF('Deelnemers en Scores'!I28=0,"",'Deelnemers en Scores'!I28)</f>
        <v/>
      </c>
      <c r="K14" s="134" t="str">
        <f>IF('Deelnemers en Scores'!I29=0,"",'Deelnemers en Scores'!I29)</f>
        <v/>
      </c>
      <c r="L14" s="134" t="str">
        <f>IF('Deelnemers en Scores'!I30=0,"",'Deelnemers en Scores'!I30)</f>
        <v/>
      </c>
      <c r="M14" s="134" t="str">
        <f>IF('Deelnemers en Scores'!I31=0,"",'Deelnemers en Scores'!I31)</f>
        <v/>
      </c>
      <c r="N14" s="51"/>
      <c r="O14" s="135" t="str">
        <f t="shared" si="0"/>
        <v/>
      </c>
      <c r="P14" s="136" t="str">
        <f t="shared" si="1"/>
        <v/>
      </c>
      <c r="Q14" s="136" t="str">
        <f t="shared" si="2"/>
        <v/>
      </c>
      <c r="R14" s="137" t="str">
        <f t="shared" si="3"/>
        <v/>
      </c>
      <c r="S14" s="52">
        <f t="shared" si="4"/>
        <v>0</v>
      </c>
      <c r="T14" s="30"/>
      <c r="U14" s="174"/>
      <c r="V14" s="175">
        <f t="shared" si="5"/>
        <v>0</v>
      </c>
    </row>
    <row r="15" spans="1:22" ht="19.899999999999999" customHeight="1" x14ac:dyDescent="0.2">
      <c r="A15" s="1">
        <f t="shared" si="6"/>
        <v>5</v>
      </c>
      <c r="B15" s="48">
        <f>IF('Deelnemers en Scores'!B33&gt;0,'Deelnemers en Scores'!B33,"")</f>
        <v>5</v>
      </c>
      <c r="C15" s="49" t="str">
        <f>IF('Deelnemers en Scores'!F33="","",'Deelnemers en Scores'!F33)</f>
        <v>Team naam 5</v>
      </c>
      <c r="D15" s="50" t="str">
        <f>'Deelnemers en Scores'!D33</f>
        <v>Vereniging 5</v>
      </c>
      <c r="E15" s="134" t="str">
        <f>IF('Deelnemers en Scores'!H34=0,"",'Deelnemers en Scores'!H34)</f>
        <v/>
      </c>
      <c r="F15" s="134" t="str">
        <f>IF('Deelnemers en Scores'!H35=0,"",'Deelnemers en Scores'!H35)</f>
        <v/>
      </c>
      <c r="G15" s="134" t="str">
        <f>IF('Deelnemers en Scores'!H36=0,"",'Deelnemers en Scores'!H36)</f>
        <v/>
      </c>
      <c r="H15" s="134" t="str">
        <f>IF('Deelnemers en Scores'!H37=0,"",'Deelnemers en Scores'!H37)</f>
        <v/>
      </c>
      <c r="I15" s="51"/>
      <c r="J15" s="134" t="str">
        <f>IF('Deelnemers en Scores'!I34=0,"",'Deelnemers en Scores'!I34)</f>
        <v/>
      </c>
      <c r="K15" s="134" t="str">
        <f>IF('Deelnemers en Scores'!I35=0,"",'Deelnemers en Scores'!I35)</f>
        <v/>
      </c>
      <c r="L15" s="134" t="str">
        <f>IF('Deelnemers en Scores'!I36=0,"",'Deelnemers en Scores'!I36)</f>
        <v/>
      </c>
      <c r="M15" s="134" t="str">
        <f>IF('Deelnemers en Scores'!I37=0,"",'Deelnemers en Scores'!I37)</f>
        <v/>
      </c>
      <c r="N15" s="51"/>
      <c r="O15" s="135" t="str">
        <f t="shared" si="0"/>
        <v/>
      </c>
      <c r="P15" s="136" t="str">
        <f t="shared" si="1"/>
        <v/>
      </c>
      <c r="Q15" s="136" t="str">
        <f t="shared" si="2"/>
        <v/>
      </c>
      <c r="R15" s="137" t="str">
        <f t="shared" si="3"/>
        <v/>
      </c>
      <c r="S15" s="52">
        <f t="shared" si="4"/>
        <v>0</v>
      </c>
      <c r="T15" s="30"/>
      <c r="U15" s="174"/>
      <c r="V15" s="175">
        <f t="shared" si="5"/>
        <v>0</v>
      </c>
    </row>
    <row r="16" spans="1:22" ht="19.899999999999999" customHeight="1" x14ac:dyDescent="0.2">
      <c r="A16" s="1">
        <f t="shared" si="6"/>
        <v>6</v>
      </c>
      <c r="B16" s="48">
        <f>IF('Deelnemers en Scores'!B39&gt;0,'Deelnemers en Scores'!B39,"")</f>
        <v>6</v>
      </c>
      <c r="C16" s="49" t="str">
        <f>IF('Deelnemers en Scores'!F39="","",'Deelnemers en Scores'!F39)</f>
        <v>Team naam 6</v>
      </c>
      <c r="D16" s="50" t="str">
        <f>'Deelnemers en Scores'!D39</f>
        <v>Vereniging 6</v>
      </c>
      <c r="E16" s="134" t="str">
        <f>IF('Deelnemers en Scores'!H40=0,"",'Deelnemers en Scores'!H40)</f>
        <v/>
      </c>
      <c r="F16" s="134" t="str">
        <f>IF('Deelnemers en Scores'!H41=0,"",'Deelnemers en Scores'!H41)</f>
        <v/>
      </c>
      <c r="G16" s="134" t="str">
        <f>IF('Deelnemers en Scores'!H42=0,"",'Deelnemers en Scores'!H42)</f>
        <v/>
      </c>
      <c r="H16" s="134" t="str">
        <f>IF('Deelnemers en Scores'!H43=0,"",'Deelnemers en Scores'!H43)</f>
        <v/>
      </c>
      <c r="I16" s="51"/>
      <c r="J16" s="134" t="str">
        <f>IF('Deelnemers en Scores'!I40=0,"",'Deelnemers en Scores'!I40)</f>
        <v/>
      </c>
      <c r="K16" s="134" t="str">
        <f>IF('Deelnemers en Scores'!I41=0,"",'Deelnemers en Scores'!I41)</f>
        <v/>
      </c>
      <c r="L16" s="134" t="str">
        <f>IF('Deelnemers en Scores'!I42=0,"",'Deelnemers en Scores'!I42)</f>
        <v/>
      </c>
      <c r="M16" s="134" t="str">
        <f>IF('Deelnemers en Scores'!I43=0,"",'Deelnemers en Scores'!I43)</f>
        <v/>
      </c>
      <c r="N16" s="51"/>
      <c r="O16" s="135" t="str">
        <f t="shared" si="0"/>
        <v/>
      </c>
      <c r="P16" s="136" t="str">
        <f t="shared" si="1"/>
        <v/>
      </c>
      <c r="Q16" s="136" t="str">
        <f t="shared" si="2"/>
        <v/>
      </c>
      <c r="R16" s="137" t="str">
        <f t="shared" si="3"/>
        <v/>
      </c>
      <c r="S16" s="52">
        <f t="shared" si="4"/>
        <v>0</v>
      </c>
      <c r="T16" s="30"/>
      <c r="U16" s="174"/>
      <c r="V16" s="175">
        <f t="shared" si="5"/>
        <v>0</v>
      </c>
    </row>
    <row r="17" spans="1:22" ht="19.899999999999999" customHeight="1" x14ac:dyDescent="0.2">
      <c r="A17" s="1">
        <f t="shared" si="6"/>
        <v>7</v>
      </c>
      <c r="B17" s="48">
        <f>IF('Deelnemers en Scores'!B45&gt;0,'Deelnemers en Scores'!B45,"")</f>
        <v>7</v>
      </c>
      <c r="C17" s="49" t="str">
        <f>IF('Deelnemers en Scores'!F45="","",'Deelnemers en Scores'!F45)</f>
        <v>Team naam 7</v>
      </c>
      <c r="D17" s="50" t="str">
        <f>'Deelnemers en Scores'!D45</f>
        <v>Vereniging 7</v>
      </c>
      <c r="E17" s="134" t="str">
        <f>IF('Deelnemers en Scores'!H46=0,"",'Deelnemers en Scores'!H46)</f>
        <v/>
      </c>
      <c r="F17" s="134" t="str">
        <f>IF('Deelnemers en Scores'!H47=0,"",'Deelnemers en Scores'!H47)</f>
        <v/>
      </c>
      <c r="G17" s="134" t="str">
        <f>IF('Deelnemers en Scores'!H48=0,"",'Deelnemers en Scores'!H48)</f>
        <v/>
      </c>
      <c r="H17" s="134" t="str">
        <f>IF('Deelnemers en Scores'!H49=0,"",'Deelnemers en Scores'!H49)</f>
        <v/>
      </c>
      <c r="I17" s="51"/>
      <c r="J17" s="134" t="str">
        <f>IF('Deelnemers en Scores'!I46=0,"",'Deelnemers en Scores'!I46)</f>
        <v/>
      </c>
      <c r="K17" s="134" t="str">
        <f>IF('Deelnemers en Scores'!I47=0,"",'Deelnemers en Scores'!I47)</f>
        <v/>
      </c>
      <c r="L17" s="134" t="str">
        <f>IF('Deelnemers en Scores'!I48=0,"",'Deelnemers en Scores'!I48)</f>
        <v/>
      </c>
      <c r="M17" s="134" t="str">
        <f>IF('Deelnemers en Scores'!I49=0,"",'Deelnemers en Scores'!I49)</f>
        <v/>
      </c>
      <c r="N17" s="51"/>
      <c r="O17" s="135" t="str">
        <f t="shared" si="0"/>
        <v/>
      </c>
      <c r="P17" s="136" t="str">
        <f t="shared" si="1"/>
        <v/>
      </c>
      <c r="Q17" s="136" t="str">
        <f t="shared" si="2"/>
        <v/>
      </c>
      <c r="R17" s="137" t="str">
        <f t="shared" si="3"/>
        <v/>
      </c>
      <c r="S17" s="52">
        <f t="shared" si="4"/>
        <v>0</v>
      </c>
      <c r="T17" s="30"/>
      <c r="U17" s="174"/>
      <c r="V17" s="175">
        <f t="shared" si="5"/>
        <v>0</v>
      </c>
    </row>
    <row r="18" spans="1:22" ht="19.899999999999999" customHeight="1" x14ac:dyDescent="0.2">
      <c r="A18" s="1">
        <f t="shared" si="6"/>
        <v>8</v>
      </c>
      <c r="B18" s="48">
        <f>IF('Deelnemers en Scores'!B51&gt;0,'Deelnemers en Scores'!B51,"")</f>
        <v>8</v>
      </c>
      <c r="C18" s="49" t="str">
        <f>IF('Deelnemers en Scores'!F51="","",'Deelnemers en Scores'!F51)</f>
        <v>Team naam 8</v>
      </c>
      <c r="D18" s="50" t="str">
        <f>'Deelnemers en Scores'!D51</f>
        <v>Vereniging 8</v>
      </c>
      <c r="E18" s="134" t="str">
        <f>IF('Deelnemers en Scores'!H52=0,"",'Deelnemers en Scores'!H52)</f>
        <v/>
      </c>
      <c r="F18" s="134" t="str">
        <f>IF('Deelnemers en Scores'!H53=0,"",'Deelnemers en Scores'!H53)</f>
        <v/>
      </c>
      <c r="G18" s="134" t="str">
        <f>IF('Deelnemers en Scores'!H54=0,"",'Deelnemers en Scores'!H54)</f>
        <v/>
      </c>
      <c r="H18" s="134" t="str">
        <f>IF('Deelnemers en Scores'!H55=0,"",'Deelnemers en Scores'!H55)</f>
        <v/>
      </c>
      <c r="I18" s="51"/>
      <c r="J18" s="134" t="str">
        <f>IF('Deelnemers en Scores'!I52=0,"",'Deelnemers en Scores'!I52)</f>
        <v/>
      </c>
      <c r="K18" s="134" t="str">
        <f>IF('Deelnemers en Scores'!I53=0,"",'Deelnemers en Scores'!I53)</f>
        <v/>
      </c>
      <c r="L18" s="134" t="str">
        <f>IF('Deelnemers en Scores'!I54=0,"",'Deelnemers en Scores'!I54)</f>
        <v/>
      </c>
      <c r="M18" s="134" t="str">
        <f>IF('Deelnemers en Scores'!I55=0,"",'Deelnemers en Scores'!I55)</f>
        <v/>
      </c>
      <c r="N18" s="51"/>
      <c r="O18" s="135" t="str">
        <f t="shared" si="0"/>
        <v/>
      </c>
      <c r="P18" s="136" t="str">
        <f t="shared" si="1"/>
        <v/>
      </c>
      <c r="Q18" s="136" t="str">
        <f t="shared" si="2"/>
        <v/>
      </c>
      <c r="R18" s="137" t="str">
        <f t="shared" si="3"/>
        <v/>
      </c>
      <c r="S18" s="52">
        <f t="shared" si="4"/>
        <v>0</v>
      </c>
      <c r="T18" s="30"/>
      <c r="U18" s="174"/>
      <c r="V18" s="175">
        <f t="shared" si="5"/>
        <v>0</v>
      </c>
    </row>
    <row r="19" spans="1:22" ht="20.25" customHeight="1" x14ac:dyDescent="0.2">
      <c r="A19" s="1">
        <f t="shared" si="6"/>
        <v>9</v>
      </c>
      <c r="B19" s="48">
        <f>IF('Deelnemers en Scores'!B57&gt;0,'Deelnemers en Scores'!B57,"")</f>
        <v>9</v>
      </c>
      <c r="C19" s="49" t="str">
        <f>IF('Deelnemers en Scores'!F57="","",'Deelnemers en Scores'!F57)</f>
        <v>Team naam 9</v>
      </c>
      <c r="D19" s="50" t="str">
        <f>'Deelnemers en Scores'!D57</f>
        <v>Vereniging 9</v>
      </c>
      <c r="E19" s="134" t="str">
        <f>IF('Deelnemers en Scores'!H58=0,"",'Deelnemers en Scores'!H58)</f>
        <v/>
      </c>
      <c r="F19" s="134" t="str">
        <f>IF('Deelnemers en Scores'!H59=0,"",'Deelnemers en Scores'!H59)</f>
        <v/>
      </c>
      <c r="G19" s="134" t="str">
        <f>IF('Deelnemers en Scores'!H60=0,"",'Deelnemers en Scores'!H60)</f>
        <v/>
      </c>
      <c r="H19" s="134" t="str">
        <f>IF('Deelnemers en Scores'!H61=0,"",'Deelnemers en Scores'!H61)</f>
        <v/>
      </c>
      <c r="I19" s="51"/>
      <c r="J19" s="134" t="str">
        <f>IF('Deelnemers en Scores'!I58=0,"",'Deelnemers en Scores'!I58)</f>
        <v/>
      </c>
      <c r="K19" s="134" t="str">
        <f>IF('Deelnemers en Scores'!I59=0,"",'Deelnemers en Scores'!I59)</f>
        <v/>
      </c>
      <c r="L19" s="134" t="str">
        <f>IF('Deelnemers en Scores'!I60=0,"",'Deelnemers en Scores'!I60)</f>
        <v/>
      </c>
      <c r="M19" s="134" t="str">
        <f>IF('Deelnemers en Scores'!I61=0,"",'Deelnemers en Scores'!I61)</f>
        <v/>
      </c>
      <c r="N19" s="51"/>
      <c r="O19" s="135" t="str">
        <f t="shared" si="0"/>
        <v/>
      </c>
      <c r="P19" s="136" t="str">
        <f t="shared" si="1"/>
        <v/>
      </c>
      <c r="Q19" s="136" t="str">
        <f t="shared" si="2"/>
        <v/>
      </c>
      <c r="R19" s="137" t="str">
        <f t="shared" si="3"/>
        <v/>
      </c>
      <c r="S19" s="52">
        <f t="shared" si="4"/>
        <v>0</v>
      </c>
      <c r="T19" s="30"/>
      <c r="U19" s="174"/>
      <c r="V19" s="175">
        <f t="shared" si="5"/>
        <v>0</v>
      </c>
    </row>
    <row r="20" spans="1:22" ht="20.25" customHeight="1" x14ac:dyDescent="0.2">
      <c r="A20" s="1">
        <f t="shared" si="6"/>
        <v>10</v>
      </c>
      <c r="B20" s="48">
        <f>IF('Deelnemers en Scores'!B63&gt;0,'Deelnemers en Scores'!B63,"")</f>
        <v>10</v>
      </c>
      <c r="C20" s="49" t="str">
        <f>IF('Deelnemers en Scores'!F63="","",'Deelnemers en Scores'!F63)</f>
        <v>Team naam 10</v>
      </c>
      <c r="D20" s="50" t="str">
        <f>'Deelnemers en Scores'!D63</f>
        <v>Vereniging 10</v>
      </c>
      <c r="E20" s="134" t="str">
        <f>IF('Deelnemers en Scores'!H64=0,"",'Deelnemers en Scores'!H64)</f>
        <v/>
      </c>
      <c r="F20" s="134" t="str">
        <f>IF('Deelnemers en Scores'!H65=0,"",'Deelnemers en Scores'!H65)</f>
        <v/>
      </c>
      <c r="G20" s="134" t="str">
        <f>IF('Deelnemers en Scores'!H66=0,"",'Deelnemers en Scores'!H66)</f>
        <v/>
      </c>
      <c r="H20" s="134" t="str">
        <f>IF('Deelnemers en Scores'!H67=0,"",'Deelnemers en Scores'!H67)</f>
        <v/>
      </c>
      <c r="I20" s="51"/>
      <c r="J20" s="134" t="str">
        <f>IF('Deelnemers en Scores'!I64=0,"",'Deelnemers en Scores'!I64)</f>
        <v/>
      </c>
      <c r="K20" s="134" t="str">
        <f>IF('Deelnemers en Scores'!I65=0,"",'Deelnemers en Scores'!I65)</f>
        <v/>
      </c>
      <c r="L20" s="134" t="str">
        <f>IF('Deelnemers en Scores'!I66=0,"",'Deelnemers en Scores'!I66)</f>
        <v/>
      </c>
      <c r="M20" s="134" t="str">
        <f>IF('Deelnemers en Scores'!I67=0,"",'Deelnemers en Scores'!I67)</f>
        <v/>
      </c>
      <c r="N20" s="51"/>
      <c r="O20" s="135" t="str">
        <f t="shared" si="0"/>
        <v/>
      </c>
      <c r="P20" s="136" t="str">
        <f t="shared" si="1"/>
        <v/>
      </c>
      <c r="Q20" s="136" t="str">
        <f t="shared" si="2"/>
        <v/>
      </c>
      <c r="R20" s="137" t="str">
        <f t="shared" si="3"/>
        <v/>
      </c>
      <c r="S20" s="52">
        <f t="shared" si="4"/>
        <v>0</v>
      </c>
      <c r="T20" s="30"/>
      <c r="U20" s="174"/>
      <c r="V20" s="175">
        <f t="shared" si="5"/>
        <v>0</v>
      </c>
    </row>
    <row r="21" spans="1:22" ht="20.25" customHeight="1" x14ac:dyDescent="0.2">
      <c r="A21" s="1">
        <f t="shared" si="6"/>
        <v>11</v>
      </c>
      <c r="B21" s="48">
        <f>IF('Deelnemers en Scores'!B69&gt;0,'Deelnemers en Scores'!B69,"")</f>
        <v>11</v>
      </c>
      <c r="C21" s="49" t="str">
        <f>IF('Deelnemers en Scores'!F69="","",'Deelnemers en Scores'!F69)</f>
        <v>Team naam 11</v>
      </c>
      <c r="D21" s="50" t="str">
        <f>'Deelnemers en Scores'!D69</f>
        <v>Vereniging 11</v>
      </c>
      <c r="E21" s="134" t="str">
        <f>IF('Deelnemers en Scores'!H70=0,"",'Deelnemers en Scores'!H70)</f>
        <v/>
      </c>
      <c r="F21" s="134" t="str">
        <f>IF('Deelnemers en Scores'!H71=0,"",'Deelnemers en Scores'!H71)</f>
        <v/>
      </c>
      <c r="G21" s="134" t="str">
        <f>IF('Deelnemers en Scores'!H72=0,"",'Deelnemers en Scores'!H72)</f>
        <v/>
      </c>
      <c r="H21" s="134" t="str">
        <f>IF('Deelnemers en Scores'!H73=0,"",'Deelnemers en Scores'!H73)</f>
        <v/>
      </c>
      <c r="I21" s="51"/>
      <c r="J21" s="134" t="str">
        <f>IF('Deelnemers en Scores'!I70=0,"",'Deelnemers en Scores'!I70)</f>
        <v/>
      </c>
      <c r="K21" s="134" t="str">
        <f>IF('Deelnemers en Scores'!I71=0,"",'Deelnemers en Scores'!I71)</f>
        <v/>
      </c>
      <c r="L21" s="134" t="str">
        <f>IF('Deelnemers en Scores'!I72=0,"",'Deelnemers en Scores'!I72)</f>
        <v/>
      </c>
      <c r="M21" s="134" t="str">
        <f>IF('Deelnemers en Scores'!I73=0,"",'Deelnemers en Scores'!I73)</f>
        <v/>
      </c>
      <c r="N21" s="51"/>
      <c r="O21" s="135" t="str">
        <f t="shared" si="0"/>
        <v/>
      </c>
      <c r="P21" s="136" t="str">
        <f t="shared" si="1"/>
        <v/>
      </c>
      <c r="Q21" s="136" t="str">
        <f t="shared" si="2"/>
        <v/>
      </c>
      <c r="R21" s="137" t="str">
        <f t="shared" si="3"/>
        <v/>
      </c>
      <c r="S21" s="52">
        <f t="shared" si="4"/>
        <v>0</v>
      </c>
      <c r="T21" s="30"/>
      <c r="U21" s="174"/>
      <c r="V21" s="175">
        <f t="shared" si="5"/>
        <v>0</v>
      </c>
    </row>
    <row r="22" spans="1:22" ht="20.25" customHeight="1" x14ac:dyDescent="0.2">
      <c r="A22" s="1">
        <f t="shared" si="6"/>
        <v>12</v>
      </c>
      <c r="B22" s="48">
        <f>IF('Deelnemers en Scores'!B75&gt;0,'Deelnemers en Scores'!B75,"")</f>
        <v>12</v>
      </c>
      <c r="C22" s="49" t="str">
        <f>IF('Deelnemers en Scores'!F75="","",'Deelnemers en Scores'!F75)</f>
        <v>Team naam 12</v>
      </c>
      <c r="D22" s="50" t="str">
        <f>'Deelnemers en Scores'!D75</f>
        <v>Vereniging 12</v>
      </c>
      <c r="E22" s="134" t="str">
        <f>IF('Deelnemers en Scores'!H76=0,"",'Deelnemers en Scores'!H76)</f>
        <v/>
      </c>
      <c r="F22" s="134" t="str">
        <f>IF('Deelnemers en Scores'!H77=0,"",'Deelnemers en Scores'!H77)</f>
        <v/>
      </c>
      <c r="G22" s="134" t="str">
        <f>IF('Deelnemers en Scores'!H78=0,"",'Deelnemers en Scores'!H78)</f>
        <v/>
      </c>
      <c r="H22" s="134" t="str">
        <f>IF('Deelnemers en Scores'!H79=0,"",'Deelnemers en Scores'!H79)</f>
        <v/>
      </c>
      <c r="I22" s="51"/>
      <c r="J22" s="134" t="str">
        <f>IF('Deelnemers en Scores'!I76=0,"",'Deelnemers en Scores'!I76)</f>
        <v/>
      </c>
      <c r="K22" s="134" t="str">
        <f>IF('Deelnemers en Scores'!I77=0,"",'Deelnemers en Scores'!I77)</f>
        <v/>
      </c>
      <c r="L22" s="134" t="str">
        <f>IF('Deelnemers en Scores'!I78=0,"",'Deelnemers en Scores'!I78)</f>
        <v/>
      </c>
      <c r="M22" s="134" t="str">
        <f>IF('Deelnemers en Scores'!I79=0,"",'Deelnemers en Scores'!I79)</f>
        <v/>
      </c>
      <c r="N22" s="51"/>
      <c r="O22" s="135" t="str">
        <f t="shared" si="0"/>
        <v/>
      </c>
      <c r="P22" s="136" t="str">
        <f t="shared" si="1"/>
        <v/>
      </c>
      <c r="Q22" s="136" t="str">
        <f t="shared" si="2"/>
        <v/>
      </c>
      <c r="R22" s="137" t="str">
        <f t="shared" si="3"/>
        <v/>
      </c>
      <c r="S22" s="52">
        <f t="shared" si="4"/>
        <v>0</v>
      </c>
      <c r="T22" s="30"/>
      <c r="U22" s="174"/>
      <c r="V22" s="175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AO21"/>
  <sheetViews>
    <sheetView showGridLines="0" zoomScale="70" zoomScaleNormal="70" workbookViewId="0"/>
  </sheetViews>
  <sheetFormatPr defaultColWidth="9.5546875" defaultRowHeight="15" x14ac:dyDescent="0.2"/>
  <cols>
    <col min="1" max="1" width="4" style="75" customWidth="1"/>
    <col min="2" max="2" width="44.6640625" style="75" customWidth="1"/>
    <col min="3" max="3" width="2" style="75" customWidth="1"/>
    <col min="4" max="4" width="45" style="75" customWidth="1"/>
    <col min="5" max="5" width="1.77734375" style="75" customWidth="1"/>
    <col min="6" max="6" width="9.77734375" style="75" customWidth="1"/>
    <col min="7" max="7" width="1.21875" style="75" customWidth="1"/>
    <col min="8" max="8" width="11.21875" style="75" hidden="1" customWidth="1"/>
    <col min="9" max="9" width="11.33203125" style="75" hidden="1" customWidth="1"/>
    <col min="10" max="10" width="12.109375" style="75" customWidth="1"/>
    <col min="11" max="11" width="12.109375" style="75" hidden="1" customWidth="1"/>
    <col min="12" max="15" width="11.33203125" style="75" hidden="1" customWidth="1"/>
    <col min="16" max="16" width="1.33203125" style="75" customWidth="1"/>
    <col min="17" max="17" width="11.33203125" style="75" bestFit="1" customWidth="1"/>
    <col min="18" max="19" width="11.33203125" style="75" hidden="1" customWidth="1"/>
    <col min="20" max="20" width="4.88671875" style="149" bestFit="1" customWidth="1"/>
    <col min="21" max="21" width="8.109375" style="75" bestFit="1" customWidth="1"/>
    <col min="22" max="22" width="2.88671875" style="75" customWidth="1"/>
    <col min="23" max="23" width="40.6640625" style="75" customWidth="1"/>
    <col min="24" max="24" width="1.77734375" style="75" customWidth="1"/>
    <col min="25" max="25" width="9.77734375" style="75" customWidth="1"/>
    <col min="26" max="26" width="2" style="75" customWidth="1"/>
    <col min="27" max="27" width="11.6640625" style="75" customWidth="1"/>
    <col min="28" max="29" width="11.21875" style="75" hidden="1" customWidth="1"/>
    <col min="30" max="30" width="10.109375" style="75" hidden="1" customWidth="1"/>
    <col min="31" max="31" width="11.21875" style="75" hidden="1" customWidth="1"/>
    <col min="32" max="32" width="0.77734375" style="75" customWidth="1"/>
    <col min="33" max="33" width="16.109375" style="75" bestFit="1" customWidth="1"/>
    <col min="34" max="16384" width="9.5546875" style="75"/>
  </cols>
  <sheetData>
    <row r="1" spans="1:41" ht="16.5" customHeight="1" x14ac:dyDescent="0.2"/>
    <row r="2" spans="1:41" ht="19.5" customHeight="1" x14ac:dyDescent="0.2"/>
    <row r="3" spans="1:41" ht="19.5" customHeight="1" x14ac:dyDescent="0.2"/>
    <row r="4" spans="1:41" ht="40.5" customHeight="1" x14ac:dyDescent="0.4">
      <c r="B4" s="161" t="str">
        <f>'Deelnemers en Scores'!B1</f>
        <v>Rayon kampioenschappen Indoor Teams   Rayon 3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50"/>
      <c r="U4" s="18"/>
      <c r="V4" s="18"/>
      <c r="W4" s="160"/>
      <c r="X4" s="18"/>
      <c r="Y4" s="208"/>
      <c r="Z4" s="208"/>
      <c r="AA4" s="209"/>
      <c r="AB4" s="209"/>
      <c r="AC4" s="209"/>
      <c r="AD4" s="209"/>
      <c r="AE4" s="209"/>
      <c r="AF4" s="209"/>
      <c r="AG4" s="91"/>
      <c r="AH4" s="85"/>
      <c r="AI4" s="85"/>
      <c r="AJ4" s="85"/>
      <c r="AK4" s="85"/>
      <c r="AL4" s="92"/>
      <c r="AM4" s="85"/>
      <c r="AN4" s="85"/>
      <c r="AO4" s="85"/>
    </row>
    <row r="5" spans="1:41" ht="21" customHeight="1" x14ac:dyDescent="0.2"/>
    <row r="6" spans="1:41" ht="42" customHeight="1" x14ac:dyDescent="0.5">
      <c r="B6" s="77" t="str">
        <f>'Deelnemers en Scores'!B4</f>
        <v>Klasse: ???</v>
      </c>
      <c r="V6" s="193" t="s">
        <v>10</v>
      </c>
      <c r="W6" s="194" t="str">
        <f>'Deelnemers en Scores'!D3</f>
        <v>yyyy-mm-dd</v>
      </c>
    </row>
    <row r="7" spans="1:41" ht="19.5" customHeight="1" x14ac:dyDescent="0.2"/>
    <row r="8" spans="1:41" ht="34.5" customHeight="1" x14ac:dyDescent="0.4">
      <c r="B8" s="165" t="s">
        <v>2</v>
      </c>
      <c r="C8" s="35"/>
      <c r="D8" s="35"/>
      <c r="E8" s="35"/>
      <c r="F8" s="35"/>
      <c r="G8" s="35"/>
      <c r="H8" s="35"/>
      <c r="I8" s="35"/>
      <c r="J8" s="35"/>
      <c r="K8" s="176"/>
      <c r="L8" s="85"/>
      <c r="M8" s="85"/>
      <c r="N8" s="85"/>
      <c r="O8" s="85"/>
      <c r="P8" s="35"/>
      <c r="Q8" s="19"/>
      <c r="R8" s="85"/>
      <c r="S8" s="85"/>
      <c r="T8" s="151"/>
      <c r="U8" s="79"/>
      <c r="V8" s="79"/>
      <c r="W8" s="165" t="s">
        <v>3</v>
      </c>
      <c r="X8" s="18"/>
      <c r="Y8" s="18"/>
      <c r="Z8" s="18"/>
      <c r="AA8" s="19"/>
      <c r="AH8" s="92"/>
      <c r="AI8" s="85"/>
      <c r="AJ8" s="85"/>
      <c r="AK8" s="93"/>
      <c r="AL8" s="93"/>
      <c r="AM8" s="93"/>
      <c r="AN8" s="93"/>
      <c r="AO8" s="93"/>
    </row>
    <row r="9" spans="1:41" x14ac:dyDescent="0.2">
      <c r="AH9" s="93"/>
      <c r="AI9" s="93"/>
      <c r="AJ9" s="93"/>
      <c r="AK9" s="93"/>
      <c r="AL9" s="93"/>
      <c r="AM9" s="93"/>
      <c r="AN9" s="93"/>
      <c r="AO9" s="93"/>
    </row>
    <row r="10" spans="1:41" ht="30" customHeight="1" x14ac:dyDescent="0.2">
      <c r="B10" s="78"/>
      <c r="C10" s="78"/>
      <c r="D10" s="78"/>
      <c r="E10" s="79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144"/>
      <c r="U10" s="78"/>
      <c r="V10" s="78"/>
      <c r="W10" s="78"/>
      <c r="X10" s="78"/>
      <c r="Y10" s="78"/>
      <c r="Z10" s="78"/>
      <c r="AA10" s="78"/>
      <c r="AB10" s="78"/>
      <c r="AC10" s="78"/>
      <c r="AH10" s="93"/>
      <c r="AI10" s="93"/>
      <c r="AJ10" s="93"/>
      <c r="AK10" s="93"/>
      <c r="AL10" s="93"/>
      <c r="AM10" s="93"/>
      <c r="AN10" s="93"/>
      <c r="AO10" s="93"/>
    </row>
    <row r="11" spans="1:41" ht="51.75" customHeight="1" x14ac:dyDescent="0.2">
      <c r="B11" s="78"/>
      <c r="C11" s="78"/>
      <c r="D11" s="78"/>
      <c r="E11" s="79"/>
      <c r="F11" s="155" t="s">
        <v>93</v>
      </c>
      <c r="G11" s="156"/>
      <c r="H11" s="157" t="s">
        <v>110</v>
      </c>
      <c r="I11" s="157" t="s">
        <v>97</v>
      </c>
      <c r="J11" s="155" t="s">
        <v>94</v>
      </c>
      <c r="K11" s="177" t="s">
        <v>105</v>
      </c>
      <c r="L11" s="157" t="s">
        <v>95</v>
      </c>
      <c r="M11" s="157" t="s">
        <v>96</v>
      </c>
      <c r="N11" s="157" t="s">
        <v>98</v>
      </c>
      <c r="O11" s="157" t="s">
        <v>99</v>
      </c>
      <c r="P11" s="156"/>
      <c r="Q11" s="158" t="s">
        <v>101</v>
      </c>
      <c r="R11" s="144" t="s">
        <v>111</v>
      </c>
      <c r="S11" s="144" t="s">
        <v>100</v>
      </c>
      <c r="T11" s="144"/>
      <c r="U11" s="78"/>
      <c r="V11" s="78"/>
      <c r="W11" s="78"/>
      <c r="X11" s="78"/>
      <c r="Y11" s="78"/>
      <c r="Z11" s="78"/>
      <c r="AA11" s="78"/>
      <c r="AB11" s="78"/>
      <c r="AC11" s="78"/>
      <c r="AH11" s="93"/>
      <c r="AI11" s="93"/>
      <c r="AJ11" s="93"/>
      <c r="AK11" s="93"/>
      <c r="AL11" s="93"/>
      <c r="AM11" s="93"/>
      <c r="AN11" s="93"/>
      <c r="AO11" s="93"/>
    </row>
    <row r="12" spans="1:41" ht="30" customHeight="1" x14ac:dyDescent="0.2">
      <c r="A12" s="76">
        <v>1</v>
      </c>
      <c r="B12" s="38" t="str">
        <f>Uitslag!$C$11</f>
        <v>Team naam 1</v>
      </c>
      <c r="C12" s="39"/>
      <c r="D12" s="38" t="str">
        <f>Uitslag!$D$11</f>
        <v>Vereniging 1</v>
      </c>
      <c r="E12" s="159"/>
      <c r="F12" s="53"/>
      <c r="G12" s="59"/>
      <c r="H12" s="59"/>
      <c r="I12" s="145"/>
      <c r="J12" s="146"/>
      <c r="K12" s="145"/>
      <c r="L12" s="145">
        <f>F12+J12</f>
        <v>0</v>
      </c>
      <c r="M12" s="145" t="b">
        <f>AND(K13=TRUE,L12&gt;L14)</f>
        <v>0</v>
      </c>
      <c r="N12" s="145"/>
      <c r="O12" s="145"/>
      <c r="P12" s="148"/>
      <c r="Q12" s="147"/>
      <c r="R12" s="145"/>
      <c r="S12" s="145"/>
      <c r="T12" s="59" t="str">
        <f>IF(M12=TRUE,"",IF(R16=TRUE,IF(S$13&gt;S$19,"3e","4e"),"?"))</f>
        <v>?</v>
      </c>
      <c r="U12" s="86" t="str">
        <f>IF(M12=TRUE,"--&gt;&gt;","")</f>
        <v/>
      </c>
      <c r="V12" s="86"/>
      <c r="AH12" s="93"/>
      <c r="AI12" s="93"/>
      <c r="AJ12" s="93"/>
      <c r="AK12" s="93"/>
      <c r="AL12" s="93"/>
      <c r="AM12" s="93"/>
      <c r="AN12" s="93"/>
      <c r="AO12" s="93"/>
    </row>
    <row r="13" spans="1:41" ht="30" customHeight="1" x14ac:dyDescent="0.4">
      <c r="A13" s="76"/>
      <c r="B13" s="80"/>
      <c r="C13" s="80"/>
      <c r="D13" s="80"/>
      <c r="E13" s="79"/>
      <c r="F13" s="81"/>
      <c r="G13" s="82"/>
      <c r="H13" s="145" t="b">
        <f>AND(F12&lt;&gt;"",F14&lt;&gt;"")</f>
        <v>0</v>
      </c>
      <c r="I13" s="145" t="b">
        <f>AND(H13=TRUE,F12=F14)</f>
        <v>0</v>
      </c>
      <c r="J13" s="82" t="str">
        <f>IF(I13=TRUE,"SO","")</f>
        <v/>
      </c>
      <c r="K13" s="145" t="b">
        <f>IF(H13=FALSE,FALSE,OR(I13=FALSE,AND(J12&lt;&gt;"",J14&lt;&gt;"")))</f>
        <v>0</v>
      </c>
      <c r="L13" s="82"/>
      <c r="M13" s="82"/>
      <c r="N13" s="145">
        <f>MIN(F12:F14)</f>
        <v>0</v>
      </c>
      <c r="O13" s="145"/>
      <c r="P13" s="82"/>
      <c r="Q13" s="82"/>
      <c r="R13" s="145"/>
      <c r="S13" s="145">
        <f>N13+SUM(Q12:Q14)</f>
        <v>0</v>
      </c>
      <c r="T13" s="82"/>
      <c r="U13" s="83"/>
      <c r="V13" s="83"/>
      <c r="AH13" s="93"/>
      <c r="AI13" s="93"/>
      <c r="AJ13" s="93"/>
      <c r="AK13" s="93"/>
      <c r="AL13" s="93"/>
      <c r="AM13" s="93"/>
      <c r="AN13" s="93"/>
      <c r="AO13" s="93"/>
    </row>
    <row r="14" spans="1:41" ht="30" customHeight="1" x14ac:dyDescent="0.2">
      <c r="A14" s="76">
        <v>4</v>
      </c>
      <c r="B14" s="38" t="str">
        <f>Uitslag!$C$14</f>
        <v>Team naam 4</v>
      </c>
      <c r="C14" s="39"/>
      <c r="D14" s="38" t="str">
        <f>Uitslag!$D$14</f>
        <v>Vereniging 4</v>
      </c>
      <c r="E14" s="159"/>
      <c r="F14" s="53"/>
      <c r="G14" s="59"/>
      <c r="H14" s="59"/>
      <c r="I14" s="145"/>
      <c r="J14" s="146"/>
      <c r="K14" s="145"/>
      <c r="L14" s="145">
        <f>F14+J14</f>
        <v>0</v>
      </c>
      <c r="M14" s="145" t="b">
        <f>AND(K13=TRUE,L14&gt;L12)</f>
        <v>0</v>
      </c>
      <c r="N14" s="145"/>
      <c r="O14" s="145"/>
      <c r="P14" s="148"/>
      <c r="Q14" s="147"/>
      <c r="R14" s="145"/>
      <c r="S14" s="145"/>
      <c r="T14" s="59" t="str">
        <f>IF(M14=TRUE,"",IF(R16=TRUE,IF(S$13&gt;S$19,"3e","4e"),"?"))</f>
        <v>?</v>
      </c>
      <c r="U14" s="86" t="str">
        <f>IF(M14=TRUE,"--&gt;&gt;","")</f>
        <v/>
      </c>
      <c r="V14" s="86"/>
      <c r="W14" s="78"/>
      <c r="X14" s="78"/>
      <c r="Y14" s="155" t="s">
        <v>93</v>
      </c>
      <c r="Z14" s="155"/>
      <c r="AA14" s="155" t="s">
        <v>94</v>
      </c>
      <c r="AB14" s="144" t="s">
        <v>104</v>
      </c>
      <c r="AC14" s="144" t="s">
        <v>102</v>
      </c>
      <c r="AD14" s="152" t="s">
        <v>103</v>
      </c>
      <c r="AE14" s="153" t="s">
        <v>105</v>
      </c>
      <c r="AF14" s="153"/>
      <c r="AH14" s="93"/>
      <c r="AI14" s="93"/>
      <c r="AJ14" s="93"/>
      <c r="AK14" s="93"/>
      <c r="AL14" s="93"/>
      <c r="AM14" s="93"/>
      <c r="AN14" s="93"/>
      <c r="AO14" s="93"/>
    </row>
    <row r="15" spans="1:41" ht="30" customHeight="1" x14ac:dyDescent="0.4">
      <c r="A15" s="76"/>
      <c r="B15" s="84"/>
      <c r="C15" s="84"/>
      <c r="D15" s="84"/>
      <c r="E15" s="79"/>
      <c r="F15" s="81"/>
      <c r="G15" s="82"/>
      <c r="H15" s="82"/>
      <c r="I15" s="145"/>
      <c r="J15" s="82"/>
      <c r="K15" s="82"/>
      <c r="L15" s="82"/>
      <c r="M15" s="82"/>
      <c r="N15" s="145"/>
      <c r="O15" s="145"/>
      <c r="P15" s="82"/>
      <c r="Q15" s="82"/>
      <c r="R15" s="145"/>
      <c r="S15" s="145"/>
      <c r="T15" s="82"/>
      <c r="W15" s="36" t="str">
        <f>IF(M12=TRUE,B12,IF(M14=TRUE,B14,""))</f>
        <v/>
      </c>
      <c r="X15" s="159"/>
      <c r="Y15" s="41"/>
      <c r="Z15" s="159"/>
      <c r="AA15" s="41"/>
      <c r="AD15" s="145">
        <f>Y15+AA15</f>
        <v>0</v>
      </c>
      <c r="AF15" s="145" t="b">
        <f>AD15&gt;AD17</f>
        <v>0</v>
      </c>
      <c r="AG15" s="86" t="str">
        <f>IF(OR(AB16=FALSE,AE16=FALSE),"",IF(AF15=TRUE,"WINNAAR","2e"))</f>
        <v/>
      </c>
      <c r="AH15" s="93"/>
      <c r="AI15" s="93"/>
      <c r="AJ15" s="93"/>
      <c r="AK15" s="93"/>
      <c r="AL15" s="93"/>
      <c r="AM15" s="93"/>
      <c r="AN15" s="93"/>
      <c r="AO15" s="93"/>
    </row>
    <row r="16" spans="1:41" ht="30" customHeight="1" x14ac:dyDescent="0.2">
      <c r="A16" s="76"/>
      <c r="B16" s="84"/>
      <c r="C16" s="84"/>
      <c r="D16" s="84"/>
      <c r="E16" s="79"/>
      <c r="F16" s="81"/>
      <c r="G16" s="82"/>
      <c r="H16" s="82"/>
      <c r="I16" s="145"/>
      <c r="J16" s="82"/>
      <c r="K16" s="82"/>
      <c r="L16" s="82"/>
      <c r="M16" s="82"/>
      <c r="N16" s="145"/>
      <c r="O16" s="145" t="b">
        <f>AND(N13=N19,K13=TRUE,K19=TRUE)</f>
        <v>0</v>
      </c>
      <c r="P16" s="82"/>
      <c r="Q16" s="82" t="str">
        <f>IF(O16=TRUE,"SO","")</f>
        <v/>
      </c>
      <c r="R16" s="145" t="b">
        <f>IF(AND(K13=TRUE,K19=TRUE),OR(O16=FALSE,AND(N13&lt;&gt;S13,N19&lt;&gt;S19)),FALSE)</f>
        <v>0</v>
      </c>
      <c r="S16" s="145"/>
      <c r="T16" s="82"/>
      <c r="W16" s="88"/>
      <c r="X16" s="78"/>
      <c r="Y16" s="154"/>
      <c r="Z16" s="154"/>
      <c r="AA16" s="154"/>
      <c r="AB16" s="145" t="b">
        <f>AND(Y15&lt;&gt;"",Y17&lt;&gt;"")</f>
        <v>0</v>
      </c>
      <c r="AC16" s="145" t="b">
        <f>AND(AB16=TRUE,Y15=Y17)</f>
        <v>0</v>
      </c>
      <c r="AD16" s="154"/>
      <c r="AE16" s="145" t="b">
        <f>OR(AND(AA15&lt;&gt;"",AA17&lt;&gt;""),AC16=FALSE)</f>
        <v>1</v>
      </c>
      <c r="AF16" s="154"/>
      <c r="AG16" s="93"/>
      <c r="AH16" s="93"/>
      <c r="AI16" s="93"/>
      <c r="AO16" s="93"/>
    </row>
    <row r="17" spans="1:41" ht="30" customHeight="1" x14ac:dyDescent="0.4">
      <c r="A17" s="76"/>
      <c r="B17" s="84"/>
      <c r="C17" s="84"/>
      <c r="D17" s="84"/>
      <c r="E17" s="79"/>
      <c r="F17" s="81"/>
      <c r="G17" s="82"/>
      <c r="H17" s="82"/>
      <c r="I17" s="145"/>
      <c r="J17" s="82"/>
      <c r="K17" s="82"/>
      <c r="L17" s="82"/>
      <c r="M17" s="82"/>
      <c r="N17" s="145"/>
      <c r="O17" s="145"/>
      <c r="P17" s="82"/>
      <c r="Q17" s="82"/>
      <c r="R17" s="145"/>
      <c r="S17" s="145"/>
      <c r="T17" s="82"/>
      <c r="W17" s="36" t="str">
        <f>IF(M18=TRUE,B18,IF(M20=TRUE,B20,""))</f>
        <v/>
      </c>
      <c r="X17" s="159"/>
      <c r="Y17" s="41"/>
      <c r="Z17" s="159"/>
      <c r="AA17" s="41"/>
      <c r="AB17" s="86" t="str">
        <f>IF(X17&lt;1,"",IF(X17+Y17&gt;X15+Y15,"--&gt;&gt;",IF(X17+Y17&lt;X15+Y15,"  2e","")))</f>
        <v/>
      </c>
      <c r="AC17" s="86"/>
      <c r="AD17" s="145">
        <f>Y17+AA17</f>
        <v>0</v>
      </c>
      <c r="AE17" s="145"/>
      <c r="AF17" s="145" t="b">
        <f>AD17&gt;AD15</f>
        <v>0</v>
      </c>
      <c r="AG17" s="86" t="str">
        <f>IF(OR(AB16=FALSE,AE16=FALSE),"",IF(AF17=TRUE,"WINNAAR","2e"))</f>
        <v/>
      </c>
      <c r="AH17" s="93"/>
      <c r="AI17" s="93"/>
      <c r="AO17" s="93"/>
    </row>
    <row r="18" spans="1:41" ht="30" customHeight="1" x14ac:dyDescent="0.25">
      <c r="A18" s="76">
        <v>3</v>
      </c>
      <c r="B18" s="38" t="str">
        <f>Uitslag!$C$13</f>
        <v>Team naam 3</v>
      </c>
      <c r="C18" s="39"/>
      <c r="D18" s="38" t="str">
        <f>Uitslag!$D$13</f>
        <v>Vereniging 3</v>
      </c>
      <c r="E18" s="159"/>
      <c r="F18" s="53"/>
      <c r="G18" s="59"/>
      <c r="H18" s="59"/>
      <c r="I18" s="145"/>
      <c r="J18" s="146"/>
      <c r="K18" s="145"/>
      <c r="L18" s="145">
        <f>F18+J18</f>
        <v>0</v>
      </c>
      <c r="M18" s="145" t="b">
        <f>AND(K19=TRUE,L18&gt;L20)</f>
        <v>0</v>
      </c>
      <c r="N18" s="145"/>
      <c r="O18" s="145"/>
      <c r="P18" s="148"/>
      <c r="Q18" s="147"/>
      <c r="R18" s="145"/>
      <c r="S18" s="145"/>
      <c r="T18" s="59" t="str">
        <f>IF(M18=TRUE,"",IF(R16=TRUE,IF(S$19&gt;=S$13,"3e","4e"),"?"))</f>
        <v>?</v>
      </c>
      <c r="U18" s="86" t="str">
        <f>IF(M18=TRUE,"--&gt;&gt;","")</f>
        <v/>
      </c>
      <c r="V18" s="86"/>
      <c r="Y18" s="93"/>
      <c r="Z18" s="93"/>
      <c r="AA18" s="93"/>
      <c r="AD18" s="87"/>
      <c r="AH18" s="93"/>
      <c r="AI18" s="93"/>
      <c r="AN18" s="93"/>
      <c r="AO18" s="93"/>
    </row>
    <row r="19" spans="1:41" ht="27" customHeight="1" x14ac:dyDescent="0.4">
      <c r="A19" s="76"/>
      <c r="B19" s="80"/>
      <c r="C19" s="80"/>
      <c r="D19" s="80"/>
      <c r="E19" s="79"/>
      <c r="F19" s="81"/>
      <c r="G19" s="82"/>
      <c r="H19" s="145" t="b">
        <f>AND(F18&lt;&gt;"",F20&lt;&gt;"")</f>
        <v>0</v>
      </c>
      <c r="I19" s="145" t="b">
        <f>AND(H19=TRUE,F18=F20)</f>
        <v>0</v>
      </c>
      <c r="J19" s="82" t="str">
        <f>IF(I19=TRUE,"SO","")</f>
        <v/>
      </c>
      <c r="K19" s="145" t="b">
        <f>IF(H19=FALSE,FALSE,OR(I19=FALSE,AND(J18&lt;&gt;"",J20&lt;&gt;"")))</f>
        <v>0</v>
      </c>
      <c r="L19" s="82"/>
      <c r="M19" s="82"/>
      <c r="N19" s="145">
        <f>MIN(F18:F20)</f>
        <v>0</v>
      </c>
      <c r="O19" s="145"/>
      <c r="P19" s="82"/>
      <c r="Q19" s="82"/>
      <c r="R19" s="145"/>
      <c r="S19" s="145">
        <f>N19+SUM(Q18:Q20)</f>
        <v>0</v>
      </c>
      <c r="T19" s="82"/>
      <c r="Y19" s="93"/>
      <c r="Z19" s="93"/>
      <c r="AH19" s="94"/>
      <c r="AI19" s="95"/>
      <c r="AJ19" s="96"/>
      <c r="AK19" s="97"/>
      <c r="AL19" s="98"/>
      <c r="AM19" s="90"/>
      <c r="AN19" s="93"/>
      <c r="AO19" s="93"/>
    </row>
    <row r="20" spans="1:41" ht="27" customHeight="1" x14ac:dyDescent="0.25">
      <c r="A20" s="76">
        <v>2</v>
      </c>
      <c r="B20" s="38" t="str">
        <f>Uitslag!$C$12</f>
        <v>Team naam 2</v>
      </c>
      <c r="C20" s="39"/>
      <c r="D20" s="38" t="str">
        <f>Uitslag!$D$12</f>
        <v>Vereniging 2</v>
      </c>
      <c r="E20" s="159"/>
      <c r="F20" s="53"/>
      <c r="G20" s="59"/>
      <c r="H20" s="59"/>
      <c r="I20" s="145"/>
      <c r="J20" s="146"/>
      <c r="K20" s="145"/>
      <c r="L20" s="145">
        <f>F20+J20</f>
        <v>0</v>
      </c>
      <c r="M20" s="145" t="b">
        <f>AND(K19=TRUE,L20&gt;L18)</f>
        <v>0</v>
      </c>
      <c r="N20" s="145"/>
      <c r="O20" s="145"/>
      <c r="P20" s="148"/>
      <c r="Q20" s="147"/>
      <c r="R20" s="145"/>
      <c r="S20" s="145"/>
      <c r="T20" s="59" t="str">
        <f>IF(M20=TRUE,"",IF(R16=TRUE,IF(S$19&gt;=S$13,"3e","4e"),"?"))</f>
        <v>?</v>
      </c>
      <c r="U20" s="86" t="str">
        <f>IF(M20=TRUE,"--&gt;&gt;","")</f>
        <v/>
      </c>
      <c r="V20" s="86"/>
      <c r="AH20" s="99"/>
      <c r="AI20" s="95"/>
      <c r="AJ20" s="89"/>
      <c r="AK20" s="89"/>
      <c r="AL20" s="90"/>
      <c r="AM20" s="90"/>
      <c r="AN20" s="93"/>
      <c r="AO20" s="93"/>
    </row>
    <row r="21" spans="1:41" x14ac:dyDescent="0.2">
      <c r="AH21" s="93"/>
      <c r="AI21" s="93"/>
      <c r="AJ21" s="93"/>
      <c r="AK21" s="93"/>
      <c r="AL21" s="93"/>
      <c r="AM21" s="93"/>
      <c r="AN21" s="93"/>
      <c r="AO21" s="93"/>
    </row>
  </sheetData>
  <mergeCells count="1">
    <mergeCell ref="Y4:AF4"/>
  </mergeCells>
  <phoneticPr fontId="18" type="noConversion"/>
  <conditionalFormatting sqref="Q12 Q14 Q18 Q20">
    <cfRule type="expression" dxfId="5" priority="8">
      <formula>OR(M12=TRUE,O$16=FALSE)</formula>
    </cfRule>
  </conditionalFormatting>
  <conditionalFormatting sqref="J12">
    <cfRule type="expression" dxfId="4" priority="7">
      <formula>I13=FALSE</formula>
    </cfRule>
  </conditionalFormatting>
  <conditionalFormatting sqref="J14">
    <cfRule type="expression" dxfId="3" priority="6">
      <formula>I13=FALSE</formula>
    </cfRule>
  </conditionalFormatting>
  <conditionalFormatting sqref="J18">
    <cfRule type="expression" dxfId="2" priority="5">
      <formula>I19=FALSE</formula>
    </cfRule>
  </conditionalFormatting>
  <conditionalFormatting sqref="J20">
    <cfRule type="expression" dxfId="1" priority="4">
      <formula>I19=FALSE</formula>
    </cfRule>
  </conditionalFormatting>
  <conditionalFormatting sqref="AA15 AA17">
    <cfRule type="expression" dxfId="0" priority="10">
      <formula>AC$16=FALSE</formula>
    </cfRule>
  </conditionalFormatting>
  <pageMargins left="0.75" right="0.75" top="1" bottom="1" header="0.5" footer="0.5"/>
  <pageSetup paperSize="9" scale="47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transitionEvaluation="1" codeName="Blad9">
    <pageSetUpPr fitToPage="1"/>
  </sheetPr>
  <dimension ref="A1:Z27"/>
  <sheetViews>
    <sheetView showGridLines="0" defaultGridColor="0" colorId="22" zoomScale="48" workbookViewId="0">
      <selection activeCell="K49" sqref="K49"/>
    </sheetView>
  </sheetViews>
  <sheetFormatPr defaultColWidth="9.77734375" defaultRowHeight="15" x14ac:dyDescent="0.2"/>
  <cols>
    <col min="1" max="1" width="4" customWidth="1"/>
    <col min="2" max="2" width="35.109375" customWidth="1"/>
    <col min="3" max="3" width="2" customWidth="1"/>
    <col min="4" max="4" width="30.6640625" customWidth="1"/>
    <col min="5" max="5" width="2.77734375" customWidth="1"/>
    <col min="7" max="8" width="5.77734375" customWidth="1"/>
    <col min="9" max="10" width="6.77734375" customWidth="1"/>
    <col min="11" max="11" width="35.109375" customWidth="1"/>
    <col min="12" max="12" width="2.77734375" customWidth="1"/>
    <col min="14" max="14" width="5.77734375" customWidth="1"/>
    <col min="15" max="15" width="7.77734375" customWidth="1"/>
    <col min="16" max="16" width="5.77734375" customWidth="1"/>
    <col min="17" max="18" width="9.33203125" customWidth="1"/>
    <col min="19" max="19" width="31" bestFit="1" customWidth="1"/>
  </cols>
  <sheetData>
    <row r="1" spans="1:26" ht="16.5" customHeight="1" x14ac:dyDescent="0.2"/>
    <row r="2" spans="1:26" ht="19.5" customHeight="1" x14ac:dyDescent="0.2"/>
    <row r="3" spans="1:26" ht="19.5" customHeight="1" x14ac:dyDescent="0.2"/>
    <row r="4" spans="1:26" ht="40.5" customHeight="1" x14ac:dyDescent="0.5">
      <c r="B4" s="74" t="str">
        <f>'Deelnemers en Scores'!B1</f>
        <v>Rayon kampioenschappen Indoor Teams   Rayon 3</v>
      </c>
      <c r="C4" s="18"/>
      <c r="D4" s="18"/>
      <c r="E4" s="18"/>
      <c r="F4" s="18"/>
      <c r="G4" s="18"/>
      <c r="H4" s="18"/>
      <c r="I4" s="18"/>
      <c r="J4" s="18"/>
      <c r="K4" s="42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35" t="str">
        <f>IF('Deelnemers en Scores'!D3="","",'Deelnemers en Scores'!D3)</f>
        <v>yyyy-mm-dd</v>
      </c>
      <c r="X4" s="18"/>
      <c r="Y4" s="18"/>
      <c r="Z4" s="19"/>
    </row>
    <row r="5" spans="1:26" ht="21" customHeight="1" x14ac:dyDescent="0.2"/>
    <row r="6" spans="1:26" ht="42" customHeight="1" x14ac:dyDescent="0.5">
      <c r="B6" s="72" t="str">
        <f>Uitslag!B4</f>
        <v>Klasse: ???</v>
      </c>
    </row>
    <row r="7" spans="1:26" ht="19.5" customHeight="1" x14ac:dyDescent="0.2"/>
    <row r="8" spans="1:26" ht="34.5" customHeight="1" x14ac:dyDescent="0.4">
      <c r="B8" s="20" t="s">
        <v>13</v>
      </c>
      <c r="C8" s="35"/>
      <c r="D8" s="35"/>
      <c r="E8" s="18"/>
      <c r="F8" s="19"/>
      <c r="G8" s="32"/>
      <c r="H8" s="32"/>
      <c r="I8" s="17"/>
      <c r="J8" s="17"/>
      <c r="K8" s="20" t="s">
        <v>2</v>
      </c>
      <c r="L8" s="18"/>
      <c r="M8" s="19"/>
      <c r="N8" s="32"/>
      <c r="S8" s="20" t="s">
        <v>3</v>
      </c>
      <c r="T8" s="18"/>
      <c r="U8" s="19"/>
    </row>
    <row r="10" spans="1:26" ht="30" customHeight="1" x14ac:dyDescent="0.2">
      <c r="B10" s="23"/>
      <c r="C10" s="23"/>
      <c r="D10" s="23"/>
      <c r="E10" s="17"/>
      <c r="F10" s="23"/>
      <c r="G10" s="23"/>
      <c r="H10" s="23"/>
      <c r="I10" s="23"/>
      <c r="J10" s="23"/>
      <c r="K10" s="23"/>
      <c r="L10" s="23"/>
      <c r="M10" s="23"/>
      <c r="N10" s="23"/>
      <c r="O10" s="23"/>
    </row>
    <row r="11" spans="1:26" ht="30" customHeight="1" x14ac:dyDescent="0.2">
      <c r="B11" s="23"/>
      <c r="C11" s="23"/>
      <c r="D11" s="23"/>
      <c r="E11" s="17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1:26" ht="30" customHeight="1" x14ac:dyDescent="0.2">
      <c r="A12" s="1">
        <v>1</v>
      </c>
      <c r="B12" s="38" t="str">
        <f>Uitslag!$C$11</f>
        <v>Team naam 1</v>
      </c>
      <c r="C12" s="39"/>
      <c r="D12" s="38" t="str">
        <f>Uitslag!$D$11</f>
        <v>Vereniging 1</v>
      </c>
      <c r="E12" s="22"/>
      <c r="F12" s="53"/>
      <c r="G12" s="57"/>
      <c r="H12" s="58"/>
      <c r="I12" s="31" t="str">
        <f>IF(F12&lt;1,"",IF(F12+G12&gt;F14+G14,"--&gt;&gt;",""))</f>
        <v/>
      </c>
      <c r="J12" s="31"/>
      <c r="K12" s="23"/>
      <c r="L12" s="23"/>
      <c r="M12" s="23"/>
      <c r="N12" s="23"/>
      <c r="O12" s="23"/>
    </row>
    <row r="13" spans="1:26" ht="30" customHeight="1" x14ac:dyDescent="0.4">
      <c r="A13" s="1"/>
      <c r="B13" s="24"/>
      <c r="C13" s="24"/>
      <c r="D13" s="24"/>
      <c r="E13" s="17"/>
      <c r="F13" s="54"/>
      <c r="G13" s="59"/>
      <c r="H13" s="59"/>
      <c r="I13" s="15"/>
      <c r="J13" s="15"/>
      <c r="K13" s="36" t="str">
        <f>IF(AND(F12&lt;1,F14&lt;1),"",IF(F12+G12&gt;F14+G14,B12,B14))</f>
        <v/>
      </c>
      <c r="L13" s="22"/>
      <c r="M13" s="41"/>
      <c r="N13" s="60"/>
      <c r="O13" s="31" t="str">
        <f>IF(M13&lt;1,"",IF(M13+N13&gt;M17+N17,"--&gt;&gt;",IF(OR(M13+N13&gt;M21+N21,M13+N13&gt;M25+N25),"  3e","")))</f>
        <v/>
      </c>
      <c r="P13" s="25"/>
    </row>
    <row r="14" spans="1:26" ht="30" customHeight="1" thickBot="1" x14ac:dyDescent="0.3">
      <c r="A14" s="1">
        <v>8</v>
      </c>
      <c r="B14" s="38" t="str">
        <f>Uitslag!$C$18</f>
        <v>Team naam 8</v>
      </c>
      <c r="C14" s="39"/>
      <c r="D14" s="38" t="str">
        <f>Uitslag!$D$18</f>
        <v>Vereniging 8</v>
      </c>
      <c r="E14" s="22"/>
      <c r="F14" s="53"/>
      <c r="G14" s="57"/>
      <c r="H14" s="58"/>
      <c r="I14" s="31" t="str">
        <f>IF(F14&lt;1,"",IF(F14+G14&gt;F12+G12,"--&gt;&gt;",""))</f>
        <v/>
      </c>
      <c r="J14" s="31"/>
      <c r="K14" s="37"/>
      <c r="L14" s="23"/>
      <c r="M14" s="55"/>
      <c r="N14" s="56"/>
      <c r="O14" s="25"/>
      <c r="P14" s="25"/>
    </row>
    <row r="15" spans="1:26" ht="30" customHeight="1" thickTop="1" thickBot="1" x14ac:dyDescent="0.4">
      <c r="A15" s="1"/>
      <c r="B15" s="40"/>
      <c r="C15" s="40"/>
      <c r="D15" s="40"/>
      <c r="E15" s="17"/>
      <c r="F15" s="54"/>
      <c r="G15" s="59"/>
      <c r="H15" s="59"/>
      <c r="K15" s="16"/>
      <c r="L15" s="23"/>
      <c r="M15" s="29" t="str">
        <f>IF(AND(M13&lt;1,M17&lt;1),"",IF(M13+N13&gt;M17+N17,K13,K17))</f>
        <v/>
      </c>
      <c r="N15" s="34"/>
      <c r="O15" s="27"/>
      <c r="P15" s="27"/>
      <c r="Q15" s="28"/>
      <c r="R15" s="73"/>
    </row>
    <row r="16" spans="1:26" ht="30" customHeight="1" thickTop="1" x14ac:dyDescent="0.25">
      <c r="A16" s="1">
        <v>5</v>
      </c>
      <c r="B16" s="38" t="str">
        <f>Uitslag!$C$15</f>
        <v>Team naam 5</v>
      </c>
      <c r="C16" s="39"/>
      <c r="D16" s="38" t="str">
        <f>Uitslag!$D$15</f>
        <v>Vereniging 5</v>
      </c>
      <c r="E16" s="22"/>
      <c r="F16" s="53"/>
      <c r="G16" s="57"/>
      <c r="H16" s="58"/>
      <c r="I16" s="31" t="str">
        <f>IF(F16&lt;1,"",IF(F16+G16&gt;F18+G18,"--&gt;&gt;",""))</f>
        <v/>
      </c>
      <c r="J16" s="31"/>
      <c r="K16" s="37"/>
      <c r="L16" s="23"/>
      <c r="M16" s="26"/>
      <c r="N16" s="33"/>
      <c r="O16" s="25"/>
      <c r="P16" s="25"/>
    </row>
    <row r="17" spans="1:25" ht="27" customHeight="1" x14ac:dyDescent="0.4">
      <c r="A17" s="1"/>
      <c r="B17" s="24"/>
      <c r="C17" s="24"/>
      <c r="D17" s="24"/>
      <c r="E17" s="17"/>
      <c r="F17" s="54"/>
      <c r="G17" s="59"/>
      <c r="H17" s="59"/>
      <c r="K17" s="36" t="str">
        <f>IF(AND(F16&lt;1,F18&lt;1),"",IF(F16+G16&gt;F18+G18,B16,B18))</f>
        <v/>
      </c>
      <c r="L17" s="22"/>
      <c r="M17" s="41"/>
      <c r="N17" s="60"/>
      <c r="O17" s="31" t="str">
        <f>IF(M17&lt;1,"",IF(M17+N17&gt;M13+N13,"--&gt;&gt;",IF(OR(M17+N17&gt;M21+N21,M17+N17&gt;M25+N25),"  3e","")))</f>
        <v/>
      </c>
      <c r="P17" s="25"/>
      <c r="S17" s="36" t="str">
        <f>M15</f>
        <v/>
      </c>
      <c r="T17" s="22"/>
      <c r="U17" s="41"/>
      <c r="V17" s="60"/>
      <c r="W17" s="15" t="str">
        <f>IF(U17&lt;1,"",IF(U17+V17&lt;U21+V21,"  2e",""))</f>
        <v/>
      </c>
      <c r="X17" s="25"/>
    </row>
    <row r="18" spans="1:25" ht="27" customHeight="1" thickBot="1" x14ac:dyDescent="0.3">
      <c r="A18" s="1">
        <v>4</v>
      </c>
      <c r="B18" s="38" t="str">
        <f>Uitslag!$C$14</f>
        <v>Team naam 4</v>
      </c>
      <c r="C18" s="39"/>
      <c r="D18" s="38" t="str">
        <f>Uitslag!$D$14</f>
        <v>Vereniging 4</v>
      </c>
      <c r="E18" s="22"/>
      <c r="F18" s="53"/>
      <c r="G18" s="57"/>
      <c r="H18" s="58"/>
      <c r="I18" s="31" t="str">
        <f>IF(F18&lt;1,"",IF(F18+G18&gt;F16+G16,"--&gt;&gt;",""))</f>
        <v/>
      </c>
      <c r="J18" s="31"/>
      <c r="S18" s="37"/>
      <c r="T18" s="23"/>
      <c r="U18" s="55"/>
      <c r="V18" s="56"/>
      <c r="W18" s="25"/>
      <c r="X18" s="25"/>
    </row>
    <row r="19" spans="1:25" ht="27" customHeight="1" thickTop="1" thickBot="1" x14ac:dyDescent="0.45">
      <c r="B19" s="21"/>
      <c r="C19" s="21"/>
      <c r="D19" s="21"/>
      <c r="S19" s="16"/>
      <c r="T19" s="23"/>
      <c r="U19" s="29" t="str">
        <f>IF(AND(U17&lt;1,U21&lt;1),"",IF(U17+V17&gt;U21+V21,S17,S21))</f>
        <v/>
      </c>
      <c r="V19" s="34"/>
      <c r="W19" s="27"/>
      <c r="X19" s="27"/>
      <c r="Y19" s="28"/>
    </row>
    <row r="20" spans="1:25" ht="30.75" thickTop="1" x14ac:dyDescent="0.25">
      <c r="A20" s="1">
        <v>3</v>
      </c>
      <c r="B20" s="38" t="str">
        <f>Uitslag!$C$13</f>
        <v>Team naam 3</v>
      </c>
      <c r="C20" s="39"/>
      <c r="D20" s="38" t="str">
        <f>Uitslag!$D$13</f>
        <v>Vereniging 3</v>
      </c>
      <c r="E20" s="22"/>
      <c r="F20" s="53"/>
      <c r="G20" s="57"/>
      <c r="H20" s="58"/>
      <c r="I20" s="31" t="str">
        <f>IF(F20&lt;1,"",IF(F20+G20&gt;F22+G22,"--&gt;&gt;",""))</f>
        <v/>
      </c>
      <c r="J20" s="31"/>
      <c r="K20" s="23"/>
      <c r="L20" s="23"/>
      <c r="M20" s="23"/>
      <c r="N20" s="23"/>
      <c r="O20" s="23"/>
      <c r="S20" s="37"/>
      <c r="T20" s="23"/>
      <c r="U20" s="26"/>
      <c r="V20" s="33"/>
      <c r="W20" s="25"/>
      <c r="X20" s="25"/>
    </row>
    <row r="21" spans="1:25" ht="30" x14ac:dyDescent="0.4">
      <c r="A21" s="1"/>
      <c r="B21" s="24"/>
      <c r="C21" s="24"/>
      <c r="D21" s="24"/>
      <c r="E21" s="17"/>
      <c r="F21" s="54"/>
      <c r="G21" s="59"/>
      <c r="H21" s="59"/>
      <c r="I21" s="15"/>
      <c r="J21" s="15"/>
      <c r="K21" s="36" t="str">
        <f>IF(AND(F20&lt;1,F22&lt;1),"",IF(F20+G20&gt;F22+G22,B20,B22))</f>
        <v/>
      </c>
      <c r="L21" s="22"/>
      <c r="M21" s="41"/>
      <c r="N21" s="60"/>
      <c r="O21" s="31" t="str">
        <f>IF(M21&lt;1,"",IF(M21+N21&gt;M25+N25,"--&gt;&gt;",IF(OR(M21+N21&gt;M17+N17,M21+N21&gt;M13+N13),"  3e","")))</f>
        <v/>
      </c>
      <c r="P21" s="25"/>
      <c r="S21" s="36" t="str">
        <f>M23</f>
        <v/>
      </c>
      <c r="T21" s="22"/>
      <c r="U21" s="41"/>
      <c r="V21" s="60"/>
      <c r="W21" s="15" t="str">
        <f>IF(U21&lt;1,"",IF(U21+V21&lt;U17+V17,"  2e",""))</f>
        <v/>
      </c>
      <c r="X21" s="25"/>
    </row>
    <row r="22" spans="1:25" ht="30.75" thickBot="1" x14ac:dyDescent="0.3">
      <c r="A22" s="1">
        <v>6</v>
      </c>
      <c r="B22" s="38" t="str">
        <f>Uitslag!$C$16</f>
        <v>Team naam 6</v>
      </c>
      <c r="C22" s="39"/>
      <c r="D22" s="38" t="str">
        <f>Uitslag!$D$16</f>
        <v>Vereniging 6</v>
      </c>
      <c r="E22" s="22"/>
      <c r="F22" s="53"/>
      <c r="G22" s="57"/>
      <c r="H22" s="58"/>
      <c r="I22" s="31" t="str">
        <f>IF(F22&lt;1,"",IF(F22+G22&gt;F20+G20,"--&gt;&gt;",""))</f>
        <v/>
      </c>
      <c r="J22" s="31"/>
      <c r="K22" s="37"/>
      <c r="L22" s="23"/>
      <c r="M22" s="55"/>
      <c r="N22" s="56"/>
      <c r="O22" s="25"/>
      <c r="P22" s="25"/>
    </row>
    <row r="23" spans="1:25" ht="29.25" thickTop="1" thickBot="1" x14ac:dyDescent="0.4">
      <c r="A23" s="1"/>
      <c r="B23" s="40"/>
      <c r="C23" s="40"/>
      <c r="D23" s="40"/>
      <c r="E23" s="17"/>
      <c r="F23" s="54"/>
      <c r="G23" s="59"/>
      <c r="H23" s="59"/>
      <c r="K23" s="16"/>
      <c r="L23" s="23"/>
      <c r="M23" s="29" t="str">
        <f>IF(AND(M21&lt;1,M25&lt;1),"",IF(M21+N21&gt;M25+N25,K21,K25))</f>
        <v/>
      </c>
      <c r="N23" s="34"/>
      <c r="O23" s="27"/>
      <c r="P23" s="27"/>
      <c r="Q23" s="28"/>
      <c r="R23" s="73"/>
    </row>
    <row r="24" spans="1:25" ht="30.75" thickTop="1" x14ac:dyDescent="0.25">
      <c r="A24" s="1">
        <v>7</v>
      </c>
      <c r="B24" s="38" t="str">
        <f>Uitslag!$C$17</f>
        <v>Team naam 7</v>
      </c>
      <c r="C24" s="39"/>
      <c r="D24" s="38" t="str">
        <f>Uitslag!$D$17</f>
        <v>Vereniging 7</v>
      </c>
      <c r="E24" s="22"/>
      <c r="F24" s="53"/>
      <c r="G24" s="57"/>
      <c r="H24" s="58"/>
      <c r="I24" s="31" t="str">
        <f>IF(F24&lt;1,"",IF(F24+G24&gt;F26+G26,"--&gt;&gt;",""))</f>
        <v/>
      </c>
      <c r="J24" s="31"/>
      <c r="K24" s="37"/>
      <c r="L24" s="23"/>
      <c r="M24" s="26"/>
      <c r="N24" s="33"/>
      <c r="O24" s="25"/>
      <c r="P24" s="25"/>
    </row>
    <row r="25" spans="1:25" ht="30" x14ac:dyDescent="0.4">
      <c r="A25" s="1"/>
      <c r="B25" s="24"/>
      <c r="C25" s="24"/>
      <c r="D25" s="24"/>
      <c r="E25" s="17"/>
      <c r="F25" s="54"/>
      <c r="G25" s="59"/>
      <c r="H25" s="59"/>
      <c r="K25" s="36" t="str">
        <f>IF(AND(F24&lt;1,F26&lt;1),"",IF(F24+G24&gt;F26+G26,B24,B26))</f>
        <v/>
      </c>
      <c r="L25" s="22"/>
      <c r="M25" s="41"/>
      <c r="N25" s="60"/>
      <c r="O25" s="31" t="str">
        <f>IF(M25&lt;1,"",IF(M25+N25&gt;M21+N21,"--&gt;&gt;",IF(OR(M25+N25&gt;M17+N17,M25+N25&gt;M13+N13),"  3e","")))</f>
        <v/>
      </c>
      <c r="P25" s="25"/>
    </row>
    <row r="26" spans="1:25" ht="30" x14ac:dyDescent="0.2">
      <c r="A26" s="1">
        <v>2</v>
      </c>
      <c r="B26" s="38" t="str">
        <f>Uitslag!$C$12</f>
        <v>Team naam 2</v>
      </c>
      <c r="C26" s="39"/>
      <c r="D26" s="38" t="str">
        <f>Uitslag!$D$12</f>
        <v>Vereniging 2</v>
      </c>
      <c r="E26" s="22"/>
      <c r="F26" s="53"/>
      <c r="G26" s="57"/>
      <c r="H26" s="58"/>
      <c r="I26" s="31" t="str">
        <f>IF(F26&lt;1,"",IF(F26+G26&gt;F24+G24,"--&gt;&gt;",""))</f>
        <v/>
      </c>
      <c r="J26" s="31"/>
      <c r="K26" s="23"/>
      <c r="L26" s="23"/>
      <c r="M26" s="23"/>
      <c r="N26" s="23"/>
      <c r="O26" s="23"/>
    </row>
    <row r="27" spans="1:25" x14ac:dyDescent="0.2">
      <c r="B27" s="23"/>
      <c r="C27" s="23"/>
      <c r="D27" s="23"/>
      <c r="E27" s="17"/>
      <c r="F27" s="23"/>
      <c r="G27" s="23"/>
      <c r="H27" s="23"/>
      <c r="I27" s="23"/>
      <c r="J27" s="23"/>
      <c r="K27" s="23"/>
      <c r="L27" s="23"/>
      <c r="M27" s="23"/>
      <c r="N27" s="23"/>
      <c r="O27" s="23"/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scale="38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Uitleg</vt:lpstr>
      <vt:lpstr>Invallers</vt:lpstr>
      <vt:lpstr>Deelnemers en Scores</vt:lpstr>
      <vt:lpstr>Uitslag</vt:lpstr>
      <vt:lpstr>Finales</vt:lpstr>
      <vt:lpstr>FINALE incl kwart</vt:lpstr>
      <vt:lpstr>'Deelnemers en Scores'!Print_Area</vt:lpstr>
      <vt:lpstr>'FINALE incl kwart'!Print_Area</vt:lpstr>
      <vt:lpstr>Finales!Print_Area</vt:lpstr>
      <vt:lpstr>Invallers!Print_Area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2021-12-18T14:34:54Z</cp:lastPrinted>
  <dcterms:created xsi:type="dcterms:W3CDTF">1998-02-10T19:58:49Z</dcterms:created>
  <dcterms:modified xsi:type="dcterms:W3CDTF">2021-12-18T16:36:10Z</dcterms:modified>
</cp:coreProperties>
</file>