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drawings/drawing2.xml" ContentType="application/vnd.openxmlformats-officedocument.drawing+xml"/>
  <Override PartName="/xl/ctrlProps/ctrlProp5.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928" codeName="{AE6600E7-7A62-396C-DE95-9942FA9DD81E}"/>
  <workbookPr codeName="ThisWorkbook" defaultThemeVersion="124226"/>
  <mc:AlternateContent xmlns:mc="http://schemas.openxmlformats.org/markup-compatibility/2006">
    <mc:Choice Requires="x15">
      <x15ac:absPath xmlns:x15ac="http://schemas.microsoft.com/office/spreadsheetml/2010/11/ac" url="H:\Projects Ramon\Websites\NHB-applicaties\RK excels\"/>
    </mc:Choice>
  </mc:AlternateContent>
  <xr:revisionPtr revIDLastSave="0" documentId="13_ncr:1_{CEA8CC22-BAD7-4C11-89C5-8FF42C448E66}" xr6:coauthVersionLast="47" xr6:coauthVersionMax="47" xr10:uidLastSave="{00000000-0000-0000-0000-000000000000}"/>
  <bookViews>
    <workbookView xWindow="-120" yWindow="-120" windowWidth="29040" windowHeight="15840" xr2:uid="{00000000-000D-0000-FFFF-FFFF00000000}"/>
  </bookViews>
  <sheets>
    <sheet name="Uitleg" sheetId="3" r:id="rId1"/>
    <sheet name="Voorronde" sheetId="4" r:id="rId2"/>
    <sheet name="Finale" sheetId="5" r:id="rId3"/>
  </sheets>
  <definedNames>
    <definedName name="_xlnm.Print_Area" localSheetId="2">Finale!$A$1:$AK$40</definedName>
  </definedNames>
  <calcPr calcId="191029"/>
</workbook>
</file>

<file path=xl/calcChain.xml><?xml version="1.0" encoding="utf-8"?>
<calcChain xmlns="http://schemas.openxmlformats.org/spreadsheetml/2006/main">
  <c r="S32" i="4" l="1"/>
  <c r="S31" i="4"/>
  <c r="S30" i="4"/>
  <c r="S29" i="4"/>
  <c r="S28" i="4"/>
  <c r="S27" i="4"/>
  <c r="S26" i="4"/>
  <c r="S25" i="4"/>
  <c r="S24" i="4"/>
  <c r="S23" i="4"/>
  <c r="S22" i="4"/>
  <c r="S21" i="4"/>
  <c r="S20" i="4"/>
  <c r="S19" i="4"/>
  <c r="S18" i="4"/>
  <c r="S17" i="4"/>
  <c r="S16" i="4"/>
  <c r="S15" i="4"/>
  <c r="S14" i="4"/>
  <c r="S13" i="4"/>
  <c r="S12" i="4"/>
  <c r="S11" i="4"/>
  <c r="S10" i="4"/>
  <c r="S9" i="4"/>
  <c r="S8" i="4"/>
  <c r="L30" i="4"/>
  <c r="L29" i="4"/>
  <c r="L28" i="4"/>
  <c r="L27" i="4"/>
  <c r="L26" i="4"/>
  <c r="L25" i="4"/>
  <c r="L24" i="4"/>
  <c r="L23" i="4"/>
  <c r="L22" i="4"/>
  <c r="L21" i="4"/>
  <c r="L20" i="4"/>
  <c r="L19" i="4"/>
  <c r="L18" i="4"/>
  <c r="L17" i="4"/>
  <c r="L16" i="4"/>
  <c r="L15" i="4"/>
  <c r="L14" i="4"/>
  <c r="L13" i="4"/>
  <c r="L12" i="4"/>
  <c r="L11" i="4"/>
  <c r="L10" i="4"/>
  <c r="L9" i="4"/>
  <c r="L8" i="4"/>
  <c r="L7" i="4"/>
  <c r="C4" i="4"/>
  <c r="B1" i="5" s="1"/>
  <c r="S7" i="4"/>
  <c r="AD22" i="5"/>
  <c r="AE22" i="5" s="1"/>
  <c r="AC31" i="5"/>
  <c r="AD31" i="5"/>
  <c r="L6" i="5"/>
  <c r="U8" i="5"/>
  <c r="AD12" i="5"/>
  <c r="K6" i="5"/>
  <c r="T8" i="5"/>
  <c r="AC12" i="5"/>
  <c r="AC22" i="5"/>
  <c r="AJ31" i="5"/>
  <c r="AJ12" i="5"/>
  <c r="AA8" i="5"/>
  <c r="I38" i="5"/>
  <c r="R37" i="5"/>
  <c r="L37" i="5"/>
  <c r="K37" i="5"/>
  <c r="E37" i="5"/>
  <c r="I36" i="5"/>
  <c r="AA35" i="5"/>
  <c r="U35" i="5"/>
  <c r="T35" i="5"/>
  <c r="N35" i="5"/>
  <c r="I34" i="5"/>
  <c r="R33" i="5"/>
  <c r="L33" i="5"/>
  <c r="K33" i="5"/>
  <c r="E33" i="5"/>
  <c r="I32" i="5"/>
  <c r="W31" i="5"/>
  <c r="I30" i="5"/>
  <c r="R29" i="5"/>
  <c r="L29" i="5"/>
  <c r="K29" i="5"/>
  <c r="E29" i="5"/>
  <c r="I28" i="5"/>
  <c r="AA27" i="5"/>
  <c r="L25" i="5"/>
  <c r="U27" i="5"/>
  <c r="K25" i="5"/>
  <c r="T27" i="5"/>
  <c r="N27" i="5"/>
  <c r="I26" i="5"/>
  <c r="R25" i="5"/>
  <c r="E25" i="5"/>
  <c r="I24" i="5"/>
  <c r="I5" i="5"/>
  <c r="E6" i="5"/>
  <c r="R6" i="5"/>
  <c r="I7" i="5"/>
  <c r="N8" i="5"/>
  <c r="I9" i="5"/>
  <c r="E10" i="5"/>
  <c r="K10" i="5"/>
  <c r="L10" i="5"/>
  <c r="R10" i="5"/>
  <c r="I11" i="5"/>
  <c r="W12" i="5"/>
  <c r="I13" i="5"/>
  <c r="E14" i="5"/>
  <c r="K14" i="5"/>
  <c r="L14" i="5"/>
  <c r="R14" i="5"/>
  <c r="I15" i="5"/>
  <c r="N16" i="5"/>
  <c r="K18" i="5"/>
  <c r="T16" i="5"/>
  <c r="L18" i="5"/>
  <c r="U16" i="5"/>
  <c r="AA16" i="5"/>
  <c r="I17" i="5"/>
  <c r="E18" i="5"/>
  <c r="R18" i="5"/>
  <c r="I19" i="5"/>
</calcChain>
</file>

<file path=xl/sharedStrings.xml><?xml version="1.0" encoding="utf-8"?>
<sst xmlns="http://schemas.openxmlformats.org/spreadsheetml/2006/main" count="67" uniqueCount="46">
  <si>
    <t>Instellingen</t>
  </si>
  <si>
    <t xml:space="preserve">Uitnodigingslijst sorteren op </t>
  </si>
  <si>
    <t>Vereniging (Ja/Nee)</t>
  </si>
  <si>
    <t>Nee</t>
  </si>
  <si>
    <t>Ja</t>
  </si>
  <si>
    <t>Bondsnr</t>
  </si>
  <si>
    <t>Tot</t>
  </si>
  <si>
    <t>Shoot Off</t>
  </si>
  <si>
    <t>1/4 finale</t>
  </si>
  <si>
    <t>Finale</t>
  </si>
  <si>
    <t>Score</t>
  </si>
  <si>
    <t>Shoot off</t>
  </si>
  <si>
    <t>Naam</t>
  </si>
  <si>
    <t>Vereniging</t>
  </si>
  <si>
    <t>LET OP: Setsysteem:</t>
  </si>
  <si>
    <r>
      <t xml:space="preserve">Om te bepalen wie er de 3de plaats behaalt moet er een aparte "bronzen" finale worden geschoten. Het programma houd hier helaas geen rekening mee. </t>
    </r>
    <r>
      <rPr>
        <sz val="10"/>
        <rFont val="Arial"/>
        <family val="2"/>
      </rPr>
      <t>Deze "bronzen" finale moet dus handmatig worden uitgevoerd.</t>
    </r>
  </si>
  <si>
    <t>1/8 finale</t>
  </si>
  <si>
    <t>1/2 Finale</t>
  </si>
  <si>
    <t>Hoeveel schutters naar finale? (1 - 16)</t>
  </si>
  <si>
    <t>Regio</t>
  </si>
  <si>
    <t>Regio score (Ja/Nee)</t>
  </si>
  <si>
    <t>Regio gem.</t>
  </si>
  <si>
    <t>Rayon Kamp</t>
  </si>
  <si>
    <t>Druk op de knop &lt;Naar finale&gt; en de eerste schutters worden geplaatst in het scherm finale (afhankelijk van het getal bij instellingen 4, 8 of 16 schutters). Voer de scores in achter de betreffende schutters en eventueel ook de shoot off score (wordt aangegeven). De volgende ronde wordt automatisch ingevuld. Als het de finale is geschoten en een afdruk wordt gemaakt (knop &lt;Afdukken&gt;) dan wordt de Rayonkampioen met "Kampioen" gemarkeerd in het voorronde scherm. Het bestand kan nu naar de NHB worden verstuurd.</t>
  </si>
  <si>
    <t>Rayonkampioenschappen worden geschoten volgens het World Archery setsysteem (zie ook de informatie hierover elders). In dit programma is hier niet speciaal rekening mee gehouden, maar het programma werkt ook voor het setsysteem. Op de plaats waar voorheen een puntenaantal (max 120 punten) moest worden ingevuld moeten er nu setpunten worden ingevuldt (bijvoorbeeld 6 voor de winnaar)</t>
  </si>
  <si>
    <t>Algemeen</t>
  </si>
  <si>
    <t>Invoeren</t>
  </si>
  <si>
    <t>Afdrukken</t>
  </si>
  <si>
    <t>Als de scores zijn ingevoerd kan er een afdruk gemaakt worden door op de knop &lt;Afdrukken&gt; te drukken. Als er 2* 30pijlen zijn ingevoerd dan wordt er bepaald bij welke schutters een shoot off geschoten dient te worden. Hiervan krijg je een melding en de betreffende schutters worden Rood gemaakt. Vul nu de shoot off scores in en druk af.</t>
  </si>
  <si>
    <t>Er zijn twee vakken waar instellingen gewijzigd kunnen worden. De eerste is voor de sorteervolgorde tijdens het afdrukken van de uitnodigingslijst en de tweede voor het transporteren naar de finale (4, 8 of 16 schutters).
De laatste optie in het tweede vak dient om aan te geven of er meteen naar de printer of eerst een preview gegeven moet worden.</t>
  </si>
  <si>
    <t>Deelname</t>
  </si>
  <si>
    <t>Baan</t>
  </si>
  <si>
    <t>Organisatie</t>
  </si>
  <si>
    <t>Datum</t>
  </si>
  <si>
    <t>Adres:</t>
  </si>
  <si>
    <t>Locatie
Adres</t>
  </si>
  <si>
    <t>Als alle scores zijn ingevoerd druk je op de knop afdrukken (ook na de eerste 30pijlen) de schutters worden gesorteerd en afgedrukt. Tip : Baannummers kunnen worden gebruikt door in kolom A de nummers en in B de letters in te voeren en op deze kolom te sorteren met de knop &lt;Sorteren op baan&gt;. Deze kolom wordt niet afgedrukt.</t>
  </si>
  <si>
    <t>1e</t>
  </si>
  <si>
    <t>2e</t>
  </si>
  <si>
    <t>Deze gegevens zijn opgehaald op:</t>
  </si>
  <si>
    <t>Afgemeld en reserven:</t>
  </si>
  <si>
    <t>Finale ronde</t>
  </si>
  <si>
    <t>Notities</t>
  </si>
  <si>
    <r>
      <t xml:space="preserve">Het excel werkboek voor de Rayonkampioenschappen Indoor is ingevuld opgehaald uit MijnHandboogsport met elke wedstrijdklasse in een apart bestand. Aan het einde van het RK </t>
    </r>
    <r>
      <rPr>
        <sz val="10"/>
        <color rgb="FFFF0000"/>
        <rFont val="Arial"/>
        <family val="2"/>
      </rPr>
      <t>moet het ingevulde bestand terug gestuurd worden</t>
    </r>
    <r>
      <rPr>
        <sz val="10"/>
        <rFont val="Arial"/>
        <family val="2"/>
      </rPr>
      <t xml:space="preserve"> voor publicatie en bepalen BK deelnemers. Contactgegevens staan onderaan.</t>
    </r>
  </si>
  <si>
    <r>
      <t xml:space="preserve">E-mail </t>
    </r>
    <r>
      <rPr>
        <sz val="10"/>
        <color rgb="FFFF0000"/>
        <rFont val="Arial"/>
        <family val="2"/>
      </rPr>
      <t>opsturen ingevuld bestand</t>
    </r>
    <r>
      <rPr>
        <sz val="10"/>
        <rFont val="Arial"/>
        <family val="2"/>
      </rPr>
      <t>: nhb-apps-support@handboogsport.nl</t>
    </r>
  </si>
  <si>
    <t>E-mail vragen RK: info@handboogsport.nl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</si>
</sst>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000"/>
  </numFmts>
  <fonts count="13" x14ac:knownFonts="1">
    <font>
      <sz val="10"/>
      <name val="Arial"/>
    </font>
    <font>
      <sz val="10"/>
      <name val="Arial"/>
      <family val="2"/>
    </font>
    <font>
      <sz val="10"/>
      <color indexed="8"/>
      <name val="Arial"/>
      <family val="2"/>
    </font>
    <font>
      <b/>
      <u/>
      <sz val="10"/>
      <name val="Arial"/>
      <family val="2"/>
    </font>
    <font>
      <sz val="10"/>
      <name val="Arial"/>
      <family val="2"/>
    </font>
    <font>
      <sz val="14"/>
      <name val="Arial"/>
      <family val="2"/>
    </font>
    <font>
      <sz val="10"/>
      <color indexed="22"/>
      <name val="Arial"/>
      <family val="2"/>
    </font>
    <font>
      <sz val="10"/>
      <color indexed="9"/>
      <name val="Arial"/>
      <family val="2"/>
    </font>
    <font>
      <sz val="8"/>
      <name val="Arial"/>
      <family val="2"/>
    </font>
    <font>
      <b/>
      <sz val="10"/>
      <name val="Arial"/>
      <family val="2"/>
    </font>
    <font>
      <sz val="10"/>
      <color rgb="FF000000"/>
      <name val="Arial"/>
      <family val="2"/>
    </font>
    <font>
      <sz val="11"/>
      <name val="Arial"/>
      <family val="2"/>
    </font>
    <font>
      <sz val="10"/>
      <color rgb="FFFF0000"/>
      <name val="Arial"/>
      <family val="2"/>
    </font>
  </fonts>
  <fills count="5">
    <fill>
      <patternFill patternType="none"/>
    </fill>
    <fill>
      <patternFill patternType="gray125"/>
    </fill>
    <fill>
      <patternFill patternType="solid">
        <fgColor indexed="22"/>
        <bgColor indexed="64"/>
      </patternFill>
    </fill>
    <fill>
      <patternFill patternType="solid">
        <fgColor indexed="9"/>
        <bgColor indexed="64"/>
      </patternFill>
    </fill>
    <fill>
      <patternFill patternType="solid">
        <fgColor theme="0" tint="-0.14999847407452621"/>
        <bgColor indexed="64"/>
      </patternFill>
    </fill>
  </fills>
  <borders count="25">
    <border>
      <left/>
      <right/>
      <top/>
      <bottom/>
      <diagonal/>
    </border>
    <border>
      <left/>
      <right/>
      <top style="medium">
        <color indexed="64"/>
      </top>
      <bottom/>
      <diagonal/>
    </border>
    <border>
      <left style="medium">
        <color indexed="64"/>
      </left>
      <right style="medium">
        <color indexed="64"/>
      </right>
      <top style="medium">
        <color indexed="64"/>
      </top>
      <bottom/>
      <diagonal/>
    </border>
    <border>
      <left/>
      <right style="medium">
        <color indexed="64"/>
      </right>
      <top/>
      <bottom/>
      <diagonal/>
    </border>
    <border>
      <left/>
      <right/>
      <top/>
      <bottom style="medium">
        <color indexed="64"/>
      </bottom>
      <diagonal/>
    </border>
    <border>
      <left style="medium">
        <color indexed="64"/>
      </left>
      <right style="medium">
        <color indexed="64"/>
      </right>
      <top/>
      <bottom style="medium">
        <color indexed="64"/>
      </bottom>
      <diagonal/>
    </border>
    <border>
      <left/>
      <right style="medium">
        <color indexed="64"/>
      </right>
      <top/>
      <bottom style="medium">
        <color indexed="64"/>
      </bottom>
      <diagonal/>
    </border>
    <border>
      <left/>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style="medium">
        <color indexed="64"/>
      </left>
      <right/>
      <top style="medium">
        <color indexed="64"/>
      </top>
      <bottom/>
      <diagonal/>
    </border>
    <border>
      <left/>
      <right style="medium">
        <color indexed="8"/>
      </right>
      <top style="medium">
        <color indexed="64"/>
      </top>
      <bottom/>
      <diagonal/>
    </border>
    <border>
      <left style="medium">
        <color indexed="64"/>
      </left>
      <right/>
      <top/>
      <bottom/>
      <diagonal/>
    </border>
    <border>
      <left/>
      <right style="medium">
        <color indexed="8"/>
      </right>
      <top/>
      <bottom/>
      <diagonal/>
    </border>
    <border>
      <left style="medium">
        <color indexed="64"/>
      </left>
      <right/>
      <top/>
      <bottom style="medium">
        <color indexed="8"/>
      </bottom>
      <diagonal/>
    </border>
    <border>
      <left/>
      <right style="medium">
        <color indexed="8"/>
      </right>
      <top/>
      <bottom style="medium">
        <color indexed="8"/>
      </bottom>
      <diagonal/>
    </border>
    <border>
      <left style="medium">
        <color indexed="8"/>
      </left>
      <right/>
      <top style="medium">
        <color indexed="64"/>
      </top>
      <bottom/>
      <diagonal/>
    </border>
    <border>
      <left/>
      <right/>
      <top/>
      <bottom style="medium">
        <color indexed="8"/>
      </bottom>
      <diagonal/>
    </border>
    <border>
      <left/>
      <right style="medium">
        <color indexed="64"/>
      </right>
      <top/>
      <bottom style="medium">
        <color indexed="8"/>
      </bottom>
      <diagonal/>
    </border>
    <border>
      <left style="medium">
        <color indexed="8"/>
      </left>
      <right/>
      <top/>
      <bottom/>
      <diagonal/>
    </border>
    <border>
      <left style="medium">
        <color indexed="8"/>
      </left>
      <right/>
      <top/>
      <bottom style="medium">
        <color indexed="64"/>
      </bottom>
      <diagonal/>
    </border>
    <border>
      <left/>
      <right style="medium">
        <color indexed="8"/>
      </right>
      <top/>
      <bottom style="medium">
        <color indexed="64"/>
      </bottom>
      <diagonal/>
    </border>
  </borders>
  <cellStyleXfs count="2">
    <xf numFmtId="0" fontId="0" fillId="0" borderId="0"/>
    <xf numFmtId="0" fontId="2" fillId="0" borderId="0"/>
  </cellStyleXfs>
  <cellXfs count="102">
    <xf numFmtId="0" fontId="0" fillId="0" borderId="0" xfId="0"/>
    <xf numFmtId="0" fontId="0" fillId="0" borderId="0" xfId="0" applyProtection="1">
      <protection locked="0"/>
    </xf>
    <xf numFmtId="0" fontId="3" fillId="0" borderId="0" xfId="0" applyFont="1" applyAlignment="1">
      <alignment wrapText="1"/>
    </xf>
    <xf numFmtId="0" fontId="0" fillId="0" borderId="0" xfId="0" applyAlignment="1">
      <alignment wrapText="1"/>
    </xf>
    <xf numFmtId="0" fontId="4" fillId="0" borderId="0" xfId="0" applyFont="1" applyProtection="1">
      <protection locked="0"/>
    </xf>
    <xf numFmtId="0" fontId="0" fillId="0" borderId="0" xfId="0" applyProtection="1">
      <protection hidden="1"/>
    </xf>
    <xf numFmtId="0" fontId="0" fillId="0" borderId="0" xfId="0"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vertical="center"/>
      <protection locked="0"/>
    </xf>
    <xf numFmtId="0" fontId="0" fillId="0" borderId="1" xfId="0" applyBorder="1" applyAlignment="1" applyProtection="1">
      <alignment horizontal="center"/>
      <protection locked="0"/>
    </xf>
    <xf numFmtId="0" fontId="0" fillId="0" borderId="2" xfId="0" applyBorder="1" applyAlignment="1" applyProtection="1">
      <alignment horizontal="center"/>
      <protection locked="0"/>
    </xf>
    <xf numFmtId="0" fontId="0" fillId="0" borderId="4" xfId="0" applyBorder="1" applyAlignment="1" applyProtection="1">
      <alignment horizontal="center"/>
      <protection locked="0"/>
    </xf>
    <xf numFmtId="0" fontId="0" fillId="0" borderId="5" xfId="0" applyBorder="1" applyAlignment="1" applyProtection="1">
      <alignment horizontal="center"/>
      <protection locked="0"/>
    </xf>
    <xf numFmtId="0" fontId="0" fillId="2" borderId="0" xfId="0" applyFill="1" applyAlignment="1" applyProtection="1">
      <alignment horizontal="center"/>
      <protection locked="0"/>
    </xf>
    <xf numFmtId="0" fontId="6" fillId="2" borderId="0" xfId="0" applyFont="1" applyFill="1" applyAlignment="1" applyProtection="1">
      <alignment horizontal="left"/>
      <protection hidden="1"/>
    </xf>
    <xf numFmtId="0" fontId="0" fillId="2" borderId="0" xfId="0" applyFill="1" applyAlignment="1" applyProtection="1">
      <alignment horizontal="left"/>
      <protection locked="0"/>
    </xf>
    <xf numFmtId="0" fontId="0" fillId="2" borderId="0" xfId="0" applyFill="1" applyProtection="1">
      <protection locked="0"/>
    </xf>
    <xf numFmtId="0" fontId="0" fillId="0" borderId="7" xfId="0" applyBorder="1" applyProtection="1">
      <protection locked="0"/>
    </xf>
    <xf numFmtId="0" fontId="4" fillId="0" borderId="8" xfId="0" applyFont="1" applyBorder="1" applyProtection="1">
      <protection locked="0"/>
    </xf>
    <xf numFmtId="0" fontId="4" fillId="0" borderId="9" xfId="0" applyFont="1" applyBorder="1" applyProtection="1">
      <protection locked="0"/>
    </xf>
    <xf numFmtId="0" fontId="0" fillId="0" borderId="9" xfId="0" applyBorder="1" applyProtection="1">
      <protection locked="0"/>
    </xf>
    <xf numFmtId="0" fontId="7" fillId="3" borderId="10" xfId="0" applyFont="1" applyFill="1" applyBorder="1" applyProtection="1">
      <protection hidden="1"/>
    </xf>
    <xf numFmtId="0" fontId="0" fillId="0" borderId="8" xfId="0" applyBorder="1" applyProtection="1">
      <protection hidden="1"/>
    </xf>
    <xf numFmtId="0" fontId="0" fillId="0" borderId="9" xfId="0" applyBorder="1" applyProtection="1">
      <protection hidden="1"/>
    </xf>
    <xf numFmtId="0" fontId="7" fillId="3" borderId="11" xfId="0" applyFont="1" applyFill="1" applyBorder="1" applyProtection="1">
      <protection hidden="1"/>
    </xf>
    <xf numFmtId="0" fontId="0" fillId="0" borderId="8" xfId="0" applyBorder="1" applyProtection="1">
      <protection locked="0"/>
    </xf>
    <xf numFmtId="0" fontId="5" fillId="2" borderId="0" xfId="0" applyFont="1" applyFill="1" applyProtection="1">
      <protection locked="0"/>
    </xf>
    <xf numFmtId="0" fontId="5" fillId="0" borderId="0" xfId="0" applyFont="1" applyProtection="1">
      <protection locked="0"/>
    </xf>
    <xf numFmtId="0" fontId="0" fillId="0" borderId="11" xfId="0" applyBorder="1" applyProtection="1">
      <protection locked="0"/>
    </xf>
    <xf numFmtId="164" fontId="0" fillId="0" borderId="0" xfId="0" applyNumberFormat="1" applyAlignment="1" applyProtection="1">
      <alignment horizontal="center"/>
      <protection locked="0"/>
    </xf>
    <xf numFmtId="164" fontId="0" fillId="2" borderId="0" xfId="0" applyNumberFormat="1" applyFill="1" applyAlignment="1" applyProtection="1">
      <alignment horizontal="center"/>
      <protection locked="0"/>
    </xf>
    <xf numFmtId="164" fontId="0" fillId="0" borderId="0" xfId="0" applyNumberFormat="1"/>
    <xf numFmtId="0" fontId="9" fillId="0" borderId="0" xfId="0" applyFont="1" applyAlignment="1">
      <alignment wrapText="1"/>
    </xf>
    <xf numFmtId="0" fontId="9" fillId="0" borderId="0" xfId="0" applyFont="1" applyProtection="1">
      <protection locked="0"/>
    </xf>
    <xf numFmtId="0" fontId="1" fillId="0" borderId="0" xfId="0" applyFont="1" applyAlignment="1">
      <alignment wrapText="1"/>
    </xf>
    <xf numFmtId="0" fontId="1" fillId="0" borderId="0" xfId="0" applyFont="1"/>
    <xf numFmtId="0" fontId="0" fillId="0" borderId="0" xfId="0" applyAlignment="1" applyProtection="1">
      <alignment horizontal="left"/>
      <protection locked="0"/>
    </xf>
    <xf numFmtId="0" fontId="0" fillId="0" borderId="0" xfId="0" applyAlignment="1">
      <alignment horizontal="left"/>
    </xf>
    <xf numFmtId="0" fontId="0" fillId="0" borderId="0" xfId="0" applyAlignment="1">
      <alignment horizontal="center"/>
    </xf>
    <xf numFmtId="0" fontId="11" fillId="0" borderId="0" xfId="0" applyFont="1" applyAlignment="1" applyProtection="1">
      <alignment horizontal="right" vertical="center"/>
      <protection locked="0"/>
    </xf>
    <xf numFmtId="0" fontId="11" fillId="0" borderId="0" xfId="0" applyFont="1" applyAlignment="1" applyProtection="1">
      <alignment vertical="center"/>
      <protection locked="0"/>
    </xf>
    <xf numFmtId="164" fontId="11" fillId="0" borderId="0" xfId="0" applyNumberFormat="1" applyFont="1" applyAlignment="1" applyProtection="1">
      <alignment vertical="center" wrapText="1"/>
      <protection locked="0"/>
    </xf>
    <xf numFmtId="0" fontId="1" fillId="0" borderId="0" xfId="0" applyFont="1" applyProtection="1">
      <protection locked="0"/>
    </xf>
    <xf numFmtId="0" fontId="0" fillId="4" borderId="0" xfId="0" applyFill="1" applyAlignment="1" applyProtection="1">
      <alignment horizontal="center"/>
      <protection hidden="1"/>
    </xf>
    <xf numFmtId="0" fontId="0" fillId="4" borderId="0" xfId="0" applyFill="1" applyProtection="1">
      <protection locked="0"/>
    </xf>
    <xf numFmtId="0" fontId="4" fillId="4" borderId="0" xfId="0" applyFont="1" applyFill="1" applyProtection="1">
      <protection hidden="1"/>
    </xf>
    <xf numFmtId="0" fontId="1" fillId="2" borderId="0" xfId="0" applyFont="1" applyFill="1" applyAlignment="1" applyProtection="1">
      <alignment horizontal="center"/>
      <protection locked="0"/>
    </xf>
    <xf numFmtId="0" fontId="1" fillId="0" borderId="12" xfId="0" applyFont="1" applyBorder="1" applyAlignment="1" applyProtection="1">
      <alignment horizontal="left" wrapText="1"/>
      <protection locked="0"/>
    </xf>
    <xf numFmtId="0" fontId="0" fillId="0" borderId="3" xfId="0" applyBorder="1" applyAlignment="1" applyProtection="1">
      <alignment horizontal="center" wrapText="1"/>
      <protection locked="0"/>
    </xf>
    <xf numFmtId="0" fontId="0" fillId="0" borderId="6" xfId="0" applyBorder="1" applyAlignment="1" applyProtection="1">
      <alignment horizontal="center" wrapText="1"/>
      <protection locked="0"/>
    </xf>
    <xf numFmtId="0" fontId="5" fillId="2" borderId="0" xfId="0" applyFont="1" applyFill="1" applyAlignment="1" applyProtection="1">
      <alignment wrapText="1"/>
      <protection locked="0"/>
    </xf>
    <xf numFmtId="0" fontId="0" fillId="0" borderId="0" xfId="0" applyAlignment="1" applyProtection="1">
      <alignment wrapText="1"/>
      <protection hidden="1"/>
    </xf>
    <xf numFmtId="0" fontId="1" fillId="2" borderId="0" xfId="0" applyFont="1" applyFill="1" applyAlignment="1" applyProtection="1">
      <alignment wrapText="1"/>
      <protection locked="0"/>
    </xf>
    <xf numFmtId="0" fontId="4" fillId="0" borderId="0" xfId="0" applyFont="1" applyAlignment="1" applyProtection="1">
      <alignment wrapText="1"/>
      <protection hidden="1"/>
    </xf>
    <xf numFmtId="0" fontId="1" fillId="0" borderId="0" xfId="0" applyFont="1" applyAlignment="1" applyProtection="1">
      <alignment vertical="top"/>
      <protection locked="0"/>
    </xf>
    <xf numFmtId="0" fontId="1" fillId="0" borderId="0" xfId="0" applyFont="1" applyAlignment="1">
      <alignment vertical="top"/>
    </xf>
    <xf numFmtId="0" fontId="1" fillId="0" borderId="0" xfId="0" applyFont="1" applyAlignment="1">
      <alignment horizontal="left" vertical="top"/>
    </xf>
    <xf numFmtId="0" fontId="1" fillId="0" borderId="0" xfId="0" applyFont="1" applyAlignment="1">
      <alignment vertical="top" wrapText="1"/>
    </xf>
    <xf numFmtId="0" fontId="1" fillId="0" borderId="0" xfId="0" applyFont="1" applyAlignment="1">
      <alignment horizontal="center" vertical="top"/>
    </xf>
    <xf numFmtId="164" fontId="1" fillId="0" borderId="0" xfId="0" applyNumberFormat="1" applyFont="1" applyAlignment="1">
      <alignment vertical="top"/>
    </xf>
    <xf numFmtId="0" fontId="0" fillId="0" borderId="0" xfId="0" applyAlignment="1">
      <alignment vertical="top" wrapText="1"/>
    </xf>
    <xf numFmtId="0" fontId="0" fillId="0" borderId="0" xfId="0" applyAlignment="1">
      <alignment vertical="top"/>
    </xf>
    <xf numFmtId="0" fontId="0" fillId="0" borderId="0" xfId="0" applyAlignment="1" applyProtection="1">
      <alignment vertical="top"/>
      <protection locked="0"/>
    </xf>
    <xf numFmtId="0" fontId="4" fillId="0" borderId="0" xfId="0" applyFont="1" applyAlignment="1" applyProtection="1">
      <alignment vertical="top"/>
      <protection locked="0"/>
    </xf>
    <xf numFmtId="0" fontId="0" fillId="0" borderId="0" xfId="0" applyAlignment="1">
      <alignment horizontal="left" vertical="top"/>
    </xf>
    <xf numFmtId="0" fontId="0" fillId="0" borderId="0" xfId="0" applyAlignment="1">
      <alignment horizontal="center" vertical="top"/>
    </xf>
    <xf numFmtId="164" fontId="0" fillId="0" borderId="0" xfId="0" applyNumberFormat="1" applyAlignment="1">
      <alignment vertical="top"/>
    </xf>
    <xf numFmtId="0" fontId="0" fillId="0" borderId="0" xfId="0" applyAlignment="1" applyProtection="1">
      <alignment vertical="top"/>
      <protection hidden="1"/>
    </xf>
    <xf numFmtId="0" fontId="0" fillId="0" borderId="0" xfId="0" applyAlignment="1" applyProtection="1">
      <alignment horizontal="left" vertical="top"/>
      <protection locked="0"/>
    </xf>
    <xf numFmtId="0" fontId="0" fillId="0" borderId="0" xfId="0" applyAlignment="1" applyProtection="1">
      <alignment horizontal="center" vertical="top"/>
      <protection locked="0"/>
    </xf>
    <xf numFmtId="164" fontId="0" fillId="0" borderId="0" xfId="0" applyNumberFormat="1" applyAlignment="1" applyProtection="1">
      <alignment horizontal="center" vertical="top"/>
      <protection locked="0"/>
    </xf>
    <xf numFmtId="0" fontId="4" fillId="0" borderId="0" xfId="0" applyFont="1" applyAlignment="1" applyProtection="1">
      <alignment vertical="top" wrapText="1"/>
      <protection hidden="1"/>
    </xf>
    <xf numFmtId="0" fontId="0" fillId="2" borderId="0" xfId="0" applyFill="1" applyAlignment="1" applyProtection="1">
      <alignment horizontal="center"/>
      <protection locked="0"/>
    </xf>
    <xf numFmtId="0" fontId="4" fillId="0" borderId="13" xfId="0" applyFont="1" applyBorder="1" applyAlignment="1">
      <alignment horizontal="center" vertical="center"/>
    </xf>
    <xf numFmtId="0" fontId="4" fillId="0" borderId="14" xfId="0" applyFont="1" applyBorder="1" applyAlignment="1">
      <alignment horizontal="center" vertical="center"/>
    </xf>
    <xf numFmtId="0" fontId="4" fillId="0" borderId="15" xfId="0" applyFont="1" applyBorder="1" applyAlignment="1">
      <alignment horizontal="center" vertical="center"/>
    </xf>
    <xf numFmtId="0" fontId="4" fillId="0" borderId="16" xfId="0" applyFont="1" applyBorder="1" applyAlignment="1">
      <alignment horizontal="center" vertical="center"/>
    </xf>
    <xf numFmtId="0" fontId="4" fillId="0" borderId="17" xfId="0" applyFont="1" applyBorder="1" applyAlignment="1">
      <alignment horizontal="center" vertical="center"/>
    </xf>
    <xf numFmtId="0" fontId="4" fillId="0" borderId="18" xfId="0" applyFont="1" applyBorder="1" applyAlignment="1">
      <alignment horizontal="center" vertical="center"/>
    </xf>
    <xf numFmtId="0" fontId="1" fillId="0" borderId="19" xfId="0" applyFont="1" applyBorder="1" applyAlignment="1">
      <alignment horizontal="left"/>
    </xf>
    <xf numFmtId="0" fontId="1" fillId="0" borderId="1" xfId="0" applyFont="1" applyBorder="1" applyAlignment="1">
      <alignment horizontal="left"/>
    </xf>
    <xf numFmtId="0" fontId="1" fillId="0" borderId="14" xfId="0" applyFont="1" applyBorder="1" applyAlignment="1">
      <alignment horizontal="left"/>
    </xf>
    <xf numFmtId="0" fontId="0" fillId="0" borderId="13" xfId="0" applyBorder="1" applyAlignment="1" applyProtection="1">
      <alignment horizontal="center" vertical="center"/>
      <protection locked="0"/>
    </xf>
    <xf numFmtId="0" fontId="0" fillId="0" borderId="1" xfId="0" applyBorder="1" applyAlignment="1" applyProtection="1">
      <alignment horizontal="center" vertical="center"/>
      <protection locked="0"/>
    </xf>
    <xf numFmtId="0" fontId="0" fillId="0" borderId="12" xfId="0" applyBorder="1" applyAlignment="1" applyProtection="1">
      <alignment horizontal="center" vertical="center"/>
      <protection locked="0"/>
    </xf>
    <xf numFmtId="0" fontId="0" fillId="0" borderId="17" xfId="0" applyBorder="1" applyAlignment="1" applyProtection="1">
      <alignment horizontal="center" vertical="center"/>
      <protection locked="0"/>
    </xf>
    <xf numFmtId="0" fontId="0" fillId="0" borderId="20" xfId="0" applyBorder="1" applyAlignment="1" applyProtection="1">
      <alignment horizontal="center" vertical="center"/>
      <protection locked="0"/>
    </xf>
    <xf numFmtId="0" fontId="0" fillId="0" borderId="21" xfId="0" applyBorder="1" applyAlignment="1" applyProtection="1">
      <alignment horizontal="center" vertical="center"/>
      <protection locked="0"/>
    </xf>
    <xf numFmtId="0" fontId="0" fillId="0" borderId="22" xfId="0" applyBorder="1" applyAlignment="1">
      <alignment horizontal="left"/>
    </xf>
    <xf numFmtId="0" fontId="0" fillId="0" borderId="0" xfId="0" applyAlignment="1">
      <alignment horizontal="left"/>
    </xf>
    <xf numFmtId="0" fontId="0" fillId="0" borderId="16" xfId="0" applyBorder="1" applyAlignment="1">
      <alignment horizontal="left"/>
    </xf>
    <xf numFmtId="0" fontId="0" fillId="0" borderId="23" xfId="0" applyBorder="1" applyAlignment="1">
      <alignment horizontal="left"/>
    </xf>
    <xf numFmtId="0" fontId="0" fillId="0" borderId="4" xfId="0" applyBorder="1" applyAlignment="1">
      <alignment horizontal="left"/>
    </xf>
    <xf numFmtId="0" fontId="0" fillId="0" borderId="24" xfId="0" applyBorder="1" applyAlignment="1">
      <alignment horizontal="left"/>
    </xf>
    <xf numFmtId="0" fontId="11" fillId="0" borderId="0" xfId="0" applyFont="1" applyAlignment="1" applyProtection="1">
      <alignment horizontal="left" vertical="center"/>
      <protection locked="0"/>
    </xf>
    <xf numFmtId="164" fontId="11" fillId="0" borderId="0" xfId="0" applyNumberFormat="1" applyFont="1" applyAlignment="1" applyProtection="1">
      <alignment horizontal="left" vertical="center" wrapText="1"/>
      <protection locked="0"/>
    </xf>
    <xf numFmtId="0" fontId="5" fillId="2" borderId="0" xfId="0" applyFont="1" applyFill="1" applyAlignment="1" applyProtection="1">
      <alignment horizontal="center"/>
      <protection locked="0"/>
    </xf>
    <xf numFmtId="0" fontId="4" fillId="0" borderId="0" xfId="0" applyFont="1" applyAlignment="1" applyProtection="1">
      <alignment horizontal="center"/>
      <protection locked="0"/>
    </xf>
    <xf numFmtId="0" fontId="0" fillId="0" borderId="0" xfId="0" applyAlignment="1" applyProtection="1">
      <alignment horizontal="center"/>
      <protection hidden="1"/>
    </xf>
    <xf numFmtId="0" fontId="0" fillId="0" borderId="9" xfId="0" applyBorder="1" applyAlignment="1" applyProtection="1">
      <alignment horizontal="center"/>
      <protection hidden="1"/>
    </xf>
    <xf numFmtId="0" fontId="0" fillId="0" borderId="7" xfId="0" applyBorder="1" applyAlignment="1" applyProtection="1">
      <alignment horizontal="center"/>
      <protection locked="0"/>
    </xf>
    <xf numFmtId="0" fontId="0" fillId="0" borderId="0" xfId="0" applyAlignment="1" applyProtection="1">
      <alignment horizontal="center"/>
      <protection locked="0"/>
    </xf>
  </cellXfs>
  <cellStyles count="2">
    <cellStyle name="Normal" xfId="0" builtinId="0"/>
    <cellStyle name="Standaard_Vers" xfId="1" xr:uid="{00000000-0005-0000-0000-00000100000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5" Type="http://schemas.openxmlformats.org/officeDocument/2006/relationships/styles" Target="styles.xml"/><Relationship Id="rId4"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0</xdr:row>
          <xdr:rowOff>66675</xdr:rowOff>
        </xdr:from>
        <xdr:to>
          <xdr:col>3</xdr:col>
          <xdr:colOff>304800</xdr:colOff>
          <xdr:row>0</xdr:row>
          <xdr:rowOff>361950</xdr:rowOff>
        </xdr:to>
        <xdr:sp macro="" textlink="">
          <xdr:nvSpPr>
            <xdr:cNvPr id="1050" name="Button 26" hidden="1">
              <a:extLst>
                <a:ext uri="{63B3BB69-23CF-44E3-9099-C40C66FF867C}">
                  <a14:compatExt spid="_x0000_s1050"/>
                </a:ext>
                <a:ext uri="{FF2B5EF4-FFF2-40B4-BE49-F238E27FC236}">
                  <a16:creationId xmlns:a16="http://schemas.microsoft.com/office/drawing/2014/main" id="{00000000-0008-0000-0100-00001A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Sorteer op baan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66675</xdr:colOff>
          <xdr:row>0</xdr:row>
          <xdr:rowOff>66675</xdr:rowOff>
        </xdr:from>
        <xdr:to>
          <xdr:col>4</xdr:col>
          <xdr:colOff>1438275</xdr:colOff>
          <xdr:row>0</xdr:row>
          <xdr:rowOff>361950</xdr:rowOff>
        </xdr:to>
        <xdr:sp macro="" textlink="">
          <xdr:nvSpPr>
            <xdr:cNvPr id="1051" name="Button 27" hidden="1">
              <a:extLst>
                <a:ext uri="{63B3BB69-23CF-44E3-9099-C40C66FF867C}">
                  <a14:compatExt spid="_x0000_s1051"/>
                </a:ext>
                <a:ext uri="{FF2B5EF4-FFF2-40B4-BE49-F238E27FC236}">
                  <a16:creationId xmlns:a16="http://schemas.microsoft.com/office/drawing/2014/main" id="{00000000-0008-0000-0100-00001B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Uitnodigingen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47625</xdr:colOff>
          <xdr:row>0</xdr:row>
          <xdr:rowOff>66675</xdr:rowOff>
        </xdr:from>
        <xdr:to>
          <xdr:col>5</xdr:col>
          <xdr:colOff>1171575</xdr:colOff>
          <xdr:row>0</xdr:row>
          <xdr:rowOff>371475</xdr:rowOff>
        </xdr:to>
        <xdr:sp macro="" textlink="">
          <xdr:nvSpPr>
            <xdr:cNvPr id="1052" name="Button 28" hidden="1">
              <a:extLst>
                <a:ext uri="{63B3BB69-23CF-44E3-9099-C40C66FF867C}">
                  <a14:compatExt spid="_x0000_s1052"/>
                </a:ext>
                <a:ext uri="{FF2B5EF4-FFF2-40B4-BE49-F238E27FC236}">
                  <a16:creationId xmlns:a16="http://schemas.microsoft.com/office/drawing/2014/main" id="{00000000-0008-0000-0100-00001C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152400</xdr:colOff>
          <xdr:row>0</xdr:row>
          <xdr:rowOff>57150</xdr:rowOff>
        </xdr:from>
        <xdr:to>
          <xdr:col>7</xdr:col>
          <xdr:colOff>1123950</xdr:colOff>
          <xdr:row>0</xdr:row>
          <xdr:rowOff>381000</xdr:rowOff>
        </xdr:to>
        <xdr:sp macro="" textlink="">
          <xdr:nvSpPr>
            <xdr:cNvPr id="1053" name="Button 29" hidden="1">
              <a:extLst>
                <a:ext uri="{63B3BB69-23CF-44E3-9099-C40C66FF867C}">
                  <a14:compatExt spid="_x0000_s1053"/>
                </a:ext>
                <a:ext uri="{FF2B5EF4-FFF2-40B4-BE49-F238E27FC236}">
                  <a16:creationId xmlns:a16="http://schemas.microsoft.com/office/drawing/2014/main" id="{00000000-0008-0000-0100-00001D04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Naar finale</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11</xdr:col>
          <xdr:colOff>1504950</xdr:colOff>
          <xdr:row>40</xdr:row>
          <xdr:rowOff>9525</xdr:rowOff>
        </xdr:from>
        <xdr:to>
          <xdr:col>14</xdr:col>
          <xdr:colOff>114300</xdr:colOff>
          <xdr:row>41</xdr:row>
          <xdr:rowOff>114300</xdr:rowOff>
        </xdr:to>
        <xdr:sp macro="" textlink="">
          <xdr:nvSpPr>
            <xdr:cNvPr id="2050" name="Button 2" hidden="1">
              <a:extLst>
                <a:ext uri="{63B3BB69-23CF-44E3-9099-C40C66FF867C}">
                  <a14:compatExt spid="_x0000_s2050"/>
                </a:ext>
                <a:ext uri="{FF2B5EF4-FFF2-40B4-BE49-F238E27FC236}">
                  <a16:creationId xmlns:a16="http://schemas.microsoft.com/office/drawing/2014/main" id="{00000000-0008-0000-0200-00000208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nl-NL" sz="1000" b="0" i="0" u="none" strike="noStrike" baseline="0">
                  <a:solidFill>
                    <a:srgbClr val="000000"/>
                  </a:solidFill>
                  <a:latin typeface="Arial"/>
                  <a:cs typeface="Arial"/>
                </a:rPr>
                <a:t>Afdrukken</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2.xml"/><Relationship Id="rId1" Type="http://schemas.openxmlformats.org/officeDocument/2006/relationships/printerSettings" Target="../printerSettings/printerSettings3.bin"/><Relationship Id="rId4" Type="http://schemas.openxmlformats.org/officeDocument/2006/relationships/ctrlProp" Target="../ctrlProps/ctrlProp5.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5"/>
  <dimension ref="A1:A19"/>
  <sheetViews>
    <sheetView tabSelected="1" workbookViewId="0"/>
  </sheetViews>
  <sheetFormatPr defaultColWidth="0" defaultRowHeight="12.75" zeroHeight="1" x14ac:dyDescent="0.2"/>
  <cols>
    <col min="1" max="1" width="97.140625" style="1" customWidth="1"/>
    <col min="2" max="16384" width="9.140625" style="1" hidden="1"/>
  </cols>
  <sheetData>
    <row r="1" spans="1:1" x14ac:dyDescent="0.2">
      <c r="A1" s="2" t="s">
        <v>25</v>
      </c>
    </row>
    <row r="2" spans="1:1" ht="38.25" x14ac:dyDescent="0.2">
      <c r="A2" s="34" t="s">
        <v>43</v>
      </c>
    </row>
    <row r="3" spans="1:1" x14ac:dyDescent="0.2">
      <c r="A3" s="34"/>
    </row>
    <row r="4" spans="1:1" x14ac:dyDescent="0.2">
      <c r="A4" s="2" t="s">
        <v>26</v>
      </c>
    </row>
    <row r="5" spans="1:1" ht="51" x14ac:dyDescent="0.2">
      <c r="A5" s="34" t="s">
        <v>29</v>
      </c>
    </row>
    <row r="6" spans="1:1" ht="51" x14ac:dyDescent="0.2">
      <c r="A6" s="34" t="s">
        <v>36</v>
      </c>
    </row>
    <row r="7" spans="1:1" x14ac:dyDescent="0.2">
      <c r="A7" s="3"/>
    </row>
    <row r="8" spans="1:1" x14ac:dyDescent="0.2">
      <c r="A8" s="2" t="s">
        <v>27</v>
      </c>
    </row>
    <row r="9" spans="1:1" ht="40.5" customHeight="1" x14ac:dyDescent="0.2">
      <c r="A9" s="3" t="s">
        <v>28</v>
      </c>
    </row>
    <row r="10" spans="1:1" x14ac:dyDescent="0.2">
      <c r="A10" s="3"/>
    </row>
    <row r="11" spans="1:1" x14ac:dyDescent="0.2">
      <c r="A11" s="2" t="s">
        <v>41</v>
      </c>
    </row>
    <row r="12" spans="1:1" ht="63.75" x14ac:dyDescent="0.2">
      <c r="A12" s="3" t="s">
        <v>23</v>
      </c>
    </row>
    <row r="13" spans="1:1" x14ac:dyDescent="0.2">
      <c r="A13" s="3"/>
    </row>
    <row r="14" spans="1:1" x14ac:dyDescent="0.2">
      <c r="A14" s="32" t="s">
        <v>14</v>
      </c>
    </row>
    <row r="15" spans="1:1" ht="53.25" customHeight="1" x14ac:dyDescent="0.2">
      <c r="A15" s="3" t="s">
        <v>24</v>
      </c>
    </row>
    <row r="16" spans="1:1" s="33" customFormat="1" ht="38.25" x14ac:dyDescent="0.2">
      <c r="A16" s="32" t="s">
        <v>15</v>
      </c>
    </row>
    <row r="17" spans="1:1" s="33" customFormat="1" x14ac:dyDescent="0.2">
      <c r="A17" s="32"/>
    </row>
    <row r="18" spans="1:1" x14ac:dyDescent="0.2">
      <c r="A18" s="35" t="s">
        <v>44</v>
      </c>
    </row>
    <row r="19" spans="1:1" x14ac:dyDescent="0.2">
      <c r="A19" s="35" t="s">
        <v>45</v>
      </c>
    </row>
  </sheetData>
  <phoneticPr fontId="8" type="noConversion"/>
  <pageMargins left="0.79" right="0.79" top="0.98" bottom="0.98" header="0.5" footer="0.5"/>
  <pageSetup paperSize="9" orientation="portrait" r:id="rId1"/>
  <headerFooter alignWithMargins="0"/>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pageSetUpPr fitToPage="1"/>
  </sheetPr>
  <dimension ref="A1:V303"/>
  <sheetViews>
    <sheetView zoomScaleNormal="100" workbookViewId="0"/>
  </sheetViews>
  <sheetFormatPr defaultColWidth="0" defaultRowHeight="12.75" x14ac:dyDescent="0.2"/>
  <cols>
    <col min="1" max="1" width="8.5703125" style="1" customWidth="1"/>
    <col min="2" max="2" width="4.28515625" style="1" customWidth="1"/>
    <col min="3" max="3" width="2.140625" style="5" bestFit="1" customWidth="1"/>
    <col min="4" max="4" width="7.85546875" style="36" customWidth="1"/>
    <col min="5" max="5" width="28.42578125" style="1" customWidth="1"/>
    <col min="6" max="6" width="26.5703125" style="1" customWidth="1"/>
    <col min="7" max="7" width="7" style="6" bestFit="1" customWidth="1"/>
    <col min="8" max="8" width="26.85546875" style="1" customWidth="1"/>
    <col min="9" max="9" width="11.5703125" style="29" bestFit="1" customWidth="1"/>
    <col min="10" max="11" width="5" style="1" customWidth="1"/>
    <col min="12" max="12" width="4.7109375" style="1" customWidth="1"/>
    <col min="13" max="15" width="3.7109375" style="1" bestFit="1" customWidth="1"/>
    <col min="16" max="16" width="3" style="1" customWidth="1"/>
    <col min="17" max="17" width="15.7109375" style="1" customWidth="1"/>
    <col min="18" max="18" width="69.7109375" style="53" customWidth="1"/>
    <col min="19" max="16384" width="9.140625" style="1" hidden="1"/>
  </cols>
  <sheetData>
    <row r="1" spans="1:22" ht="33" customHeight="1" thickBot="1" x14ac:dyDescent="0.25">
      <c r="C1" s="1"/>
      <c r="I1" s="73" t="s">
        <v>0</v>
      </c>
      <c r="J1" s="74"/>
      <c r="K1" s="79" t="s">
        <v>18</v>
      </c>
      <c r="L1" s="80"/>
      <c r="M1" s="80"/>
      <c r="N1" s="80"/>
      <c r="O1" s="80"/>
      <c r="P1" s="80"/>
      <c r="Q1" s="81"/>
      <c r="R1" s="47">
        <v>16</v>
      </c>
    </row>
    <row r="2" spans="1:22" ht="12.75" customHeight="1" x14ac:dyDescent="0.2">
      <c r="A2" s="8"/>
      <c r="B2" s="82" t="s">
        <v>0</v>
      </c>
      <c r="C2" s="83"/>
      <c r="D2" s="84"/>
      <c r="E2" s="82" t="s">
        <v>1</v>
      </c>
      <c r="F2" s="9" t="s">
        <v>2</v>
      </c>
      <c r="G2" s="10" t="s">
        <v>3</v>
      </c>
      <c r="I2" s="75"/>
      <c r="J2" s="76"/>
      <c r="K2" s="88"/>
      <c r="L2" s="89"/>
      <c r="M2" s="89"/>
      <c r="N2" s="89"/>
      <c r="O2" s="89"/>
      <c r="P2" s="89"/>
      <c r="Q2" s="90"/>
      <c r="R2" s="48"/>
    </row>
    <row r="3" spans="1:22" ht="13.5" thickBot="1" x14ac:dyDescent="0.25">
      <c r="A3" s="8"/>
      <c r="B3" s="85"/>
      <c r="C3" s="86"/>
      <c r="D3" s="87"/>
      <c r="E3" s="85"/>
      <c r="F3" s="11" t="s">
        <v>20</v>
      </c>
      <c r="G3" s="12" t="s">
        <v>4</v>
      </c>
      <c r="I3" s="77"/>
      <c r="J3" s="78"/>
      <c r="K3" s="91"/>
      <c r="L3" s="92"/>
      <c r="M3" s="92"/>
      <c r="N3" s="92"/>
      <c r="O3" s="92"/>
      <c r="P3" s="92"/>
      <c r="Q3" s="93"/>
      <c r="R3" s="49"/>
    </row>
    <row r="4" spans="1:22" ht="18" x14ac:dyDescent="0.25">
      <c r="C4" s="96" t="str">
        <f ca="1">"Rayonkampioenschappen Indoor " &amp;YEAR(NOW()) &amp; ", " &amp; IF(H7 &lt;&gt; "",H7, "Recurve")</f>
        <v>Rayonkampioenschappen Indoor 2023, Recurve</v>
      </c>
      <c r="D4" s="96"/>
      <c r="E4" s="96"/>
      <c r="F4" s="96"/>
      <c r="G4" s="96"/>
      <c r="H4" s="96"/>
      <c r="I4" s="96"/>
      <c r="J4" s="26"/>
      <c r="K4" s="26"/>
      <c r="L4" s="26"/>
      <c r="M4" s="26"/>
      <c r="N4" s="26"/>
      <c r="O4" s="26"/>
      <c r="P4" s="26"/>
      <c r="Q4" s="26"/>
      <c r="R4" s="50"/>
    </row>
    <row r="5" spans="1:22" ht="14.25" x14ac:dyDescent="0.2">
      <c r="C5" s="1"/>
      <c r="D5" s="94" t="s">
        <v>32</v>
      </c>
      <c r="E5" s="94"/>
      <c r="F5" s="40" t="s">
        <v>33</v>
      </c>
      <c r="G5" s="39" t="s">
        <v>34</v>
      </c>
      <c r="H5" s="95" t="s">
        <v>35</v>
      </c>
      <c r="I5" s="95"/>
      <c r="K5" s="41"/>
      <c r="L5" s="41"/>
      <c r="M5" s="41"/>
      <c r="N5" s="41"/>
      <c r="O5" s="41"/>
      <c r="P5" s="41"/>
      <c r="R5" s="51"/>
    </row>
    <row r="6" spans="1:22" x14ac:dyDescent="0.2">
      <c r="A6" s="72" t="s">
        <v>31</v>
      </c>
      <c r="B6" s="72"/>
      <c r="C6" s="14">
        <v>0</v>
      </c>
      <c r="D6" s="15" t="s">
        <v>5</v>
      </c>
      <c r="E6" s="16" t="s">
        <v>12</v>
      </c>
      <c r="F6" s="16" t="s">
        <v>13</v>
      </c>
      <c r="G6" s="13" t="s">
        <v>19</v>
      </c>
      <c r="H6" s="16" t="s">
        <v>30</v>
      </c>
      <c r="I6" s="30" t="s">
        <v>21</v>
      </c>
      <c r="J6" s="46" t="s">
        <v>37</v>
      </c>
      <c r="K6" s="46" t="s">
        <v>38</v>
      </c>
      <c r="L6" s="13" t="s">
        <v>6</v>
      </c>
      <c r="M6" s="72" t="s">
        <v>7</v>
      </c>
      <c r="N6" s="72"/>
      <c r="O6" s="72"/>
      <c r="P6" s="72"/>
      <c r="Q6" s="16" t="s">
        <v>22</v>
      </c>
      <c r="R6" s="52" t="s">
        <v>42</v>
      </c>
    </row>
    <row r="7" spans="1:22" s="62" customFormat="1" x14ac:dyDescent="0.2">
      <c r="A7" s="54"/>
      <c r="B7" s="54"/>
      <c r="C7" s="55"/>
      <c r="D7" s="56"/>
      <c r="E7" s="55"/>
      <c r="F7" s="57"/>
      <c r="G7" s="58"/>
      <c r="H7" s="55"/>
      <c r="I7" s="59"/>
      <c r="J7" s="55"/>
      <c r="K7" s="55"/>
      <c r="L7" s="55" t="str">
        <f>IF(K7&lt;&gt;"",J7+K7,IF(J7&lt;&gt;"",J7,""))</f>
        <v/>
      </c>
      <c r="M7" s="55"/>
      <c r="N7" s="55"/>
      <c r="O7" s="55"/>
      <c r="P7" s="55"/>
      <c r="Q7" s="55"/>
      <c r="R7" s="60"/>
      <c r="S7" s="61">
        <f>M7/100+N7/10000+O7/1000000+P7/100000000</f>
        <v>0</v>
      </c>
      <c r="T7" s="61"/>
      <c r="U7" s="61"/>
      <c r="V7" s="61"/>
    </row>
    <row r="8" spans="1:22" s="62" customFormat="1" x14ac:dyDescent="0.2">
      <c r="A8" s="54"/>
      <c r="B8" s="54"/>
      <c r="C8" s="55"/>
      <c r="D8" s="56"/>
      <c r="E8" s="55"/>
      <c r="F8" s="55"/>
      <c r="G8" s="58"/>
      <c r="H8" s="55"/>
      <c r="I8" s="59"/>
      <c r="J8" s="55"/>
      <c r="K8" s="55"/>
      <c r="L8" s="55" t="str">
        <f t="shared" ref="L8:L30" si="0">IF(K8&lt;&gt;"",J8+K8,IF(J8&lt;&gt;"",J8,""))</f>
        <v/>
      </c>
      <c r="M8" s="55"/>
      <c r="N8" s="55"/>
      <c r="O8" s="55"/>
      <c r="P8" s="55"/>
      <c r="Q8" s="55"/>
      <c r="R8" s="60"/>
      <c r="S8" s="61">
        <f t="shared" ref="S8:S32" si="1">M8/100+N8/10000+O8/1000000+P8/100000000</f>
        <v>0</v>
      </c>
      <c r="T8" s="61"/>
      <c r="U8" s="61"/>
      <c r="V8" s="61"/>
    </row>
    <row r="9" spans="1:22" s="62" customFormat="1" x14ac:dyDescent="0.2">
      <c r="A9" s="54"/>
      <c r="B9" s="54"/>
      <c r="C9" s="55"/>
      <c r="D9" s="56"/>
      <c r="E9" s="55"/>
      <c r="F9" s="55"/>
      <c r="G9" s="58"/>
      <c r="H9" s="55"/>
      <c r="I9" s="59"/>
      <c r="J9" s="55"/>
      <c r="K9" s="55"/>
      <c r="L9" s="55" t="str">
        <f t="shared" si="0"/>
        <v/>
      </c>
      <c r="M9" s="55"/>
      <c r="N9" s="55"/>
      <c r="O9" s="55"/>
      <c r="P9" s="55"/>
      <c r="Q9" s="55"/>
      <c r="R9" s="60"/>
      <c r="S9" s="61">
        <f t="shared" si="1"/>
        <v>0</v>
      </c>
      <c r="T9" s="61"/>
      <c r="U9" s="61"/>
      <c r="V9" s="61"/>
    </row>
    <row r="10" spans="1:22" s="62" customFormat="1" x14ac:dyDescent="0.2">
      <c r="A10" s="63"/>
      <c r="B10" s="63"/>
      <c r="C10" s="55"/>
      <c r="D10" s="64"/>
      <c r="E10" s="61"/>
      <c r="F10" s="61"/>
      <c r="G10" s="65"/>
      <c r="H10" s="61"/>
      <c r="I10" s="66"/>
      <c r="J10" s="61"/>
      <c r="K10" s="61"/>
      <c r="L10" s="55" t="str">
        <f t="shared" si="0"/>
        <v/>
      </c>
      <c r="M10" s="61"/>
      <c r="N10" s="61"/>
      <c r="O10" s="61"/>
      <c r="P10" s="61"/>
      <c r="Q10" s="61"/>
      <c r="R10" s="60"/>
      <c r="S10" s="61">
        <f t="shared" si="1"/>
        <v>0</v>
      </c>
      <c r="T10" s="61"/>
      <c r="U10" s="61"/>
      <c r="V10" s="61"/>
    </row>
    <row r="11" spans="1:22" s="62" customFormat="1" x14ac:dyDescent="0.2">
      <c r="A11" s="63"/>
      <c r="B11" s="63"/>
      <c r="C11" s="55"/>
      <c r="D11" s="64"/>
      <c r="E11" s="61"/>
      <c r="F11" s="61"/>
      <c r="G11" s="65"/>
      <c r="H11" s="61"/>
      <c r="I11" s="66"/>
      <c r="J11" s="61"/>
      <c r="K11" s="61"/>
      <c r="L11" s="55" t="str">
        <f t="shared" si="0"/>
        <v/>
      </c>
      <c r="M11" s="61"/>
      <c r="N11" s="61"/>
      <c r="O11" s="61"/>
      <c r="P11" s="61"/>
      <c r="Q11" s="61"/>
      <c r="R11" s="60"/>
      <c r="S11" s="61">
        <f t="shared" si="1"/>
        <v>0</v>
      </c>
      <c r="T11" s="61"/>
      <c r="U11" s="61"/>
      <c r="V11" s="61"/>
    </row>
    <row r="12" spans="1:22" s="62" customFormat="1" x14ac:dyDescent="0.2">
      <c r="A12" s="63"/>
      <c r="B12" s="63"/>
      <c r="C12" s="55"/>
      <c r="D12" s="64"/>
      <c r="E12" s="61"/>
      <c r="F12" s="61"/>
      <c r="G12" s="65"/>
      <c r="H12" s="61"/>
      <c r="I12" s="66"/>
      <c r="J12" s="61"/>
      <c r="K12" s="61"/>
      <c r="L12" s="55" t="str">
        <f t="shared" si="0"/>
        <v/>
      </c>
      <c r="M12" s="61"/>
      <c r="N12" s="61"/>
      <c r="O12" s="61"/>
      <c r="P12" s="61"/>
      <c r="Q12" s="61"/>
      <c r="R12" s="60"/>
      <c r="S12" s="61">
        <f t="shared" si="1"/>
        <v>0</v>
      </c>
      <c r="T12" s="61"/>
      <c r="U12" s="61"/>
      <c r="V12" s="61"/>
    </row>
    <row r="13" spans="1:22" s="62" customFormat="1" x14ac:dyDescent="0.2">
      <c r="A13" s="63"/>
      <c r="B13" s="63"/>
      <c r="C13" s="55"/>
      <c r="D13" s="64"/>
      <c r="E13" s="61"/>
      <c r="F13" s="61"/>
      <c r="G13" s="65"/>
      <c r="H13" s="61"/>
      <c r="I13" s="66"/>
      <c r="J13" s="61"/>
      <c r="K13" s="61"/>
      <c r="L13" s="55" t="str">
        <f t="shared" si="0"/>
        <v/>
      </c>
      <c r="M13" s="61"/>
      <c r="N13" s="61"/>
      <c r="O13" s="61"/>
      <c r="P13" s="61"/>
      <c r="Q13" s="61"/>
      <c r="R13" s="60"/>
      <c r="S13" s="61">
        <f t="shared" si="1"/>
        <v>0</v>
      </c>
      <c r="T13" s="61"/>
      <c r="U13" s="61"/>
      <c r="V13" s="61"/>
    </row>
    <row r="14" spans="1:22" s="62" customFormat="1" x14ac:dyDescent="0.2">
      <c r="A14" s="63"/>
      <c r="B14" s="63"/>
      <c r="C14" s="55"/>
      <c r="D14" s="64"/>
      <c r="E14" s="61"/>
      <c r="F14" s="61"/>
      <c r="G14" s="65"/>
      <c r="H14" s="61"/>
      <c r="I14" s="66"/>
      <c r="J14" s="61"/>
      <c r="K14" s="61"/>
      <c r="L14" s="55" t="str">
        <f t="shared" si="0"/>
        <v/>
      </c>
      <c r="M14" s="61"/>
      <c r="N14" s="61"/>
      <c r="O14" s="61"/>
      <c r="P14" s="61"/>
      <c r="Q14" s="61"/>
      <c r="R14" s="60"/>
      <c r="S14" s="61">
        <f t="shared" si="1"/>
        <v>0</v>
      </c>
      <c r="T14" s="61"/>
      <c r="U14" s="61"/>
      <c r="V14" s="61"/>
    </row>
    <row r="15" spans="1:22" s="62" customFormat="1" x14ac:dyDescent="0.2">
      <c r="A15" s="63"/>
      <c r="B15" s="63"/>
      <c r="C15" s="55"/>
      <c r="D15" s="64"/>
      <c r="E15" s="61"/>
      <c r="F15" s="61"/>
      <c r="G15" s="65"/>
      <c r="H15" s="61"/>
      <c r="I15" s="66"/>
      <c r="J15" s="61"/>
      <c r="K15" s="61"/>
      <c r="L15" s="55" t="str">
        <f t="shared" si="0"/>
        <v/>
      </c>
      <c r="M15" s="61"/>
      <c r="N15" s="61"/>
      <c r="O15" s="61"/>
      <c r="P15" s="61"/>
      <c r="Q15" s="61"/>
      <c r="R15" s="60"/>
      <c r="S15" s="61">
        <f t="shared" si="1"/>
        <v>0</v>
      </c>
      <c r="T15" s="61"/>
      <c r="U15" s="61"/>
      <c r="V15" s="61"/>
    </row>
    <row r="16" spans="1:22" s="62" customFormat="1" x14ac:dyDescent="0.2">
      <c r="A16" s="63"/>
      <c r="B16" s="63"/>
      <c r="C16" s="55"/>
      <c r="D16" s="64"/>
      <c r="E16" s="61"/>
      <c r="F16" s="61"/>
      <c r="G16" s="65"/>
      <c r="H16" s="61"/>
      <c r="I16" s="66"/>
      <c r="J16" s="61"/>
      <c r="K16" s="61"/>
      <c r="L16" s="55" t="str">
        <f t="shared" si="0"/>
        <v/>
      </c>
      <c r="M16" s="61"/>
      <c r="N16" s="61"/>
      <c r="O16" s="61"/>
      <c r="P16" s="61"/>
      <c r="Q16" s="61"/>
      <c r="R16" s="60"/>
      <c r="S16" s="61">
        <f t="shared" si="1"/>
        <v>0</v>
      </c>
      <c r="T16" s="61"/>
      <c r="U16" s="61"/>
      <c r="V16" s="61"/>
    </row>
    <row r="17" spans="1:22" s="62" customFormat="1" x14ac:dyDescent="0.2">
      <c r="A17" s="63"/>
      <c r="B17" s="63"/>
      <c r="C17" s="55"/>
      <c r="D17" s="64"/>
      <c r="E17" s="61"/>
      <c r="F17" s="61"/>
      <c r="G17" s="65"/>
      <c r="H17" s="61"/>
      <c r="I17" s="66"/>
      <c r="J17" s="61"/>
      <c r="K17" s="61"/>
      <c r="L17" s="55" t="str">
        <f t="shared" si="0"/>
        <v/>
      </c>
      <c r="M17" s="61"/>
      <c r="N17" s="61"/>
      <c r="O17" s="61"/>
      <c r="P17" s="61"/>
      <c r="Q17" s="61"/>
      <c r="R17" s="60"/>
      <c r="S17" s="61">
        <f t="shared" si="1"/>
        <v>0</v>
      </c>
      <c r="T17" s="61"/>
      <c r="U17" s="61"/>
      <c r="V17" s="61"/>
    </row>
    <row r="18" spans="1:22" s="62" customFormat="1" x14ac:dyDescent="0.2">
      <c r="A18" s="63"/>
      <c r="B18" s="63"/>
      <c r="C18" s="55"/>
      <c r="D18" s="64"/>
      <c r="E18" s="61"/>
      <c r="F18" s="61"/>
      <c r="G18" s="65"/>
      <c r="H18" s="61"/>
      <c r="I18" s="66"/>
      <c r="J18" s="61"/>
      <c r="K18" s="61"/>
      <c r="L18" s="55" t="str">
        <f t="shared" si="0"/>
        <v/>
      </c>
      <c r="M18" s="61"/>
      <c r="N18" s="61"/>
      <c r="O18" s="61"/>
      <c r="P18" s="61"/>
      <c r="Q18" s="61"/>
      <c r="R18" s="60"/>
      <c r="S18" s="61">
        <f t="shared" si="1"/>
        <v>0</v>
      </c>
      <c r="T18" s="61"/>
      <c r="U18" s="61"/>
      <c r="V18" s="61"/>
    </row>
    <row r="19" spans="1:22" s="62" customFormat="1" x14ac:dyDescent="0.2">
      <c r="A19" s="63"/>
      <c r="B19" s="63"/>
      <c r="C19" s="55"/>
      <c r="D19" s="64"/>
      <c r="E19" s="61"/>
      <c r="F19" s="61"/>
      <c r="G19" s="65"/>
      <c r="H19" s="61"/>
      <c r="I19" s="66"/>
      <c r="J19" s="61"/>
      <c r="K19" s="61"/>
      <c r="L19" s="55" t="str">
        <f t="shared" si="0"/>
        <v/>
      </c>
      <c r="M19" s="61"/>
      <c r="N19" s="61"/>
      <c r="O19" s="61"/>
      <c r="P19" s="61"/>
      <c r="Q19" s="61"/>
      <c r="R19" s="60"/>
      <c r="S19" s="61">
        <f t="shared" si="1"/>
        <v>0</v>
      </c>
      <c r="T19" s="61"/>
      <c r="U19" s="61"/>
      <c r="V19" s="61"/>
    </row>
    <row r="20" spans="1:22" s="62" customFormat="1" x14ac:dyDescent="0.2">
      <c r="A20" s="63"/>
      <c r="B20" s="63"/>
      <c r="C20" s="55"/>
      <c r="D20" s="64"/>
      <c r="E20" s="61"/>
      <c r="F20" s="61"/>
      <c r="G20" s="65"/>
      <c r="H20" s="61"/>
      <c r="I20" s="66"/>
      <c r="J20" s="61"/>
      <c r="K20" s="61"/>
      <c r="L20" s="55" t="str">
        <f t="shared" si="0"/>
        <v/>
      </c>
      <c r="M20" s="61"/>
      <c r="N20" s="61"/>
      <c r="O20" s="61"/>
      <c r="P20" s="61"/>
      <c r="Q20" s="61"/>
      <c r="R20" s="60"/>
      <c r="S20" s="61">
        <f t="shared" si="1"/>
        <v>0</v>
      </c>
      <c r="T20" s="61"/>
      <c r="U20" s="61"/>
      <c r="V20" s="61"/>
    </row>
    <row r="21" spans="1:22" s="62" customFormat="1" x14ac:dyDescent="0.2">
      <c r="A21" s="63"/>
      <c r="B21" s="63"/>
      <c r="C21" s="55"/>
      <c r="D21" s="64"/>
      <c r="E21" s="61"/>
      <c r="F21" s="61"/>
      <c r="G21" s="65"/>
      <c r="H21" s="61"/>
      <c r="I21" s="66"/>
      <c r="J21" s="61"/>
      <c r="K21" s="61"/>
      <c r="L21" s="55" t="str">
        <f t="shared" si="0"/>
        <v/>
      </c>
      <c r="M21" s="61"/>
      <c r="N21" s="61"/>
      <c r="O21" s="61"/>
      <c r="P21" s="61"/>
      <c r="Q21" s="61"/>
      <c r="R21" s="60"/>
      <c r="S21" s="61">
        <f t="shared" si="1"/>
        <v>0</v>
      </c>
      <c r="T21" s="61"/>
      <c r="U21" s="61"/>
      <c r="V21" s="61"/>
    </row>
    <row r="22" spans="1:22" s="62" customFormat="1" x14ac:dyDescent="0.2">
      <c r="A22" s="63"/>
      <c r="B22" s="63"/>
      <c r="C22" s="55"/>
      <c r="D22" s="64"/>
      <c r="E22" s="61"/>
      <c r="F22" s="61"/>
      <c r="G22" s="65"/>
      <c r="H22" s="61"/>
      <c r="I22" s="66"/>
      <c r="J22" s="61"/>
      <c r="K22" s="61"/>
      <c r="L22" s="55" t="str">
        <f t="shared" si="0"/>
        <v/>
      </c>
      <c r="M22" s="61"/>
      <c r="N22" s="61"/>
      <c r="O22" s="61"/>
      <c r="P22" s="61"/>
      <c r="Q22" s="61"/>
      <c r="R22" s="60"/>
      <c r="S22" s="61">
        <f t="shared" si="1"/>
        <v>0</v>
      </c>
      <c r="T22" s="61"/>
      <c r="U22" s="61"/>
      <c r="V22" s="61"/>
    </row>
    <row r="23" spans="1:22" s="62" customFormat="1" x14ac:dyDescent="0.2">
      <c r="A23" s="63"/>
      <c r="B23" s="63"/>
      <c r="C23" s="55"/>
      <c r="D23" s="64"/>
      <c r="E23" s="61"/>
      <c r="F23" s="61"/>
      <c r="G23" s="65"/>
      <c r="H23" s="61"/>
      <c r="I23" s="66"/>
      <c r="J23" s="61"/>
      <c r="K23" s="61"/>
      <c r="L23" s="55" t="str">
        <f t="shared" si="0"/>
        <v/>
      </c>
      <c r="M23" s="61"/>
      <c r="N23" s="61"/>
      <c r="O23" s="61"/>
      <c r="P23" s="61"/>
      <c r="Q23" s="61"/>
      <c r="R23" s="60"/>
      <c r="S23" s="61">
        <f t="shared" si="1"/>
        <v>0</v>
      </c>
      <c r="T23" s="61"/>
      <c r="U23" s="61"/>
      <c r="V23" s="61"/>
    </row>
    <row r="24" spans="1:22" s="62" customFormat="1" x14ac:dyDescent="0.2">
      <c r="A24" s="63"/>
      <c r="B24" s="63"/>
      <c r="C24" s="55"/>
      <c r="D24" s="64"/>
      <c r="E24" s="61"/>
      <c r="F24" s="61"/>
      <c r="G24" s="65"/>
      <c r="H24" s="61"/>
      <c r="I24" s="66"/>
      <c r="J24" s="61"/>
      <c r="K24" s="61"/>
      <c r="L24" s="55" t="str">
        <f t="shared" si="0"/>
        <v/>
      </c>
      <c r="M24" s="61"/>
      <c r="N24" s="61"/>
      <c r="O24" s="61"/>
      <c r="P24" s="61"/>
      <c r="Q24" s="61"/>
      <c r="R24" s="60"/>
      <c r="S24" s="61">
        <f t="shared" si="1"/>
        <v>0</v>
      </c>
      <c r="T24" s="61"/>
      <c r="U24" s="61"/>
      <c r="V24" s="61"/>
    </row>
    <row r="25" spans="1:22" s="62" customFormat="1" x14ac:dyDescent="0.2">
      <c r="A25" s="63"/>
      <c r="B25" s="63"/>
      <c r="C25" s="55"/>
      <c r="D25" s="64"/>
      <c r="E25" s="61"/>
      <c r="F25" s="61"/>
      <c r="G25" s="65"/>
      <c r="H25" s="61"/>
      <c r="I25" s="66"/>
      <c r="J25" s="61"/>
      <c r="K25" s="61"/>
      <c r="L25" s="55" t="str">
        <f t="shared" si="0"/>
        <v/>
      </c>
      <c r="M25" s="61"/>
      <c r="N25" s="61"/>
      <c r="O25" s="61"/>
      <c r="P25" s="61"/>
      <c r="Q25" s="61"/>
      <c r="R25" s="60"/>
      <c r="S25" s="61">
        <f t="shared" si="1"/>
        <v>0</v>
      </c>
      <c r="T25" s="61"/>
      <c r="U25" s="61"/>
      <c r="V25" s="61"/>
    </row>
    <row r="26" spans="1:22" s="62" customFormat="1" x14ac:dyDescent="0.2">
      <c r="A26" s="63"/>
      <c r="B26" s="63"/>
      <c r="C26" s="55"/>
      <c r="D26" s="64"/>
      <c r="E26" s="61"/>
      <c r="F26" s="61"/>
      <c r="G26" s="65"/>
      <c r="H26" s="61"/>
      <c r="I26" s="66"/>
      <c r="J26" s="61"/>
      <c r="K26" s="61"/>
      <c r="L26" s="55" t="str">
        <f t="shared" si="0"/>
        <v/>
      </c>
      <c r="M26" s="61"/>
      <c r="N26" s="61"/>
      <c r="O26" s="61"/>
      <c r="P26" s="61"/>
      <c r="Q26" s="61"/>
      <c r="R26" s="60"/>
      <c r="S26" s="61">
        <f t="shared" si="1"/>
        <v>0</v>
      </c>
      <c r="T26" s="61"/>
      <c r="U26" s="61"/>
      <c r="V26" s="61"/>
    </row>
    <row r="27" spans="1:22" s="62" customFormat="1" x14ac:dyDescent="0.2">
      <c r="A27" s="63"/>
      <c r="B27" s="63"/>
      <c r="C27" s="55"/>
      <c r="D27" s="64"/>
      <c r="E27" s="61"/>
      <c r="F27" s="61"/>
      <c r="G27" s="65"/>
      <c r="H27" s="61"/>
      <c r="I27" s="66"/>
      <c r="J27" s="61"/>
      <c r="K27" s="61"/>
      <c r="L27" s="55" t="str">
        <f t="shared" si="0"/>
        <v/>
      </c>
      <c r="M27" s="61"/>
      <c r="N27" s="61"/>
      <c r="O27" s="61"/>
      <c r="P27" s="61"/>
      <c r="Q27" s="61"/>
      <c r="R27" s="60"/>
      <c r="S27" s="61">
        <f t="shared" si="1"/>
        <v>0</v>
      </c>
      <c r="T27" s="61"/>
      <c r="U27" s="61"/>
      <c r="V27" s="61"/>
    </row>
    <row r="28" spans="1:22" s="62" customFormat="1" x14ac:dyDescent="0.2">
      <c r="A28" s="63"/>
      <c r="B28" s="63"/>
      <c r="C28" s="55"/>
      <c r="D28" s="64"/>
      <c r="E28" s="61"/>
      <c r="F28" s="61"/>
      <c r="G28" s="65"/>
      <c r="H28" s="61"/>
      <c r="I28" s="66"/>
      <c r="J28" s="61"/>
      <c r="K28" s="61"/>
      <c r="L28" s="55" t="str">
        <f t="shared" si="0"/>
        <v/>
      </c>
      <c r="M28" s="61"/>
      <c r="N28" s="61"/>
      <c r="O28" s="61"/>
      <c r="P28" s="61"/>
      <c r="Q28" s="61"/>
      <c r="R28" s="60"/>
      <c r="S28" s="61">
        <f t="shared" si="1"/>
        <v>0</v>
      </c>
      <c r="T28" s="61"/>
      <c r="U28" s="61"/>
      <c r="V28" s="61"/>
    </row>
    <row r="29" spans="1:22" s="62" customFormat="1" x14ac:dyDescent="0.2">
      <c r="A29" s="63"/>
      <c r="B29" s="63"/>
      <c r="C29" s="55"/>
      <c r="D29" s="64"/>
      <c r="E29" s="61"/>
      <c r="F29" s="61"/>
      <c r="G29" s="65"/>
      <c r="H29" s="61"/>
      <c r="I29" s="66"/>
      <c r="J29" s="61"/>
      <c r="K29" s="61"/>
      <c r="L29" s="55" t="str">
        <f t="shared" si="0"/>
        <v/>
      </c>
      <c r="M29" s="61"/>
      <c r="N29" s="61"/>
      <c r="O29" s="61"/>
      <c r="P29" s="61"/>
      <c r="Q29" s="61"/>
      <c r="R29" s="60"/>
      <c r="S29" s="61">
        <f t="shared" si="1"/>
        <v>0</v>
      </c>
      <c r="T29" s="61"/>
      <c r="U29" s="61"/>
      <c r="V29" s="61"/>
    </row>
    <row r="30" spans="1:22" s="62" customFormat="1" x14ac:dyDescent="0.2">
      <c r="A30" s="63"/>
      <c r="B30" s="63"/>
      <c r="C30" s="55"/>
      <c r="D30" s="64"/>
      <c r="E30" s="61"/>
      <c r="F30" s="61"/>
      <c r="G30" s="65"/>
      <c r="H30" s="61"/>
      <c r="I30" s="66"/>
      <c r="J30" s="61"/>
      <c r="K30" s="61"/>
      <c r="L30" s="55" t="str">
        <f t="shared" si="0"/>
        <v/>
      </c>
      <c r="M30" s="61"/>
      <c r="N30" s="61"/>
      <c r="O30" s="61"/>
      <c r="P30" s="61"/>
      <c r="Q30" s="61"/>
      <c r="R30" s="60"/>
      <c r="S30" s="61">
        <f t="shared" si="1"/>
        <v>0</v>
      </c>
      <c r="T30" s="61"/>
      <c r="U30" s="61"/>
      <c r="V30" s="61"/>
    </row>
    <row r="31" spans="1:22" s="62" customFormat="1" x14ac:dyDescent="0.2">
      <c r="A31" s="63"/>
      <c r="B31" s="63"/>
      <c r="C31" s="55"/>
      <c r="D31" s="64"/>
      <c r="E31" s="61"/>
      <c r="F31" s="61"/>
      <c r="G31" s="65"/>
      <c r="H31" s="61"/>
      <c r="I31" s="66"/>
      <c r="J31" s="61"/>
      <c r="K31" s="61"/>
      <c r="L31" s="55"/>
      <c r="M31" s="61"/>
      <c r="N31" s="61"/>
      <c r="O31" s="61"/>
      <c r="P31" s="61"/>
      <c r="Q31" s="61"/>
      <c r="R31" s="60"/>
      <c r="S31" s="61">
        <f t="shared" si="1"/>
        <v>0</v>
      </c>
      <c r="T31" s="61"/>
      <c r="U31" s="61"/>
      <c r="V31" s="61"/>
    </row>
    <row r="32" spans="1:22" x14ac:dyDescent="0.2">
      <c r="A32" s="42" t="s">
        <v>39</v>
      </c>
      <c r="C32"/>
      <c r="D32" s="37"/>
      <c r="E32"/>
      <c r="F32"/>
      <c r="G32" s="38"/>
      <c r="H32"/>
      <c r="I32" s="31"/>
      <c r="J32"/>
      <c r="K32"/>
      <c r="L32" s="35"/>
      <c r="M32"/>
      <c r="N32"/>
      <c r="O32"/>
      <c r="P32"/>
      <c r="Q32"/>
      <c r="R32" s="3"/>
      <c r="S32">
        <f t="shared" si="1"/>
        <v>0</v>
      </c>
      <c r="T32"/>
      <c r="U32"/>
      <c r="V32"/>
    </row>
    <row r="33" spans="1:22" x14ac:dyDescent="0.2">
      <c r="A33" s="4"/>
      <c r="B33" s="4"/>
      <c r="C33"/>
      <c r="D33" s="37"/>
      <c r="E33"/>
      <c r="F33"/>
      <c r="G33" s="38"/>
      <c r="H33"/>
      <c r="I33" s="31"/>
      <c r="J33"/>
      <c r="K33"/>
      <c r="L33" s="35"/>
      <c r="M33"/>
      <c r="N33"/>
      <c r="O33"/>
      <c r="P33"/>
      <c r="Q33"/>
      <c r="R33" s="3"/>
      <c r="S33"/>
      <c r="T33"/>
      <c r="U33"/>
      <c r="V33"/>
    </row>
    <row r="34" spans="1:22" x14ac:dyDescent="0.2">
      <c r="A34" s="42" t="s">
        <v>40</v>
      </c>
      <c r="C34"/>
      <c r="E34"/>
      <c r="F34"/>
      <c r="G34" s="38"/>
      <c r="H34"/>
      <c r="I34" s="31"/>
      <c r="J34"/>
      <c r="K34"/>
      <c r="L34" s="35"/>
      <c r="M34"/>
      <c r="N34"/>
      <c r="O34"/>
      <c r="P34"/>
      <c r="Q34"/>
      <c r="R34" s="3"/>
      <c r="S34"/>
      <c r="T34"/>
      <c r="U34"/>
      <c r="V34"/>
    </row>
    <row r="35" spans="1:22" x14ac:dyDescent="0.2">
      <c r="D35" s="15" t="s">
        <v>5</v>
      </c>
      <c r="E35" s="16" t="s">
        <v>12</v>
      </c>
      <c r="F35" s="16" t="s">
        <v>13</v>
      </c>
      <c r="G35" s="13" t="s">
        <v>19</v>
      </c>
      <c r="H35" s="16" t="s">
        <v>30</v>
      </c>
      <c r="I35" s="30" t="s">
        <v>21</v>
      </c>
    </row>
    <row r="36" spans="1:22" s="62" customFormat="1" x14ac:dyDescent="0.2">
      <c r="C36" s="67"/>
      <c r="D36" s="68"/>
      <c r="G36" s="69"/>
      <c r="I36" s="70"/>
      <c r="R36" s="71"/>
    </row>
    <row r="37" spans="1:22" s="62" customFormat="1" x14ac:dyDescent="0.2">
      <c r="C37" s="67"/>
      <c r="D37" s="68"/>
      <c r="G37" s="69"/>
      <c r="I37" s="70"/>
      <c r="R37" s="71"/>
    </row>
    <row r="38" spans="1:22" s="62" customFormat="1" x14ac:dyDescent="0.2">
      <c r="C38" s="67"/>
      <c r="D38" s="68"/>
      <c r="G38" s="69"/>
      <c r="I38" s="70"/>
      <c r="R38" s="71"/>
    </row>
    <row r="39" spans="1:22" s="62" customFormat="1" x14ac:dyDescent="0.2">
      <c r="C39" s="67"/>
      <c r="D39" s="68"/>
      <c r="G39" s="69"/>
      <c r="I39" s="70"/>
      <c r="R39" s="71"/>
    </row>
    <row r="40" spans="1:22" s="62" customFormat="1" x14ac:dyDescent="0.2">
      <c r="C40" s="67"/>
      <c r="D40" s="68"/>
      <c r="G40" s="69"/>
      <c r="I40" s="70"/>
      <c r="R40" s="71"/>
    </row>
    <row r="41" spans="1:22" s="62" customFormat="1" x14ac:dyDescent="0.2">
      <c r="C41" s="67"/>
      <c r="D41" s="68"/>
      <c r="G41" s="69"/>
      <c r="I41" s="70"/>
      <c r="R41" s="71"/>
    </row>
    <row r="42" spans="1:22" s="62" customFormat="1" x14ac:dyDescent="0.2">
      <c r="C42" s="67"/>
      <c r="D42" s="68"/>
      <c r="G42" s="69"/>
      <c r="I42" s="70"/>
      <c r="R42" s="71"/>
    </row>
    <row r="43" spans="1:22" s="62" customFormat="1" x14ac:dyDescent="0.2">
      <c r="C43" s="67"/>
      <c r="D43" s="68"/>
      <c r="G43" s="69"/>
      <c r="I43" s="70"/>
      <c r="R43" s="71"/>
    </row>
    <row r="44" spans="1:22" s="62" customFormat="1" x14ac:dyDescent="0.2">
      <c r="C44" s="67"/>
      <c r="D44" s="68"/>
      <c r="G44" s="69"/>
      <c r="I44" s="70"/>
      <c r="R44" s="71"/>
    </row>
    <row r="45" spans="1:22" s="62" customFormat="1" x14ac:dyDescent="0.2">
      <c r="C45" s="67"/>
      <c r="D45" s="68"/>
      <c r="G45" s="69"/>
      <c r="I45" s="70"/>
      <c r="R45" s="71"/>
    </row>
    <row r="46" spans="1:22" s="62" customFormat="1" x14ac:dyDescent="0.2">
      <c r="C46" s="67"/>
      <c r="D46" s="68"/>
      <c r="G46" s="69"/>
      <c r="I46" s="70"/>
      <c r="R46" s="71"/>
    </row>
    <row r="47" spans="1:22" s="62" customFormat="1" x14ac:dyDescent="0.2">
      <c r="C47" s="67"/>
      <c r="D47" s="68"/>
      <c r="G47" s="69"/>
      <c r="I47" s="70"/>
      <c r="R47" s="71"/>
    </row>
    <row r="48" spans="1:22" s="62" customFormat="1" x14ac:dyDescent="0.2">
      <c r="C48" s="67"/>
      <c r="D48" s="68"/>
      <c r="G48" s="69"/>
      <c r="I48" s="70"/>
      <c r="R48" s="71"/>
    </row>
    <row r="49" spans="3:18" s="62" customFormat="1" x14ac:dyDescent="0.2">
      <c r="C49" s="67"/>
      <c r="D49" s="68"/>
      <c r="G49" s="69"/>
      <c r="I49" s="70"/>
      <c r="R49" s="71"/>
    </row>
    <row r="50" spans="3:18" s="62" customFormat="1" x14ac:dyDescent="0.2">
      <c r="C50" s="67"/>
      <c r="D50" s="68"/>
      <c r="G50" s="69"/>
      <c r="I50" s="70"/>
      <c r="R50" s="71"/>
    </row>
    <row r="51" spans="3:18" s="62" customFormat="1" x14ac:dyDescent="0.2">
      <c r="C51" s="67"/>
      <c r="D51" s="68"/>
      <c r="G51" s="69"/>
      <c r="I51" s="70"/>
      <c r="R51" s="71"/>
    </row>
    <row r="52" spans="3:18" s="62" customFormat="1" x14ac:dyDescent="0.2">
      <c r="C52" s="67"/>
      <c r="D52" s="68"/>
      <c r="G52" s="69"/>
      <c r="I52" s="70"/>
      <c r="R52" s="71"/>
    </row>
    <row r="53" spans="3:18" s="62" customFormat="1" x14ac:dyDescent="0.2">
      <c r="C53" s="67"/>
      <c r="D53" s="68"/>
      <c r="G53" s="69"/>
      <c r="I53" s="70"/>
      <c r="R53" s="71"/>
    </row>
    <row r="54" spans="3:18" s="62" customFormat="1" x14ac:dyDescent="0.2">
      <c r="C54" s="67"/>
      <c r="D54" s="68"/>
      <c r="G54" s="69"/>
      <c r="I54" s="70"/>
      <c r="R54" s="71"/>
    </row>
    <row r="55" spans="3:18" s="62" customFormat="1" x14ac:dyDescent="0.2">
      <c r="C55" s="67"/>
      <c r="D55" s="68"/>
      <c r="G55" s="69"/>
      <c r="I55" s="70"/>
      <c r="R55" s="71"/>
    </row>
    <row r="56" spans="3:18" s="62" customFormat="1" x14ac:dyDescent="0.2">
      <c r="C56" s="67"/>
      <c r="D56" s="68"/>
      <c r="G56" s="69"/>
      <c r="I56" s="70"/>
      <c r="R56" s="71"/>
    </row>
    <row r="57" spans="3:18" s="62" customFormat="1" x14ac:dyDescent="0.2">
      <c r="C57" s="67"/>
      <c r="D57" s="68"/>
      <c r="G57" s="69"/>
      <c r="I57" s="70"/>
      <c r="R57" s="71"/>
    </row>
    <row r="58" spans="3:18" s="62" customFormat="1" x14ac:dyDescent="0.2">
      <c r="C58" s="67"/>
      <c r="D58" s="68"/>
      <c r="G58" s="69"/>
      <c r="I58" s="70"/>
      <c r="R58" s="71"/>
    </row>
    <row r="59" spans="3:18" s="62" customFormat="1" x14ac:dyDescent="0.2">
      <c r="C59" s="67"/>
      <c r="D59" s="68"/>
      <c r="G59" s="69"/>
      <c r="I59" s="70"/>
      <c r="R59" s="71"/>
    </row>
    <row r="60" spans="3:18" s="62" customFormat="1" x14ac:dyDescent="0.2">
      <c r="C60" s="67"/>
      <c r="D60" s="68"/>
      <c r="G60" s="69"/>
      <c r="I60" s="70"/>
      <c r="R60" s="71"/>
    </row>
    <row r="61" spans="3:18" s="62" customFormat="1" x14ac:dyDescent="0.2">
      <c r="C61" s="67"/>
      <c r="D61" s="68"/>
      <c r="G61" s="69"/>
      <c r="I61" s="70"/>
      <c r="R61" s="71"/>
    </row>
    <row r="62" spans="3:18" s="62" customFormat="1" x14ac:dyDescent="0.2">
      <c r="C62" s="67"/>
      <c r="D62" s="68"/>
      <c r="G62" s="69"/>
      <c r="I62" s="70"/>
      <c r="R62" s="71"/>
    </row>
    <row r="63" spans="3:18" s="62" customFormat="1" x14ac:dyDescent="0.2">
      <c r="C63" s="67"/>
      <c r="D63" s="68"/>
      <c r="G63" s="69"/>
      <c r="I63" s="70"/>
      <c r="R63" s="71"/>
    </row>
    <row r="64" spans="3:18" s="62" customFormat="1" x14ac:dyDescent="0.2">
      <c r="C64" s="67"/>
      <c r="D64" s="68"/>
      <c r="G64" s="69"/>
      <c r="I64" s="70"/>
      <c r="R64" s="71"/>
    </row>
    <row r="65" spans="3:18" s="62" customFormat="1" x14ac:dyDescent="0.2">
      <c r="C65" s="67"/>
      <c r="D65" s="68"/>
      <c r="G65" s="69"/>
      <c r="I65" s="70"/>
      <c r="R65" s="71"/>
    </row>
    <row r="66" spans="3:18" s="62" customFormat="1" x14ac:dyDescent="0.2">
      <c r="C66" s="67"/>
      <c r="D66" s="68"/>
      <c r="G66" s="69"/>
      <c r="I66" s="70"/>
      <c r="R66" s="71"/>
    </row>
    <row r="67" spans="3:18" s="62" customFormat="1" x14ac:dyDescent="0.2">
      <c r="C67" s="67"/>
      <c r="D67" s="68"/>
      <c r="G67" s="69"/>
      <c r="I67" s="70"/>
      <c r="R67" s="71"/>
    </row>
    <row r="68" spans="3:18" s="62" customFormat="1" x14ac:dyDescent="0.2">
      <c r="C68" s="67"/>
      <c r="D68" s="68"/>
      <c r="G68" s="69"/>
      <c r="I68" s="70"/>
      <c r="R68" s="71"/>
    </row>
    <row r="69" spans="3:18" s="62" customFormat="1" x14ac:dyDescent="0.2">
      <c r="C69" s="67"/>
      <c r="D69" s="68"/>
      <c r="G69" s="69"/>
      <c r="I69" s="70"/>
      <c r="R69" s="71"/>
    </row>
    <row r="70" spans="3:18" s="62" customFormat="1" x14ac:dyDescent="0.2">
      <c r="C70" s="67"/>
      <c r="D70" s="68"/>
      <c r="G70" s="69"/>
      <c r="I70" s="70"/>
      <c r="R70" s="71"/>
    </row>
    <row r="71" spans="3:18" s="62" customFormat="1" x14ac:dyDescent="0.2">
      <c r="C71" s="67"/>
      <c r="D71" s="68"/>
      <c r="G71" s="69"/>
      <c r="I71" s="70"/>
      <c r="R71" s="71"/>
    </row>
    <row r="72" spans="3:18" s="62" customFormat="1" x14ac:dyDescent="0.2">
      <c r="C72" s="67"/>
      <c r="D72" s="68"/>
      <c r="G72" s="69"/>
      <c r="I72" s="70"/>
      <c r="R72" s="71"/>
    </row>
    <row r="73" spans="3:18" s="62" customFormat="1" x14ac:dyDescent="0.2">
      <c r="C73" s="67"/>
      <c r="D73" s="68"/>
      <c r="G73" s="69"/>
      <c r="I73" s="70"/>
      <c r="R73" s="71"/>
    </row>
    <row r="74" spans="3:18" s="62" customFormat="1" x14ac:dyDescent="0.2">
      <c r="C74" s="67"/>
      <c r="D74" s="68"/>
      <c r="G74" s="69"/>
      <c r="I74" s="70"/>
      <c r="R74" s="71"/>
    </row>
    <row r="75" spans="3:18" s="62" customFormat="1" x14ac:dyDescent="0.2">
      <c r="C75" s="67"/>
      <c r="D75" s="68"/>
      <c r="G75" s="69"/>
      <c r="I75" s="70"/>
      <c r="R75" s="71"/>
    </row>
    <row r="76" spans="3:18" s="62" customFormat="1" x14ac:dyDescent="0.2">
      <c r="C76" s="67"/>
      <c r="D76" s="68"/>
      <c r="G76" s="69"/>
      <c r="I76" s="70"/>
      <c r="R76" s="71"/>
    </row>
    <row r="77" spans="3:18" s="62" customFormat="1" x14ac:dyDescent="0.2">
      <c r="C77" s="67"/>
      <c r="D77" s="68"/>
      <c r="G77" s="69"/>
      <c r="I77" s="70"/>
      <c r="R77" s="71"/>
    </row>
    <row r="78" spans="3:18" s="62" customFormat="1" x14ac:dyDescent="0.2">
      <c r="C78" s="67"/>
      <c r="D78" s="68"/>
      <c r="G78" s="69"/>
      <c r="I78" s="70"/>
      <c r="R78" s="71"/>
    </row>
    <row r="79" spans="3:18" s="62" customFormat="1" x14ac:dyDescent="0.2">
      <c r="C79" s="67"/>
      <c r="D79" s="68"/>
      <c r="G79" s="69"/>
      <c r="I79" s="70"/>
      <c r="R79" s="71"/>
    </row>
    <row r="80" spans="3:18" s="62" customFormat="1" x14ac:dyDescent="0.2">
      <c r="C80" s="67"/>
      <c r="D80" s="68"/>
      <c r="G80" s="69"/>
      <c r="I80" s="70"/>
      <c r="R80" s="71"/>
    </row>
    <row r="81" spans="3:18" s="62" customFormat="1" x14ac:dyDescent="0.2">
      <c r="C81" s="67"/>
      <c r="D81" s="68"/>
      <c r="G81" s="69"/>
      <c r="I81" s="70"/>
      <c r="R81" s="71"/>
    </row>
    <row r="82" spans="3:18" s="62" customFormat="1" x14ac:dyDescent="0.2">
      <c r="C82" s="67"/>
      <c r="D82" s="68"/>
      <c r="G82" s="69"/>
      <c r="I82" s="70"/>
      <c r="R82" s="71"/>
    </row>
    <row r="83" spans="3:18" s="62" customFormat="1" x14ac:dyDescent="0.2">
      <c r="C83" s="67"/>
      <c r="D83" s="68"/>
      <c r="G83" s="69"/>
      <c r="I83" s="70"/>
      <c r="R83" s="71"/>
    </row>
    <row r="84" spans="3:18" s="62" customFormat="1" x14ac:dyDescent="0.2">
      <c r="C84" s="67"/>
      <c r="D84" s="68"/>
      <c r="G84" s="69"/>
      <c r="I84" s="70"/>
      <c r="R84" s="71"/>
    </row>
    <row r="85" spans="3:18" s="62" customFormat="1" x14ac:dyDescent="0.2">
      <c r="C85" s="67"/>
      <c r="D85" s="68"/>
      <c r="G85" s="69"/>
      <c r="I85" s="70"/>
      <c r="R85" s="71"/>
    </row>
    <row r="86" spans="3:18" s="62" customFormat="1" x14ac:dyDescent="0.2">
      <c r="C86" s="67"/>
      <c r="D86" s="68"/>
      <c r="G86" s="69"/>
      <c r="I86" s="70"/>
      <c r="R86" s="71"/>
    </row>
    <row r="87" spans="3:18" s="62" customFormat="1" x14ac:dyDescent="0.2">
      <c r="C87" s="67"/>
      <c r="D87" s="68"/>
      <c r="G87" s="69"/>
      <c r="I87" s="70"/>
      <c r="R87" s="71"/>
    </row>
    <row r="88" spans="3:18" s="62" customFormat="1" x14ac:dyDescent="0.2">
      <c r="C88" s="67"/>
      <c r="D88" s="68"/>
      <c r="G88" s="69"/>
      <c r="I88" s="70"/>
      <c r="R88" s="71"/>
    </row>
    <row r="89" spans="3:18" s="62" customFormat="1" x14ac:dyDescent="0.2">
      <c r="C89" s="67"/>
      <c r="D89" s="68"/>
      <c r="G89" s="69"/>
      <c r="I89" s="70"/>
      <c r="R89" s="71"/>
    </row>
    <row r="90" spans="3:18" s="62" customFormat="1" x14ac:dyDescent="0.2">
      <c r="C90" s="67"/>
      <c r="D90" s="68"/>
      <c r="G90" s="69"/>
      <c r="I90" s="70"/>
      <c r="R90" s="71"/>
    </row>
    <row r="91" spans="3:18" s="62" customFormat="1" x14ac:dyDescent="0.2">
      <c r="C91" s="67"/>
      <c r="D91" s="68"/>
      <c r="G91" s="69"/>
      <c r="I91" s="70"/>
      <c r="R91" s="71"/>
    </row>
    <row r="92" spans="3:18" s="62" customFormat="1" x14ac:dyDescent="0.2">
      <c r="C92" s="67"/>
      <c r="D92" s="68"/>
      <c r="G92" s="69"/>
      <c r="I92" s="70"/>
      <c r="R92" s="71"/>
    </row>
    <row r="93" spans="3:18" s="62" customFormat="1" x14ac:dyDescent="0.2">
      <c r="C93" s="67"/>
      <c r="D93" s="68"/>
      <c r="G93" s="69"/>
      <c r="I93" s="70"/>
      <c r="R93" s="71"/>
    </row>
    <row r="94" spans="3:18" s="62" customFormat="1" x14ac:dyDescent="0.2">
      <c r="C94" s="67"/>
      <c r="D94" s="68"/>
      <c r="G94" s="69"/>
      <c r="I94" s="70"/>
      <c r="R94" s="71"/>
    </row>
    <row r="95" spans="3:18" s="62" customFormat="1" x14ac:dyDescent="0.2">
      <c r="C95" s="67"/>
      <c r="D95" s="68"/>
      <c r="G95" s="69"/>
      <c r="I95" s="70"/>
      <c r="R95" s="71"/>
    </row>
    <row r="96" spans="3:18" s="62" customFormat="1" x14ac:dyDescent="0.2">
      <c r="C96" s="67"/>
      <c r="D96" s="68"/>
      <c r="G96" s="69"/>
      <c r="I96" s="70"/>
      <c r="R96" s="71"/>
    </row>
    <row r="97" spans="3:18" s="62" customFormat="1" x14ac:dyDescent="0.2">
      <c r="C97" s="67"/>
      <c r="D97" s="68"/>
      <c r="G97" s="69"/>
      <c r="I97" s="70"/>
      <c r="R97" s="71"/>
    </row>
    <row r="98" spans="3:18" s="62" customFormat="1" x14ac:dyDescent="0.2">
      <c r="C98" s="67"/>
      <c r="D98" s="68"/>
      <c r="G98" s="69"/>
      <c r="I98" s="70"/>
      <c r="R98" s="71"/>
    </row>
    <row r="99" spans="3:18" s="62" customFormat="1" x14ac:dyDescent="0.2">
      <c r="C99" s="67"/>
      <c r="D99" s="68"/>
      <c r="G99" s="69"/>
      <c r="I99" s="70"/>
      <c r="R99" s="71"/>
    </row>
    <row r="100" spans="3:18" s="62" customFormat="1" x14ac:dyDescent="0.2">
      <c r="C100" s="67"/>
      <c r="D100" s="68"/>
      <c r="G100" s="69"/>
      <c r="I100" s="70"/>
      <c r="R100" s="71"/>
    </row>
    <row r="101" spans="3:18" s="62" customFormat="1" x14ac:dyDescent="0.2">
      <c r="C101" s="67"/>
      <c r="D101" s="68"/>
      <c r="G101" s="69"/>
      <c r="I101" s="70"/>
      <c r="R101" s="71"/>
    </row>
    <row r="102" spans="3:18" s="62" customFormat="1" x14ac:dyDescent="0.2">
      <c r="C102" s="67"/>
      <c r="D102" s="68"/>
      <c r="G102" s="69"/>
      <c r="I102" s="70"/>
      <c r="R102" s="71"/>
    </row>
    <row r="103" spans="3:18" s="62" customFormat="1" x14ac:dyDescent="0.2">
      <c r="C103" s="67"/>
      <c r="D103" s="68"/>
      <c r="G103" s="69"/>
      <c r="I103" s="70"/>
      <c r="R103" s="71"/>
    </row>
    <row r="104" spans="3:18" s="62" customFormat="1" x14ac:dyDescent="0.2">
      <c r="C104" s="67"/>
      <c r="D104" s="68"/>
      <c r="G104" s="69"/>
      <c r="I104" s="70"/>
      <c r="R104" s="71"/>
    </row>
    <row r="105" spans="3:18" s="62" customFormat="1" x14ac:dyDescent="0.2">
      <c r="C105" s="67"/>
      <c r="D105" s="68"/>
      <c r="G105" s="69"/>
      <c r="I105" s="70"/>
      <c r="R105" s="71"/>
    </row>
    <row r="106" spans="3:18" s="62" customFormat="1" x14ac:dyDescent="0.2">
      <c r="C106" s="67"/>
      <c r="D106" s="68"/>
      <c r="G106" s="69"/>
      <c r="I106" s="70"/>
      <c r="R106" s="71"/>
    </row>
    <row r="107" spans="3:18" s="62" customFormat="1" x14ac:dyDescent="0.2">
      <c r="C107" s="67"/>
      <c r="D107" s="68"/>
      <c r="G107" s="69"/>
      <c r="I107" s="70"/>
      <c r="R107" s="71"/>
    </row>
    <row r="108" spans="3:18" s="62" customFormat="1" x14ac:dyDescent="0.2">
      <c r="C108" s="67"/>
      <c r="D108" s="68"/>
      <c r="G108" s="69"/>
      <c r="I108" s="70"/>
      <c r="R108" s="71"/>
    </row>
    <row r="109" spans="3:18" s="62" customFormat="1" x14ac:dyDescent="0.2">
      <c r="C109" s="67"/>
      <c r="D109" s="68"/>
      <c r="G109" s="69"/>
      <c r="I109" s="70"/>
      <c r="R109" s="71"/>
    </row>
    <row r="110" spans="3:18" s="62" customFormat="1" x14ac:dyDescent="0.2">
      <c r="C110" s="67"/>
      <c r="D110" s="68"/>
      <c r="G110" s="69"/>
      <c r="I110" s="70"/>
      <c r="R110" s="71"/>
    </row>
    <row r="111" spans="3:18" s="62" customFormat="1" x14ac:dyDescent="0.2">
      <c r="C111" s="67"/>
      <c r="D111" s="68"/>
      <c r="G111" s="69"/>
      <c r="I111" s="70"/>
      <c r="R111" s="71"/>
    </row>
    <row r="112" spans="3:18" s="62" customFormat="1" x14ac:dyDescent="0.2">
      <c r="C112" s="67"/>
      <c r="D112" s="68"/>
      <c r="G112" s="69"/>
      <c r="I112" s="70"/>
      <c r="R112" s="71"/>
    </row>
    <row r="113" spans="3:18" s="62" customFormat="1" x14ac:dyDescent="0.2">
      <c r="C113" s="67"/>
      <c r="D113" s="68"/>
      <c r="G113" s="69"/>
      <c r="I113" s="70"/>
      <c r="R113" s="71"/>
    </row>
    <row r="114" spans="3:18" s="62" customFormat="1" x14ac:dyDescent="0.2">
      <c r="C114" s="67"/>
      <c r="D114" s="68"/>
      <c r="G114" s="69"/>
      <c r="I114" s="70"/>
      <c r="R114" s="71"/>
    </row>
    <row r="115" spans="3:18" s="62" customFormat="1" x14ac:dyDescent="0.2">
      <c r="C115" s="67"/>
      <c r="D115" s="68"/>
      <c r="G115" s="69"/>
      <c r="I115" s="70"/>
      <c r="R115" s="71"/>
    </row>
    <row r="116" spans="3:18" s="62" customFormat="1" x14ac:dyDescent="0.2">
      <c r="C116" s="67"/>
      <c r="D116" s="68"/>
      <c r="G116" s="69"/>
      <c r="I116" s="70"/>
      <c r="R116" s="71"/>
    </row>
    <row r="117" spans="3:18" s="62" customFormat="1" x14ac:dyDescent="0.2">
      <c r="C117" s="67"/>
      <c r="D117" s="68"/>
      <c r="G117" s="69"/>
      <c r="I117" s="70"/>
      <c r="R117" s="71"/>
    </row>
    <row r="118" spans="3:18" s="62" customFormat="1" x14ac:dyDescent="0.2">
      <c r="C118" s="67"/>
      <c r="D118" s="68"/>
      <c r="G118" s="69"/>
      <c r="I118" s="70"/>
      <c r="R118" s="71"/>
    </row>
    <row r="119" spans="3:18" s="62" customFormat="1" x14ac:dyDescent="0.2">
      <c r="C119" s="67"/>
      <c r="D119" s="68"/>
      <c r="G119" s="69"/>
      <c r="I119" s="70"/>
      <c r="R119" s="71"/>
    </row>
    <row r="120" spans="3:18" s="62" customFormat="1" x14ac:dyDescent="0.2">
      <c r="C120" s="67"/>
      <c r="D120" s="68"/>
      <c r="G120" s="69"/>
      <c r="I120" s="70"/>
      <c r="R120" s="71"/>
    </row>
    <row r="121" spans="3:18" s="62" customFormat="1" x14ac:dyDescent="0.2">
      <c r="C121" s="67"/>
      <c r="D121" s="68"/>
      <c r="G121" s="69"/>
      <c r="I121" s="70"/>
      <c r="R121" s="71"/>
    </row>
    <row r="122" spans="3:18" s="62" customFormat="1" x14ac:dyDescent="0.2">
      <c r="C122" s="67"/>
      <c r="D122" s="68"/>
      <c r="G122" s="69"/>
      <c r="I122" s="70"/>
      <c r="R122" s="71"/>
    </row>
    <row r="123" spans="3:18" s="62" customFormat="1" x14ac:dyDescent="0.2">
      <c r="C123" s="67"/>
      <c r="D123" s="68"/>
      <c r="G123" s="69"/>
      <c r="I123" s="70"/>
      <c r="R123" s="71"/>
    </row>
    <row r="124" spans="3:18" s="62" customFormat="1" x14ac:dyDescent="0.2">
      <c r="C124" s="67"/>
      <c r="D124" s="68"/>
      <c r="G124" s="69"/>
      <c r="I124" s="70"/>
      <c r="R124" s="71"/>
    </row>
    <row r="125" spans="3:18" s="62" customFormat="1" x14ac:dyDescent="0.2">
      <c r="C125" s="67"/>
      <c r="D125" s="68"/>
      <c r="G125" s="69"/>
      <c r="I125" s="70"/>
      <c r="R125" s="71"/>
    </row>
    <row r="126" spans="3:18" s="62" customFormat="1" x14ac:dyDescent="0.2">
      <c r="C126" s="67"/>
      <c r="D126" s="68"/>
      <c r="G126" s="69"/>
      <c r="I126" s="70"/>
      <c r="R126" s="71"/>
    </row>
    <row r="127" spans="3:18" s="62" customFormat="1" x14ac:dyDescent="0.2">
      <c r="C127" s="67"/>
      <c r="D127" s="68"/>
      <c r="G127" s="69"/>
      <c r="I127" s="70"/>
      <c r="R127" s="71"/>
    </row>
    <row r="128" spans="3:18" s="62" customFormat="1" x14ac:dyDescent="0.2">
      <c r="C128" s="67"/>
      <c r="D128" s="68"/>
      <c r="G128" s="69"/>
      <c r="I128" s="70"/>
      <c r="R128" s="71"/>
    </row>
    <row r="129" spans="3:18" s="62" customFormat="1" x14ac:dyDescent="0.2">
      <c r="C129" s="67"/>
      <c r="D129" s="68"/>
      <c r="G129" s="69"/>
      <c r="I129" s="70"/>
      <c r="R129" s="71"/>
    </row>
    <row r="130" spans="3:18" s="62" customFormat="1" x14ac:dyDescent="0.2">
      <c r="C130" s="67"/>
      <c r="D130" s="68"/>
      <c r="G130" s="69"/>
      <c r="I130" s="70"/>
      <c r="R130" s="71"/>
    </row>
    <row r="131" spans="3:18" s="62" customFormat="1" x14ac:dyDescent="0.2">
      <c r="C131" s="67"/>
      <c r="D131" s="68"/>
      <c r="G131" s="69"/>
      <c r="I131" s="70"/>
      <c r="R131" s="71"/>
    </row>
    <row r="132" spans="3:18" s="62" customFormat="1" x14ac:dyDescent="0.2">
      <c r="C132" s="67"/>
      <c r="D132" s="68"/>
      <c r="G132" s="69"/>
      <c r="I132" s="70"/>
      <c r="R132" s="71"/>
    </row>
    <row r="133" spans="3:18" s="62" customFormat="1" x14ac:dyDescent="0.2">
      <c r="C133" s="67"/>
      <c r="D133" s="68"/>
      <c r="G133" s="69"/>
      <c r="I133" s="70"/>
      <c r="R133" s="71"/>
    </row>
    <row r="134" spans="3:18" s="62" customFormat="1" x14ac:dyDescent="0.2">
      <c r="C134" s="67"/>
      <c r="D134" s="68"/>
      <c r="G134" s="69"/>
      <c r="I134" s="70"/>
      <c r="R134" s="71"/>
    </row>
    <row r="135" spans="3:18" s="62" customFormat="1" x14ac:dyDescent="0.2">
      <c r="C135" s="67"/>
      <c r="D135" s="68"/>
      <c r="G135" s="69"/>
      <c r="I135" s="70"/>
      <c r="R135" s="71"/>
    </row>
    <row r="136" spans="3:18" s="62" customFormat="1" x14ac:dyDescent="0.2">
      <c r="C136" s="67"/>
      <c r="D136" s="68"/>
      <c r="G136" s="69"/>
      <c r="I136" s="70"/>
      <c r="R136" s="71"/>
    </row>
    <row r="137" spans="3:18" s="62" customFormat="1" x14ac:dyDescent="0.2">
      <c r="C137" s="67"/>
      <c r="D137" s="68"/>
      <c r="G137" s="69"/>
      <c r="I137" s="70"/>
      <c r="R137" s="71"/>
    </row>
    <row r="138" spans="3:18" s="62" customFormat="1" x14ac:dyDescent="0.2">
      <c r="C138" s="67"/>
      <c r="D138" s="68"/>
      <c r="G138" s="69"/>
      <c r="I138" s="70"/>
      <c r="R138" s="71"/>
    </row>
    <row r="139" spans="3:18" s="62" customFormat="1" x14ac:dyDescent="0.2">
      <c r="C139" s="67"/>
      <c r="D139" s="68"/>
      <c r="G139" s="69"/>
      <c r="I139" s="70"/>
      <c r="R139" s="71"/>
    </row>
    <row r="140" spans="3:18" s="62" customFormat="1" x14ac:dyDescent="0.2">
      <c r="C140" s="67"/>
      <c r="D140" s="68"/>
      <c r="G140" s="69"/>
      <c r="I140" s="70"/>
      <c r="R140" s="71"/>
    </row>
    <row r="141" spans="3:18" s="62" customFormat="1" x14ac:dyDescent="0.2">
      <c r="C141" s="67"/>
      <c r="D141" s="68"/>
      <c r="G141" s="69"/>
      <c r="I141" s="70"/>
      <c r="R141" s="71"/>
    </row>
    <row r="142" spans="3:18" s="62" customFormat="1" x14ac:dyDescent="0.2">
      <c r="C142" s="67"/>
      <c r="D142" s="68"/>
      <c r="G142" s="69"/>
      <c r="I142" s="70"/>
      <c r="R142" s="71"/>
    </row>
    <row r="143" spans="3:18" s="62" customFormat="1" x14ac:dyDescent="0.2">
      <c r="C143" s="67"/>
      <c r="D143" s="68"/>
      <c r="G143" s="69"/>
      <c r="I143" s="70"/>
      <c r="R143" s="71"/>
    </row>
    <row r="144" spans="3:18" s="62" customFormat="1" x14ac:dyDescent="0.2">
      <c r="C144" s="67"/>
      <c r="D144" s="68"/>
      <c r="G144" s="69"/>
      <c r="I144" s="70"/>
      <c r="R144" s="71"/>
    </row>
    <row r="145" spans="3:18" s="62" customFormat="1" x14ac:dyDescent="0.2">
      <c r="C145" s="67"/>
      <c r="D145" s="68"/>
      <c r="G145" s="69"/>
      <c r="I145" s="70"/>
      <c r="R145" s="71"/>
    </row>
    <row r="146" spans="3:18" s="62" customFormat="1" x14ac:dyDescent="0.2">
      <c r="C146" s="67"/>
      <c r="D146" s="68"/>
      <c r="G146" s="69"/>
      <c r="I146" s="70"/>
      <c r="R146" s="71"/>
    </row>
    <row r="147" spans="3:18" s="62" customFormat="1" x14ac:dyDescent="0.2">
      <c r="C147" s="67"/>
      <c r="D147" s="68"/>
      <c r="G147" s="69"/>
      <c r="I147" s="70"/>
      <c r="R147" s="71"/>
    </row>
    <row r="148" spans="3:18" s="62" customFormat="1" x14ac:dyDescent="0.2">
      <c r="C148" s="67"/>
      <c r="D148" s="68"/>
      <c r="G148" s="69"/>
      <c r="I148" s="70"/>
      <c r="R148" s="71"/>
    </row>
    <row r="149" spans="3:18" s="62" customFormat="1" x14ac:dyDescent="0.2">
      <c r="C149" s="67"/>
      <c r="D149" s="68"/>
      <c r="G149" s="69"/>
      <c r="I149" s="70"/>
      <c r="R149" s="71"/>
    </row>
    <row r="150" spans="3:18" s="62" customFormat="1" x14ac:dyDescent="0.2">
      <c r="C150" s="67"/>
      <c r="D150" s="68"/>
      <c r="G150" s="69"/>
      <c r="I150" s="70"/>
      <c r="R150" s="71"/>
    </row>
    <row r="151" spans="3:18" s="62" customFormat="1" x14ac:dyDescent="0.2">
      <c r="C151" s="67"/>
      <c r="D151" s="68"/>
      <c r="G151" s="69"/>
      <c r="I151" s="70"/>
      <c r="R151" s="71"/>
    </row>
    <row r="152" spans="3:18" s="62" customFormat="1" x14ac:dyDescent="0.2">
      <c r="C152" s="67"/>
      <c r="D152" s="68"/>
      <c r="G152" s="69"/>
      <c r="I152" s="70"/>
      <c r="R152" s="71"/>
    </row>
    <row r="153" spans="3:18" s="62" customFormat="1" x14ac:dyDescent="0.2">
      <c r="C153" s="67"/>
      <c r="D153" s="68"/>
      <c r="G153" s="69"/>
      <c r="I153" s="70"/>
      <c r="R153" s="71"/>
    </row>
    <row r="154" spans="3:18" s="62" customFormat="1" x14ac:dyDescent="0.2">
      <c r="C154" s="67"/>
      <c r="D154" s="68"/>
      <c r="G154" s="69"/>
      <c r="I154" s="70"/>
      <c r="R154" s="71"/>
    </row>
    <row r="155" spans="3:18" s="62" customFormat="1" x14ac:dyDescent="0.2">
      <c r="C155" s="67"/>
      <c r="D155" s="68"/>
      <c r="G155" s="69"/>
      <c r="I155" s="70"/>
      <c r="R155" s="71"/>
    </row>
    <row r="156" spans="3:18" s="62" customFormat="1" x14ac:dyDescent="0.2">
      <c r="C156" s="67"/>
      <c r="D156" s="68"/>
      <c r="G156" s="69"/>
      <c r="I156" s="70"/>
      <c r="R156" s="71"/>
    </row>
    <row r="157" spans="3:18" s="62" customFormat="1" x14ac:dyDescent="0.2">
      <c r="C157" s="67"/>
      <c r="D157" s="68"/>
      <c r="G157" s="69"/>
      <c r="I157" s="70"/>
      <c r="R157" s="71"/>
    </row>
    <row r="158" spans="3:18" s="62" customFormat="1" x14ac:dyDescent="0.2">
      <c r="C158" s="67"/>
      <c r="D158" s="68"/>
      <c r="G158" s="69"/>
      <c r="I158" s="70"/>
      <c r="R158" s="71"/>
    </row>
    <row r="159" spans="3:18" s="62" customFormat="1" x14ac:dyDescent="0.2">
      <c r="C159" s="67"/>
      <c r="D159" s="68"/>
      <c r="G159" s="69"/>
      <c r="I159" s="70"/>
      <c r="R159" s="71"/>
    </row>
    <row r="160" spans="3:18" s="62" customFormat="1" x14ac:dyDescent="0.2">
      <c r="C160" s="67"/>
      <c r="D160" s="68"/>
      <c r="G160" s="69"/>
      <c r="I160" s="70"/>
      <c r="R160" s="71"/>
    </row>
    <row r="161" spans="3:18" s="62" customFormat="1" x14ac:dyDescent="0.2">
      <c r="C161" s="67"/>
      <c r="D161" s="68"/>
      <c r="G161" s="69"/>
      <c r="I161" s="70"/>
      <c r="R161" s="71"/>
    </row>
    <row r="162" spans="3:18" s="62" customFormat="1" x14ac:dyDescent="0.2">
      <c r="C162" s="67"/>
      <c r="D162" s="68"/>
      <c r="G162" s="69"/>
      <c r="I162" s="70"/>
      <c r="R162" s="71"/>
    </row>
    <row r="163" spans="3:18" s="62" customFormat="1" x14ac:dyDescent="0.2">
      <c r="C163" s="67"/>
      <c r="D163" s="68"/>
      <c r="G163" s="69"/>
      <c r="I163" s="70"/>
      <c r="R163" s="71"/>
    </row>
    <row r="164" spans="3:18" s="62" customFormat="1" x14ac:dyDescent="0.2">
      <c r="C164" s="67"/>
      <c r="D164" s="68"/>
      <c r="G164" s="69"/>
      <c r="I164" s="70"/>
      <c r="R164" s="71"/>
    </row>
    <row r="165" spans="3:18" s="62" customFormat="1" x14ac:dyDescent="0.2">
      <c r="C165" s="67"/>
      <c r="D165" s="68"/>
      <c r="G165" s="69"/>
      <c r="I165" s="70"/>
      <c r="R165" s="71"/>
    </row>
    <row r="166" spans="3:18" s="62" customFormat="1" x14ac:dyDescent="0.2">
      <c r="C166" s="67"/>
      <c r="D166" s="68"/>
      <c r="G166" s="69"/>
      <c r="I166" s="70"/>
      <c r="R166" s="71"/>
    </row>
    <row r="167" spans="3:18" s="62" customFormat="1" x14ac:dyDescent="0.2">
      <c r="C167" s="67"/>
      <c r="D167" s="68"/>
      <c r="G167" s="69"/>
      <c r="I167" s="70"/>
      <c r="R167" s="71"/>
    </row>
    <row r="168" spans="3:18" s="62" customFormat="1" x14ac:dyDescent="0.2">
      <c r="C168" s="67"/>
      <c r="D168" s="68"/>
      <c r="G168" s="69"/>
      <c r="I168" s="70"/>
      <c r="R168" s="71"/>
    </row>
    <row r="169" spans="3:18" s="62" customFormat="1" x14ac:dyDescent="0.2">
      <c r="C169" s="67"/>
      <c r="D169" s="68"/>
      <c r="G169" s="69"/>
      <c r="I169" s="70"/>
      <c r="R169" s="71"/>
    </row>
    <row r="170" spans="3:18" s="62" customFormat="1" x14ac:dyDescent="0.2">
      <c r="C170" s="67"/>
      <c r="D170" s="68"/>
      <c r="G170" s="69"/>
      <c r="I170" s="70"/>
      <c r="R170" s="71"/>
    </row>
    <row r="171" spans="3:18" s="62" customFormat="1" x14ac:dyDescent="0.2">
      <c r="C171" s="67"/>
      <c r="D171" s="68"/>
      <c r="G171" s="69"/>
      <c r="I171" s="70"/>
      <c r="R171" s="71"/>
    </row>
    <row r="172" spans="3:18" s="62" customFormat="1" x14ac:dyDescent="0.2">
      <c r="C172" s="67"/>
      <c r="D172" s="68"/>
      <c r="G172" s="69"/>
      <c r="I172" s="70"/>
      <c r="R172" s="71"/>
    </row>
    <row r="173" spans="3:18" s="62" customFormat="1" x14ac:dyDescent="0.2">
      <c r="C173" s="67"/>
      <c r="D173" s="68"/>
      <c r="G173" s="69"/>
      <c r="I173" s="70"/>
      <c r="R173" s="71"/>
    </row>
    <row r="174" spans="3:18" s="62" customFormat="1" x14ac:dyDescent="0.2">
      <c r="C174" s="67"/>
      <c r="D174" s="68"/>
      <c r="G174" s="69"/>
      <c r="I174" s="70"/>
      <c r="R174" s="71"/>
    </row>
    <row r="175" spans="3:18" s="62" customFormat="1" x14ac:dyDescent="0.2">
      <c r="C175" s="67"/>
      <c r="D175" s="68"/>
      <c r="G175" s="69"/>
      <c r="I175" s="70"/>
      <c r="R175" s="71"/>
    </row>
    <row r="176" spans="3:18" s="62" customFormat="1" x14ac:dyDescent="0.2">
      <c r="C176" s="67"/>
      <c r="D176" s="68"/>
      <c r="G176" s="69"/>
      <c r="I176" s="70"/>
      <c r="R176" s="71"/>
    </row>
    <row r="177" spans="3:18" s="62" customFormat="1" x14ac:dyDescent="0.2">
      <c r="C177" s="67"/>
      <c r="D177" s="68"/>
      <c r="G177" s="69"/>
      <c r="I177" s="70"/>
      <c r="R177" s="71"/>
    </row>
    <row r="178" spans="3:18" s="62" customFormat="1" x14ac:dyDescent="0.2">
      <c r="C178" s="67"/>
      <c r="D178" s="68"/>
      <c r="G178" s="69"/>
      <c r="I178" s="70"/>
      <c r="R178" s="71"/>
    </row>
    <row r="179" spans="3:18" s="62" customFormat="1" x14ac:dyDescent="0.2">
      <c r="C179" s="67"/>
      <c r="D179" s="68"/>
      <c r="G179" s="69"/>
      <c r="I179" s="70"/>
      <c r="R179" s="71"/>
    </row>
    <row r="180" spans="3:18" s="62" customFormat="1" x14ac:dyDescent="0.2">
      <c r="C180" s="67"/>
      <c r="D180" s="68"/>
      <c r="G180" s="69"/>
      <c r="I180" s="70"/>
      <c r="R180" s="71"/>
    </row>
    <row r="181" spans="3:18" s="62" customFormat="1" x14ac:dyDescent="0.2">
      <c r="C181" s="67"/>
      <c r="D181" s="68"/>
      <c r="G181" s="69"/>
      <c r="I181" s="70"/>
      <c r="R181" s="71"/>
    </row>
    <row r="182" spans="3:18" s="62" customFormat="1" x14ac:dyDescent="0.2">
      <c r="C182" s="67"/>
      <c r="D182" s="68"/>
      <c r="G182" s="69"/>
      <c r="I182" s="70"/>
      <c r="R182" s="71"/>
    </row>
    <row r="183" spans="3:18" s="62" customFormat="1" x14ac:dyDescent="0.2">
      <c r="C183" s="67"/>
      <c r="D183" s="68"/>
      <c r="G183" s="69"/>
      <c r="I183" s="70"/>
      <c r="R183" s="71"/>
    </row>
    <row r="184" spans="3:18" s="62" customFormat="1" x14ac:dyDescent="0.2">
      <c r="C184" s="67"/>
      <c r="D184" s="68"/>
      <c r="G184" s="69"/>
      <c r="I184" s="70"/>
      <c r="R184" s="71"/>
    </row>
    <row r="185" spans="3:18" s="62" customFormat="1" x14ac:dyDescent="0.2">
      <c r="C185" s="67"/>
      <c r="D185" s="68"/>
      <c r="G185" s="69"/>
      <c r="I185" s="70"/>
      <c r="R185" s="71"/>
    </row>
    <row r="186" spans="3:18" s="62" customFormat="1" x14ac:dyDescent="0.2">
      <c r="C186" s="67"/>
      <c r="D186" s="68"/>
      <c r="G186" s="69"/>
      <c r="I186" s="70"/>
      <c r="R186" s="71"/>
    </row>
    <row r="187" spans="3:18" s="62" customFormat="1" x14ac:dyDescent="0.2">
      <c r="C187" s="67"/>
      <c r="D187" s="68"/>
      <c r="G187" s="69"/>
      <c r="I187" s="70"/>
      <c r="R187" s="71"/>
    </row>
    <row r="188" spans="3:18" s="62" customFormat="1" x14ac:dyDescent="0.2">
      <c r="C188" s="67"/>
      <c r="D188" s="68"/>
      <c r="G188" s="69"/>
      <c r="I188" s="70"/>
      <c r="R188" s="71"/>
    </row>
    <row r="189" spans="3:18" s="62" customFormat="1" x14ac:dyDescent="0.2">
      <c r="C189" s="67"/>
      <c r="D189" s="68"/>
      <c r="G189" s="69"/>
      <c r="I189" s="70"/>
      <c r="R189" s="71"/>
    </row>
    <row r="190" spans="3:18" s="62" customFormat="1" x14ac:dyDescent="0.2">
      <c r="C190" s="67"/>
      <c r="D190" s="68"/>
      <c r="G190" s="69"/>
      <c r="I190" s="70"/>
      <c r="R190" s="71"/>
    </row>
    <row r="191" spans="3:18" s="62" customFormat="1" x14ac:dyDescent="0.2">
      <c r="C191" s="67"/>
      <c r="D191" s="68"/>
      <c r="G191" s="69"/>
      <c r="I191" s="70"/>
      <c r="R191" s="71"/>
    </row>
    <row r="192" spans="3:18" s="62" customFormat="1" x14ac:dyDescent="0.2">
      <c r="C192" s="67"/>
      <c r="D192" s="68"/>
      <c r="G192" s="69"/>
      <c r="I192" s="70"/>
      <c r="R192" s="71"/>
    </row>
    <row r="193" spans="3:18" s="62" customFormat="1" x14ac:dyDescent="0.2">
      <c r="C193" s="67"/>
      <c r="D193" s="68"/>
      <c r="G193" s="69"/>
      <c r="I193" s="70"/>
      <c r="R193" s="71"/>
    </row>
    <row r="194" spans="3:18" s="62" customFormat="1" x14ac:dyDescent="0.2">
      <c r="C194" s="67"/>
      <c r="D194" s="68"/>
      <c r="G194" s="69"/>
      <c r="I194" s="70"/>
      <c r="R194" s="71"/>
    </row>
    <row r="195" spans="3:18" s="62" customFormat="1" x14ac:dyDescent="0.2">
      <c r="C195" s="67"/>
      <c r="D195" s="68"/>
      <c r="G195" s="69"/>
      <c r="I195" s="70"/>
      <c r="R195" s="71"/>
    </row>
    <row r="196" spans="3:18" s="62" customFormat="1" x14ac:dyDescent="0.2">
      <c r="C196" s="67"/>
      <c r="D196" s="68"/>
      <c r="G196" s="69"/>
      <c r="I196" s="70"/>
      <c r="R196" s="71"/>
    </row>
    <row r="197" spans="3:18" s="62" customFormat="1" x14ac:dyDescent="0.2">
      <c r="C197" s="67"/>
      <c r="D197" s="68"/>
      <c r="G197" s="69"/>
      <c r="I197" s="70"/>
      <c r="R197" s="71"/>
    </row>
    <row r="198" spans="3:18" s="62" customFormat="1" x14ac:dyDescent="0.2">
      <c r="C198" s="67"/>
      <c r="D198" s="68"/>
      <c r="G198" s="69"/>
      <c r="I198" s="70"/>
      <c r="R198" s="71"/>
    </row>
    <row r="199" spans="3:18" s="62" customFormat="1" x14ac:dyDescent="0.2">
      <c r="C199" s="67"/>
      <c r="D199" s="68"/>
      <c r="G199" s="69"/>
      <c r="I199" s="70"/>
      <c r="R199" s="71"/>
    </row>
    <row r="200" spans="3:18" s="62" customFormat="1" x14ac:dyDescent="0.2">
      <c r="C200" s="67"/>
      <c r="D200" s="68"/>
      <c r="G200" s="69"/>
      <c r="I200" s="70"/>
      <c r="R200" s="71"/>
    </row>
    <row r="201" spans="3:18" s="62" customFormat="1" x14ac:dyDescent="0.2">
      <c r="C201" s="67"/>
      <c r="D201" s="68"/>
      <c r="G201" s="69"/>
      <c r="I201" s="70"/>
      <c r="R201" s="71"/>
    </row>
    <row r="202" spans="3:18" s="62" customFormat="1" x14ac:dyDescent="0.2">
      <c r="C202" s="67"/>
      <c r="D202" s="68"/>
      <c r="G202" s="69"/>
      <c r="I202" s="70"/>
      <c r="R202" s="71"/>
    </row>
    <row r="203" spans="3:18" s="62" customFormat="1" x14ac:dyDescent="0.2">
      <c r="C203" s="67"/>
      <c r="D203" s="68"/>
      <c r="G203" s="69"/>
      <c r="I203" s="70"/>
      <c r="R203" s="71"/>
    </row>
    <row r="204" spans="3:18" s="62" customFormat="1" x14ac:dyDescent="0.2">
      <c r="C204" s="67"/>
      <c r="D204" s="68"/>
      <c r="G204" s="69"/>
      <c r="I204" s="70"/>
      <c r="R204" s="71"/>
    </row>
    <row r="205" spans="3:18" s="62" customFormat="1" x14ac:dyDescent="0.2">
      <c r="C205" s="67"/>
      <c r="D205" s="68"/>
      <c r="G205" s="69"/>
      <c r="I205" s="70"/>
      <c r="R205" s="71"/>
    </row>
    <row r="206" spans="3:18" s="62" customFormat="1" x14ac:dyDescent="0.2">
      <c r="C206" s="67"/>
      <c r="D206" s="68"/>
      <c r="G206" s="69"/>
      <c r="I206" s="70"/>
      <c r="R206" s="71"/>
    </row>
    <row r="207" spans="3:18" s="62" customFormat="1" x14ac:dyDescent="0.2">
      <c r="C207" s="67"/>
      <c r="D207" s="68"/>
      <c r="G207" s="69"/>
      <c r="I207" s="70"/>
      <c r="R207" s="71"/>
    </row>
    <row r="208" spans="3:18" s="62" customFormat="1" x14ac:dyDescent="0.2">
      <c r="C208" s="67"/>
      <c r="D208" s="68"/>
      <c r="G208" s="69"/>
      <c r="I208" s="70"/>
      <c r="R208" s="71"/>
    </row>
    <row r="209" spans="3:18" s="62" customFormat="1" x14ac:dyDescent="0.2">
      <c r="C209" s="67"/>
      <c r="D209" s="68"/>
      <c r="G209" s="69"/>
      <c r="I209" s="70"/>
      <c r="R209" s="71"/>
    </row>
    <row r="210" spans="3:18" s="62" customFormat="1" x14ac:dyDescent="0.2">
      <c r="C210" s="67"/>
      <c r="D210" s="68"/>
      <c r="G210" s="69"/>
      <c r="I210" s="70"/>
      <c r="R210" s="71"/>
    </row>
    <row r="211" spans="3:18" s="62" customFormat="1" x14ac:dyDescent="0.2">
      <c r="C211" s="67"/>
      <c r="D211" s="68"/>
      <c r="G211" s="69"/>
      <c r="I211" s="70"/>
      <c r="R211" s="71"/>
    </row>
    <row r="212" spans="3:18" s="62" customFormat="1" x14ac:dyDescent="0.2">
      <c r="C212" s="67"/>
      <c r="D212" s="68"/>
      <c r="G212" s="69"/>
      <c r="I212" s="70"/>
      <c r="R212" s="71"/>
    </row>
    <row r="213" spans="3:18" s="62" customFormat="1" x14ac:dyDescent="0.2">
      <c r="C213" s="67"/>
      <c r="D213" s="68"/>
      <c r="G213" s="69"/>
      <c r="I213" s="70"/>
      <c r="R213" s="71"/>
    </row>
    <row r="214" spans="3:18" s="62" customFormat="1" x14ac:dyDescent="0.2">
      <c r="C214" s="67"/>
      <c r="D214" s="68"/>
      <c r="G214" s="69"/>
      <c r="I214" s="70"/>
      <c r="R214" s="71"/>
    </row>
    <row r="215" spans="3:18" s="62" customFormat="1" x14ac:dyDescent="0.2">
      <c r="C215" s="67"/>
      <c r="D215" s="68"/>
      <c r="G215" s="69"/>
      <c r="I215" s="70"/>
      <c r="R215" s="71"/>
    </row>
    <row r="216" spans="3:18" s="62" customFormat="1" x14ac:dyDescent="0.2">
      <c r="C216" s="67"/>
      <c r="D216" s="68"/>
      <c r="G216" s="69"/>
      <c r="I216" s="70"/>
      <c r="R216" s="71"/>
    </row>
    <row r="217" spans="3:18" s="62" customFormat="1" x14ac:dyDescent="0.2">
      <c r="C217" s="67"/>
      <c r="D217" s="68"/>
      <c r="G217" s="69"/>
      <c r="I217" s="70"/>
      <c r="R217" s="71"/>
    </row>
    <row r="218" spans="3:18" s="62" customFormat="1" x14ac:dyDescent="0.2">
      <c r="C218" s="67"/>
      <c r="D218" s="68"/>
      <c r="G218" s="69"/>
      <c r="I218" s="70"/>
      <c r="R218" s="71"/>
    </row>
    <row r="219" spans="3:18" s="62" customFormat="1" x14ac:dyDescent="0.2">
      <c r="C219" s="67"/>
      <c r="D219" s="68"/>
      <c r="G219" s="69"/>
      <c r="I219" s="70"/>
      <c r="R219" s="71"/>
    </row>
    <row r="220" spans="3:18" s="62" customFormat="1" x14ac:dyDescent="0.2">
      <c r="C220" s="67"/>
      <c r="D220" s="68"/>
      <c r="G220" s="69"/>
      <c r="I220" s="70"/>
      <c r="R220" s="71"/>
    </row>
    <row r="221" spans="3:18" s="62" customFormat="1" x14ac:dyDescent="0.2">
      <c r="C221" s="67"/>
      <c r="D221" s="68"/>
      <c r="G221" s="69"/>
      <c r="I221" s="70"/>
      <c r="R221" s="71"/>
    </row>
    <row r="222" spans="3:18" s="62" customFormat="1" x14ac:dyDescent="0.2">
      <c r="C222" s="67"/>
      <c r="D222" s="68"/>
      <c r="G222" s="69"/>
      <c r="I222" s="70"/>
      <c r="R222" s="71"/>
    </row>
    <row r="223" spans="3:18" s="62" customFormat="1" x14ac:dyDescent="0.2">
      <c r="C223" s="67"/>
      <c r="D223" s="68"/>
      <c r="G223" s="69"/>
      <c r="I223" s="70"/>
      <c r="R223" s="71"/>
    </row>
    <row r="224" spans="3:18" s="62" customFormat="1" x14ac:dyDescent="0.2">
      <c r="C224" s="67"/>
      <c r="D224" s="68"/>
      <c r="G224" s="69"/>
      <c r="I224" s="70"/>
      <c r="R224" s="71"/>
    </row>
    <row r="225" spans="3:18" s="62" customFormat="1" x14ac:dyDescent="0.2">
      <c r="C225" s="67"/>
      <c r="D225" s="68"/>
      <c r="G225" s="69"/>
      <c r="I225" s="70"/>
      <c r="R225" s="71"/>
    </row>
    <row r="226" spans="3:18" s="62" customFormat="1" x14ac:dyDescent="0.2">
      <c r="C226" s="67"/>
      <c r="D226" s="68"/>
      <c r="G226" s="69"/>
      <c r="I226" s="70"/>
      <c r="R226" s="71"/>
    </row>
    <row r="227" spans="3:18" s="62" customFormat="1" x14ac:dyDescent="0.2">
      <c r="C227" s="67"/>
      <c r="D227" s="68"/>
      <c r="G227" s="69"/>
      <c r="I227" s="70"/>
      <c r="R227" s="71"/>
    </row>
    <row r="228" spans="3:18" s="62" customFormat="1" x14ac:dyDescent="0.2">
      <c r="C228" s="67"/>
      <c r="D228" s="68"/>
      <c r="G228" s="69"/>
      <c r="I228" s="70"/>
      <c r="R228" s="71"/>
    </row>
    <row r="229" spans="3:18" s="62" customFormat="1" x14ac:dyDescent="0.2">
      <c r="C229" s="67"/>
      <c r="D229" s="68"/>
      <c r="G229" s="69"/>
      <c r="I229" s="70"/>
      <c r="R229" s="71"/>
    </row>
    <row r="230" spans="3:18" s="62" customFormat="1" x14ac:dyDescent="0.2">
      <c r="C230" s="67"/>
      <c r="D230" s="68"/>
      <c r="G230" s="69"/>
      <c r="I230" s="70"/>
      <c r="R230" s="71"/>
    </row>
    <row r="231" spans="3:18" s="62" customFormat="1" x14ac:dyDescent="0.2">
      <c r="C231" s="67"/>
      <c r="D231" s="68"/>
      <c r="G231" s="69"/>
      <c r="I231" s="70"/>
      <c r="R231" s="71"/>
    </row>
    <row r="232" spans="3:18" s="62" customFormat="1" x14ac:dyDescent="0.2">
      <c r="C232" s="67"/>
      <c r="D232" s="68"/>
      <c r="G232" s="69"/>
      <c r="I232" s="70"/>
      <c r="R232" s="71"/>
    </row>
    <row r="233" spans="3:18" s="62" customFormat="1" x14ac:dyDescent="0.2">
      <c r="C233" s="67"/>
      <c r="D233" s="68"/>
      <c r="G233" s="69"/>
      <c r="I233" s="70"/>
      <c r="R233" s="71"/>
    </row>
    <row r="234" spans="3:18" s="62" customFormat="1" x14ac:dyDescent="0.2">
      <c r="C234" s="67"/>
      <c r="D234" s="68"/>
      <c r="G234" s="69"/>
      <c r="I234" s="70"/>
      <c r="R234" s="71"/>
    </row>
    <row r="235" spans="3:18" s="62" customFormat="1" x14ac:dyDescent="0.2">
      <c r="C235" s="67"/>
      <c r="D235" s="68"/>
      <c r="G235" s="69"/>
      <c r="I235" s="70"/>
      <c r="R235" s="71"/>
    </row>
    <row r="236" spans="3:18" s="62" customFormat="1" x14ac:dyDescent="0.2">
      <c r="C236" s="67"/>
      <c r="D236" s="68"/>
      <c r="G236" s="69"/>
      <c r="I236" s="70"/>
      <c r="R236" s="71"/>
    </row>
    <row r="237" spans="3:18" s="62" customFormat="1" x14ac:dyDescent="0.2">
      <c r="C237" s="67"/>
      <c r="D237" s="68"/>
      <c r="G237" s="69"/>
      <c r="I237" s="70"/>
      <c r="R237" s="71"/>
    </row>
    <row r="238" spans="3:18" s="62" customFormat="1" x14ac:dyDescent="0.2">
      <c r="C238" s="67"/>
      <c r="D238" s="68"/>
      <c r="G238" s="69"/>
      <c r="I238" s="70"/>
      <c r="R238" s="71"/>
    </row>
    <row r="239" spans="3:18" s="62" customFormat="1" x14ac:dyDescent="0.2">
      <c r="C239" s="67"/>
      <c r="D239" s="68"/>
      <c r="G239" s="69"/>
      <c r="I239" s="70"/>
      <c r="R239" s="71"/>
    </row>
    <row r="240" spans="3:18" s="62" customFormat="1" x14ac:dyDescent="0.2">
      <c r="C240" s="67"/>
      <c r="D240" s="68"/>
      <c r="G240" s="69"/>
      <c r="I240" s="70"/>
      <c r="R240" s="71"/>
    </row>
    <row r="241" spans="3:18" s="62" customFormat="1" x14ac:dyDescent="0.2">
      <c r="C241" s="67"/>
      <c r="D241" s="68"/>
      <c r="G241" s="69"/>
      <c r="I241" s="70"/>
      <c r="R241" s="71"/>
    </row>
    <row r="242" spans="3:18" s="62" customFormat="1" x14ac:dyDescent="0.2">
      <c r="C242" s="67"/>
      <c r="D242" s="68"/>
      <c r="G242" s="69"/>
      <c r="I242" s="70"/>
      <c r="R242" s="71"/>
    </row>
    <row r="243" spans="3:18" s="62" customFormat="1" x14ac:dyDescent="0.2">
      <c r="C243" s="67"/>
      <c r="D243" s="68"/>
      <c r="G243" s="69"/>
      <c r="I243" s="70"/>
      <c r="R243" s="71"/>
    </row>
    <row r="244" spans="3:18" s="62" customFormat="1" x14ac:dyDescent="0.2">
      <c r="C244" s="67"/>
      <c r="D244" s="68"/>
      <c r="G244" s="69"/>
      <c r="I244" s="70"/>
      <c r="R244" s="71"/>
    </row>
    <row r="245" spans="3:18" s="62" customFormat="1" x14ac:dyDescent="0.2">
      <c r="C245" s="67"/>
      <c r="D245" s="68"/>
      <c r="G245" s="69"/>
      <c r="I245" s="70"/>
      <c r="R245" s="71"/>
    </row>
    <row r="246" spans="3:18" s="62" customFormat="1" x14ac:dyDescent="0.2">
      <c r="C246" s="67"/>
      <c r="D246" s="68"/>
      <c r="G246" s="69"/>
      <c r="I246" s="70"/>
      <c r="R246" s="71"/>
    </row>
    <row r="247" spans="3:18" s="62" customFormat="1" x14ac:dyDescent="0.2">
      <c r="C247" s="67"/>
      <c r="D247" s="68"/>
      <c r="G247" s="69"/>
      <c r="I247" s="70"/>
      <c r="R247" s="71"/>
    </row>
    <row r="248" spans="3:18" s="62" customFormat="1" x14ac:dyDescent="0.2">
      <c r="C248" s="67"/>
      <c r="D248" s="68"/>
      <c r="G248" s="69"/>
      <c r="I248" s="70"/>
      <c r="R248" s="71"/>
    </row>
    <row r="249" spans="3:18" s="62" customFormat="1" x14ac:dyDescent="0.2">
      <c r="C249" s="67"/>
      <c r="D249" s="68"/>
      <c r="G249" s="69"/>
      <c r="I249" s="70"/>
      <c r="R249" s="71"/>
    </row>
    <row r="250" spans="3:18" s="62" customFormat="1" x14ac:dyDescent="0.2">
      <c r="C250" s="67"/>
      <c r="D250" s="68"/>
      <c r="G250" s="69"/>
      <c r="I250" s="70"/>
      <c r="R250" s="71"/>
    </row>
    <row r="251" spans="3:18" s="62" customFormat="1" x14ac:dyDescent="0.2">
      <c r="C251" s="67"/>
      <c r="D251" s="68"/>
      <c r="G251" s="69"/>
      <c r="I251" s="70"/>
      <c r="R251" s="71"/>
    </row>
    <row r="252" spans="3:18" s="62" customFormat="1" x14ac:dyDescent="0.2">
      <c r="C252" s="67"/>
      <c r="D252" s="68"/>
      <c r="G252" s="69"/>
      <c r="I252" s="70"/>
      <c r="R252" s="71"/>
    </row>
    <row r="253" spans="3:18" s="62" customFormat="1" x14ac:dyDescent="0.2">
      <c r="C253" s="67"/>
      <c r="D253" s="68"/>
      <c r="G253" s="69"/>
      <c r="I253" s="70"/>
      <c r="R253" s="71"/>
    </row>
    <row r="254" spans="3:18" s="62" customFormat="1" x14ac:dyDescent="0.2">
      <c r="C254" s="67"/>
      <c r="D254" s="68"/>
      <c r="G254" s="69"/>
      <c r="I254" s="70"/>
      <c r="R254" s="71"/>
    </row>
    <row r="255" spans="3:18" s="62" customFormat="1" x14ac:dyDescent="0.2">
      <c r="C255" s="67"/>
      <c r="D255" s="68"/>
      <c r="G255" s="69"/>
      <c r="I255" s="70"/>
      <c r="R255" s="71"/>
    </row>
    <row r="256" spans="3:18" s="62" customFormat="1" x14ac:dyDescent="0.2">
      <c r="C256" s="67"/>
      <c r="D256" s="68"/>
      <c r="G256" s="69"/>
      <c r="I256" s="70"/>
      <c r="R256" s="71"/>
    </row>
    <row r="257" spans="3:18" s="62" customFormat="1" x14ac:dyDescent="0.2">
      <c r="C257" s="67"/>
      <c r="D257" s="68"/>
      <c r="G257" s="69"/>
      <c r="I257" s="70"/>
      <c r="R257" s="71"/>
    </row>
    <row r="258" spans="3:18" s="62" customFormat="1" x14ac:dyDescent="0.2">
      <c r="C258" s="67"/>
      <c r="D258" s="68"/>
      <c r="G258" s="69"/>
      <c r="I258" s="70"/>
      <c r="R258" s="71"/>
    </row>
    <row r="259" spans="3:18" s="62" customFormat="1" x14ac:dyDescent="0.2">
      <c r="C259" s="67"/>
      <c r="D259" s="68"/>
      <c r="G259" s="69"/>
      <c r="I259" s="70"/>
      <c r="R259" s="71"/>
    </row>
    <row r="260" spans="3:18" s="62" customFormat="1" x14ac:dyDescent="0.2">
      <c r="C260" s="67"/>
      <c r="D260" s="68"/>
      <c r="G260" s="69"/>
      <c r="I260" s="70"/>
      <c r="R260" s="71"/>
    </row>
    <row r="261" spans="3:18" s="62" customFormat="1" x14ac:dyDescent="0.2">
      <c r="C261" s="67"/>
      <c r="D261" s="68"/>
      <c r="G261" s="69"/>
      <c r="I261" s="70"/>
      <c r="R261" s="71"/>
    </row>
    <row r="262" spans="3:18" s="62" customFormat="1" x14ac:dyDescent="0.2">
      <c r="C262" s="67"/>
      <c r="D262" s="68"/>
      <c r="G262" s="69"/>
      <c r="I262" s="70"/>
      <c r="R262" s="71"/>
    </row>
    <row r="263" spans="3:18" s="62" customFormat="1" x14ac:dyDescent="0.2">
      <c r="C263" s="67"/>
      <c r="D263" s="68"/>
      <c r="G263" s="69"/>
      <c r="I263" s="70"/>
      <c r="R263" s="71"/>
    </row>
    <row r="264" spans="3:18" s="62" customFormat="1" x14ac:dyDescent="0.2">
      <c r="C264" s="67"/>
      <c r="D264" s="68"/>
      <c r="G264" s="69"/>
      <c r="I264" s="70"/>
      <c r="R264" s="71"/>
    </row>
    <row r="265" spans="3:18" s="62" customFormat="1" x14ac:dyDescent="0.2">
      <c r="C265" s="67"/>
      <c r="D265" s="68"/>
      <c r="G265" s="69"/>
      <c r="I265" s="70"/>
      <c r="R265" s="71"/>
    </row>
    <row r="266" spans="3:18" s="62" customFormat="1" x14ac:dyDescent="0.2">
      <c r="C266" s="67"/>
      <c r="D266" s="68"/>
      <c r="G266" s="69"/>
      <c r="I266" s="70"/>
      <c r="R266" s="71"/>
    </row>
    <row r="267" spans="3:18" s="62" customFormat="1" x14ac:dyDescent="0.2">
      <c r="C267" s="67"/>
      <c r="D267" s="68"/>
      <c r="G267" s="69"/>
      <c r="I267" s="70"/>
      <c r="R267" s="71"/>
    </row>
    <row r="268" spans="3:18" s="62" customFormat="1" x14ac:dyDescent="0.2">
      <c r="C268" s="67"/>
      <c r="D268" s="68"/>
      <c r="G268" s="69"/>
      <c r="I268" s="70"/>
      <c r="R268" s="71"/>
    </row>
    <row r="269" spans="3:18" s="62" customFormat="1" x14ac:dyDescent="0.2">
      <c r="C269" s="67"/>
      <c r="D269" s="68"/>
      <c r="G269" s="69"/>
      <c r="I269" s="70"/>
      <c r="R269" s="71"/>
    </row>
    <row r="270" spans="3:18" s="62" customFormat="1" x14ac:dyDescent="0.2">
      <c r="C270" s="67"/>
      <c r="D270" s="68"/>
      <c r="G270" s="69"/>
      <c r="I270" s="70"/>
      <c r="R270" s="71"/>
    </row>
    <row r="271" spans="3:18" s="62" customFormat="1" x14ac:dyDescent="0.2">
      <c r="C271" s="67"/>
      <c r="D271" s="68"/>
      <c r="G271" s="69"/>
      <c r="I271" s="70"/>
      <c r="R271" s="71"/>
    </row>
    <row r="272" spans="3:18" s="62" customFormat="1" x14ac:dyDescent="0.2">
      <c r="C272" s="67"/>
      <c r="D272" s="68"/>
      <c r="G272" s="69"/>
      <c r="I272" s="70"/>
      <c r="R272" s="71"/>
    </row>
    <row r="273" spans="3:18" s="62" customFormat="1" x14ac:dyDescent="0.2">
      <c r="C273" s="67"/>
      <c r="D273" s="68"/>
      <c r="G273" s="69"/>
      <c r="I273" s="70"/>
      <c r="R273" s="71"/>
    </row>
    <row r="274" spans="3:18" s="62" customFormat="1" x14ac:dyDescent="0.2">
      <c r="C274" s="67"/>
      <c r="D274" s="68"/>
      <c r="G274" s="69"/>
      <c r="I274" s="70"/>
      <c r="R274" s="71"/>
    </row>
    <row r="275" spans="3:18" s="62" customFormat="1" x14ac:dyDescent="0.2">
      <c r="C275" s="67"/>
      <c r="D275" s="68"/>
      <c r="G275" s="69"/>
      <c r="I275" s="70"/>
      <c r="R275" s="71"/>
    </row>
    <row r="276" spans="3:18" s="62" customFormat="1" x14ac:dyDescent="0.2">
      <c r="C276" s="67"/>
      <c r="D276" s="68"/>
      <c r="G276" s="69"/>
      <c r="I276" s="70"/>
      <c r="R276" s="71"/>
    </row>
    <row r="277" spans="3:18" s="62" customFormat="1" x14ac:dyDescent="0.2">
      <c r="C277" s="67"/>
      <c r="D277" s="68"/>
      <c r="G277" s="69"/>
      <c r="I277" s="70"/>
      <c r="R277" s="71"/>
    </row>
    <row r="278" spans="3:18" s="62" customFormat="1" x14ac:dyDescent="0.2">
      <c r="C278" s="67"/>
      <c r="D278" s="68"/>
      <c r="G278" s="69"/>
      <c r="I278" s="70"/>
      <c r="R278" s="71"/>
    </row>
    <row r="279" spans="3:18" s="62" customFormat="1" x14ac:dyDescent="0.2">
      <c r="C279" s="67"/>
      <c r="D279" s="68"/>
      <c r="G279" s="69"/>
      <c r="I279" s="70"/>
      <c r="R279" s="71"/>
    </row>
    <row r="280" spans="3:18" s="62" customFormat="1" x14ac:dyDescent="0.2">
      <c r="C280" s="67"/>
      <c r="D280" s="68"/>
      <c r="G280" s="69"/>
      <c r="I280" s="70"/>
      <c r="R280" s="71"/>
    </row>
    <row r="281" spans="3:18" s="62" customFormat="1" x14ac:dyDescent="0.2">
      <c r="C281" s="67"/>
      <c r="D281" s="68"/>
      <c r="G281" s="69"/>
      <c r="I281" s="70"/>
      <c r="R281" s="71"/>
    </row>
    <row r="282" spans="3:18" s="62" customFormat="1" x14ac:dyDescent="0.2">
      <c r="C282" s="67"/>
      <c r="D282" s="68"/>
      <c r="G282" s="69"/>
      <c r="I282" s="70"/>
      <c r="R282" s="71"/>
    </row>
    <row r="283" spans="3:18" s="62" customFormat="1" x14ac:dyDescent="0.2">
      <c r="C283" s="67"/>
      <c r="D283" s="68"/>
      <c r="G283" s="69"/>
      <c r="I283" s="70"/>
      <c r="R283" s="71"/>
    </row>
    <row r="284" spans="3:18" s="62" customFormat="1" x14ac:dyDescent="0.2">
      <c r="C284" s="67"/>
      <c r="D284" s="68"/>
      <c r="G284" s="69"/>
      <c r="I284" s="70"/>
      <c r="R284" s="71"/>
    </row>
    <row r="285" spans="3:18" s="62" customFormat="1" x14ac:dyDescent="0.2">
      <c r="C285" s="67"/>
      <c r="D285" s="68"/>
      <c r="G285" s="69"/>
      <c r="I285" s="70"/>
      <c r="R285" s="71"/>
    </row>
    <row r="286" spans="3:18" s="62" customFormat="1" x14ac:dyDescent="0.2">
      <c r="C286" s="67"/>
      <c r="D286" s="68"/>
      <c r="G286" s="69"/>
      <c r="I286" s="70"/>
      <c r="R286" s="71"/>
    </row>
    <row r="287" spans="3:18" s="62" customFormat="1" x14ac:dyDescent="0.2">
      <c r="C287" s="67"/>
      <c r="D287" s="68"/>
      <c r="G287" s="69"/>
      <c r="I287" s="70"/>
      <c r="R287" s="71"/>
    </row>
    <row r="288" spans="3:18" s="62" customFormat="1" x14ac:dyDescent="0.2">
      <c r="C288" s="67"/>
      <c r="D288" s="68"/>
      <c r="G288" s="69"/>
      <c r="I288" s="70"/>
      <c r="R288" s="71"/>
    </row>
    <row r="289" spans="3:18" s="62" customFormat="1" x14ac:dyDescent="0.2">
      <c r="C289" s="67"/>
      <c r="D289" s="68"/>
      <c r="G289" s="69"/>
      <c r="I289" s="70"/>
      <c r="R289" s="71"/>
    </row>
    <row r="290" spans="3:18" s="62" customFormat="1" x14ac:dyDescent="0.2">
      <c r="C290" s="67"/>
      <c r="D290" s="68"/>
      <c r="G290" s="69"/>
      <c r="I290" s="70"/>
      <c r="R290" s="71"/>
    </row>
    <row r="291" spans="3:18" s="62" customFormat="1" x14ac:dyDescent="0.2">
      <c r="C291" s="67"/>
      <c r="D291" s="68"/>
      <c r="G291" s="69"/>
      <c r="I291" s="70"/>
      <c r="R291" s="71"/>
    </row>
    <row r="292" spans="3:18" s="62" customFormat="1" x14ac:dyDescent="0.2">
      <c r="C292" s="67"/>
      <c r="D292" s="68"/>
      <c r="G292" s="69"/>
      <c r="I292" s="70"/>
      <c r="R292" s="71"/>
    </row>
    <row r="293" spans="3:18" s="62" customFormat="1" x14ac:dyDescent="0.2">
      <c r="C293" s="67"/>
      <c r="D293" s="68"/>
      <c r="G293" s="69"/>
      <c r="I293" s="70"/>
      <c r="R293" s="71"/>
    </row>
    <row r="294" spans="3:18" s="62" customFormat="1" x14ac:dyDescent="0.2">
      <c r="C294" s="67"/>
      <c r="D294" s="68"/>
      <c r="G294" s="69"/>
      <c r="I294" s="70"/>
      <c r="R294" s="71"/>
    </row>
    <row r="295" spans="3:18" s="62" customFormat="1" x14ac:dyDescent="0.2">
      <c r="C295" s="67"/>
      <c r="D295" s="68"/>
      <c r="G295" s="69"/>
      <c r="I295" s="70"/>
      <c r="R295" s="71"/>
    </row>
    <row r="296" spans="3:18" s="62" customFormat="1" x14ac:dyDescent="0.2">
      <c r="C296" s="67"/>
      <c r="D296" s="68"/>
      <c r="G296" s="69"/>
      <c r="I296" s="70"/>
      <c r="R296" s="71"/>
    </row>
    <row r="297" spans="3:18" s="62" customFormat="1" x14ac:dyDescent="0.2">
      <c r="C297" s="67"/>
      <c r="D297" s="68"/>
      <c r="G297" s="69"/>
      <c r="I297" s="70"/>
      <c r="R297" s="71"/>
    </row>
    <row r="298" spans="3:18" s="62" customFormat="1" x14ac:dyDescent="0.2">
      <c r="C298" s="67"/>
      <c r="D298" s="68"/>
      <c r="G298" s="69"/>
      <c r="I298" s="70"/>
      <c r="R298" s="71"/>
    </row>
    <row r="299" spans="3:18" s="62" customFormat="1" x14ac:dyDescent="0.2">
      <c r="C299" s="67"/>
      <c r="D299" s="68"/>
      <c r="G299" s="69"/>
      <c r="I299" s="70"/>
      <c r="R299" s="71"/>
    </row>
    <row r="300" spans="3:18" s="62" customFormat="1" x14ac:dyDescent="0.2">
      <c r="C300" s="67"/>
      <c r="D300" s="68"/>
      <c r="G300" s="69"/>
      <c r="I300" s="70"/>
      <c r="R300" s="71"/>
    </row>
    <row r="301" spans="3:18" s="62" customFormat="1" x14ac:dyDescent="0.2">
      <c r="C301" s="67"/>
      <c r="D301" s="68"/>
      <c r="G301" s="69"/>
      <c r="I301" s="70"/>
      <c r="R301" s="71"/>
    </row>
    <row r="302" spans="3:18" s="62" customFormat="1" x14ac:dyDescent="0.2">
      <c r="C302" s="67"/>
      <c r="D302" s="68"/>
      <c r="G302" s="69"/>
      <c r="I302" s="70"/>
      <c r="R302" s="71"/>
    </row>
    <row r="303" spans="3:18" s="62" customFormat="1" x14ac:dyDescent="0.2">
      <c r="C303" s="67"/>
      <c r="D303" s="68"/>
      <c r="G303" s="69"/>
      <c r="I303" s="70"/>
      <c r="R303" s="71"/>
    </row>
  </sheetData>
  <sortState xmlns:xlrd2="http://schemas.microsoft.com/office/spreadsheetml/2017/richdata2" ref="A7:S7">
    <sortCondition descending="1" ref="L7"/>
    <sortCondition descending="1" ref="S7"/>
  </sortState>
  <mergeCells count="11">
    <mergeCell ref="A6:B6"/>
    <mergeCell ref="M6:P6"/>
    <mergeCell ref="I1:J3"/>
    <mergeCell ref="K1:Q1"/>
    <mergeCell ref="B2:D3"/>
    <mergeCell ref="E2:E3"/>
    <mergeCell ref="K2:Q2"/>
    <mergeCell ref="K3:Q3"/>
    <mergeCell ref="D5:E5"/>
    <mergeCell ref="H5:I5"/>
    <mergeCell ref="C4:I4"/>
  </mergeCells>
  <phoneticPr fontId="8" type="noConversion"/>
  <pageMargins left="0.36" right="0.39" top="0.98" bottom="0.98" header="0.5" footer="0.5"/>
  <pageSetup paperSize="9" scale="41" fitToHeight="10" orientation="portrait" horizontalDpi="300" verticalDpi="300"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50" r:id="rId4" name="Button 26">
              <controlPr defaultSize="0" print="0" autoFill="0" autoPict="0" macro="[0]!SorteerOpBaan">
                <anchor moveWithCells="1" sizeWithCells="1">
                  <from>
                    <xdr:col>0</xdr:col>
                    <xdr:colOff>28575</xdr:colOff>
                    <xdr:row>0</xdr:row>
                    <xdr:rowOff>66675</xdr:rowOff>
                  </from>
                  <to>
                    <xdr:col>3</xdr:col>
                    <xdr:colOff>304800</xdr:colOff>
                    <xdr:row>0</xdr:row>
                    <xdr:rowOff>361950</xdr:rowOff>
                  </to>
                </anchor>
              </controlPr>
            </control>
          </mc:Choice>
        </mc:AlternateContent>
        <mc:AlternateContent xmlns:mc="http://schemas.openxmlformats.org/markup-compatibility/2006">
          <mc:Choice Requires="x14">
            <control shapeId="1051" r:id="rId5" name="Button 27">
              <controlPr defaultSize="0" print="0" autoFill="0" autoPict="0" macro="[0]!Uitnodigingen">
                <anchor moveWithCells="1" sizeWithCells="1">
                  <from>
                    <xdr:col>4</xdr:col>
                    <xdr:colOff>66675</xdr:colOff>
                    <xdr:row>0</xdr:row>
                    <xdr:rowOff>66675</xdr:rowOff>
                  </from>
                  <to>
                    <xdr:col>4</xdr:col>
                    <xdr:colOff>1438275</xdr:colOff>
                    <xdr:row>0</xdr:row>
                    <xdr:rowOff>361950</xdr:rowOff>
                  </to>
                </anchor>
              </controlPr>
            </control>
          </mc:Choice>
        </mc:AlternateContent>
        <mc:AlternateContent xmlns:mc="http://schemas.openxmlformats.org/markup-compatibility/2006">
          <mc:Choice Requires="x14">
            <control shapeId="1052" r:id="rId6" name="Button 28">
              <controlPr defaultSize="0" print="0" autoFill="0" autoPict="0" macro="[0]!Afdrukken">
                <anchor moveWithCells="1" sizeWithCells="1">
                  <from>
                    <xdr:col>5</xdr:col>
                    <xdr:colOff>47625</xdr:colOff>
                    <xdr:row>0</xdr:row>
                    <xdr:rowOff>66675</xdr:rowOff>
                  </from>
                  <to>
                    <xdr:col>5</xdr:col>
                    <xdr:colOff>1171575</xdr:colOff>
                    <xdr:row>0</xdr:row>
                    <xdr:rowOff>371475</xdr:rowOff>
                  </to>
                </anchor>
              </controlPr>
            </control>
          </mc:Choice>
        </mc:AlternateContent>
        <mc:AlternateContent xmlns:mc="http://schemas.openxmlformats.org/markup-compatibility/2006">
          <mc:Choice Requires="x14">
            <control shapeId="1053" r:id="rId7" name="Button 29">
              <controlPr defaultSize="0" print="0" autoFill="0" autoPict="0" macro="[0]!FinaleRondes">
                <anchor moveWithCells="1" sizeWithCells="1">
                  <from>
                    <xdr:col>7</xdr:col>
                    <xdr:colOff>152400</xdr:colOff>
                    <xdr:row>0</xdr:row>
                    <xdr:rowOff>57150</xdr:rowOff>
                  </from>
                  <to>
                    <xdr:col>7</xdr:col>
                    <xdr:colOff>1123950</xdr:colOff>
                    <xdr:row>0</xdr:row>
                    <xdr:rowOff>381000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4">
    <pageSetUpPr fitToPage="1"/>
  </sheetPr>
  <dimension ref="A1:AL38"/>
  <sheetViews>
    <sheetView zoomScaleNormal="100" workbookViewId="0">
      <selection activeCell="A2" sqref="A2"/>
    </sheetView>
  </sheetViews>
  <sheetFormatPr defaultColWidth="0" defaultRowHeight="12.75" x14ac:dyDescent="0.2"/>
  <cols>
    <col min="1" max="1" width="4" style="1" customWidth="1"/>
    <col min="2" max="2" width="7" style="1" customWidth="1"/>
    <col min="3" max="3" width="26.42578125" style="1" customWidth="1"/>
    <col min="4" max="4" width="5.85546875" style="1" customWidth="1"/>
    <col min="5" max="9" width="2" style="1" customWidth="1"/>
    <col min="10" max="10" width="3.28515625" style="1" customWidth="1"/>
    <col min="11" max="11" width="7" style="1" customWidth="1"/>
    <col min="12" max="12" width="26.42578125" style="1" customWidth="1"/>
    <col min="13" max="13" width="5.85546875" style="1" customWidth="1"/>
    <col min="14" max="18" width="2" style="1" customWidth="1"/>
    <col min="19" max="19" width="3" style="1" customWidth="1"/>
    <col min="20" max="20" width="7" style="1" customWidth="1"/>
    <col min="21" max="21" width="26.42578125" style="1" customWidth="1"/>
    <col min="22" max="22" width="9.140625" style="1" customWidth="1"/>
    <col min="23" max="27" width="2" style="1" customWidth="1"/>
    <col min="28" max="28" width="2.42578125" style="1" customWidth="1"/>
    <col min="29" max="29" width="7" style="1" customWidth="1"/>
    <col min="30" max="30" width="26.42578125" style="1" customWidth="1"/>
    <col min="31" max="31" width="9.140625" style="1" customWidth="1"/>
    <col min="32" max="36" width="2" style="1" customWidth="1"/>
    <col min="37" max="37" width="2.5703125" style="1" customWidth="1"/>
    <col min="38" max="38" width="3.140625" style="1" customWidth="1"/>
    <col min="39" max="16384" width="9.140625" style="1" hidden="1"/>
  </cols>
  <sheetData>
    <row r="1" spans="1:38" ht="18" x14ac:dyDescent="0.25">
      <c r="A1" s="26"/>
      <c r="B1" s="96" t="str">
        <f ca="1">"Finales "&amp;Voorronde!C4</f>
        <v>Finales Rayonkampioenschappen Indoor 2023, Recurve</v>
      </c>
      <c r="C1" s="96"/>
      <c r="D1" s="96"/>
      <c r="E1" s="96"/>
      <c r="F1" s="96"/>
      <c r="G1" s="96"/>
      <c r="H1" s="96"/>
      <c r="I1" s="96"/>
      <c r="J1" s="96"/>
      <c r="K1" s="96"/>
      <c r="L1" s="96"/>
      <c r="M1" s="96"/>
      <c r="N1" s="96"/>
      <c r="O1" s="96"/>
      <c r="P1" s="96"/>
      <c r="Q1" s="96"/>
      <c r="R1" s="96"/>
      <c r="S1" s="96"/>
      <c r="T1" s="96"/>
      <c r="U1" s="96"/>
      <c r="V1" s="96"/>
      <c r="W1" s="96"/>
      <c r="X1" s="96"/>
      <c r="Y1" s="96"/>
      <c r="Z1" s="96"/>
      <c r="AA1" s="96"/>
      <c r="AB1" s="96"/>
      <c r="AC1" s="96"/>
      <c r="AD1" s="96"/>
      <c r="AE1" s="96"/>
      <c r="AF1" s="96"/>
      <c r="AG1" s="96"/>
      <c r="AH1" s="96"/>
      <c r="AI1" s="96"/>
      <c r="AJ1" s="96"/>
      <c r="AK1" s="96"/>
      <c r="AL1" s="27"/>
    </row>
    <row r="2" spans="1:38" x14ac:dyDescent="0.2">
      <c r="B2" s="7"/>
      <c r="C2" s="7"/>
      <c r="D2" s="7"/>
      <c r="E2" s="7"/>
      <c r="F2" s="7"/>
      <c r="G2" s="7"/>
      <c r="H2" s="7"/>
      <c r="I2" s="7"/>
      <c r="J2" s="7"/>
      <c r="K2" s="7"/>
      <c r="L2" s="7"/>
      <c r="M2" s="7"/>
      <c r="N2" s="7"/>
      <c r="O2" s="7"/>
      <c r="P2" s="7"/>
      <c r="Q2" s="7"/>
      <c r="R2" s="7"/>
      <c r="S2" s="7"/>
      <c r="T2" s="7"/>
      <c r="U2" s="7"/>
      <c r="V2" s="7"/>
      <c r="W2" s="7"/>
      <c r="X2" s="7"/>
      <c r="Y2" s="7"/>
      <c r="Z2" s="7"/>
      <c r="AA2" s="7"/>
      <c r="AB2" s="7"/>
      <c r="AC2" s="7"/>
      <c r="AD2" s="7"/>
      <c r="AE2" s="7"/>
    </row>
    <row r="3" spans="1:38" x14ac:dyDescent="0.2">
      <c r="B3" s="4"/>
      <c r="C3" s="97" t="s">
        <v>16</v>
      </c>
      <c r="D3" s="97"/>
      <c r="E3" s="97"/>
      <c r="F3" s="97"/>
      <c r="G3" s="97"/>
      <c r="H3" s="97"/>
      <c r="I3" s="97"/>
      <c r="J3" s="7"/>
      <c r="K3" s="7"/>
      <c r="L3" s="97" t="s">
        <v>8</v>
      </c>
      <c r="M3" s="97"/>
      <c r="N3" s="97"/>
      <c r="O3" s="97"/>
      <c r="P3" s="97"/>
      <c r="Q3" s="97"/>
      <c r="R3" s="7"/>
      <c r="S3" s="7"/>
      <c r="T3" s="7"/>
      <c r="U3" s="97" t="s">
        <v>17</v>
      </c>
      <c r="V3" s="97"/>
      <c r="W3" s="97"/>
      <c r="X3" s="97"/>
      <c r="Y3" s="97"/>
      <c r="Z3" s="97"/>
      <c r="AA3" s="7"/>
      <c r="AB3" s="7"/>
      <c r="AC3" s="7"/>
      <c r="AD3" s="97" t="s">
        <v>9</v>
      </c>
      <c r="AE3" s="97"/>
    </row>
    <row r="4" spans="1:38" x14ac:dyDescent="0.2">
      <c r="D4" s="1" t="s">
        <v>10</v>
      </c>
      <c r="E4" s="100" t="s">
        <v>7</v>
      </c>
      <c r="F4" s="100"/>
      <c r="G4" s="100"/>
      <c r="H4" s="100"/>
      <c r="I4" s="100"/>
      <c r="J4" s="6"/>
      <c r="S4" s="6"/>
      <c r="AB4" s="6"/>
      <c r="AF4" s="101"/>
      <c r="AG4" s="101"/>
      <c r="AH4" s="101"/>
      <c r="AI4" s="101"/>
      <c r="AJ4" s="101"/>
    </row>
    <row r="5" spans="1:38" x14ac:dyDescent="0.2">
      <c r="A5" s="1">
        <v>1</v>
      </c>
      <c r="B5" s="18"/>
      <c r="C5" s="19"/>
      <c r="D5" s="20"/>
      <c r="F5" s="17"/>
      <c r="G5" s="17"/>
      <c r="H5" s="17"/>
      <c r="I5" s="21">
        <f>E5/100+F5/10000+G5/1000000+H5/100000000</f>
        <v>0</v>
      </c>
      <c r="J5" s="45"/>
      <c r="M5" s="1" t="s">
        <v>10</v>
      </c>
      <c r="N5" s="101" t="s">
        <v>11</v>
      </c>
      <c r="O5" s="101"/>
      <c r="P5" s="101"/>
      <c r="Q5" s="101"/>
      <c r="R5" s="101"/>
    </row>
    <row r="6" spans="1:38" x14ac:dyDescent="0.2">
      <c r="B6" s="4"/>
      <c r="E6" s="99" t="str">
        <f>IF(AND(D5=D7,D5&lt;&gt;""),IF(I5&lt;&gt;I7,"","Shoot off"),"")</f>
        <v/>
      </c>
      <c r="F6" s="99"/>
      <c r="G6" s="99"/>
      <c r="H6" s="99"/>
      <c r="I6" s="99"/>
      <c r="J6" s="43"/>
      <c r="K6" s="22" t="str">
        <f>IF(D7&lt;&gt;"",IF((D5+H5)&gt;(D7+H7),B5,B7),"")</f>
        <v/>
      </c>
      <c r="L6" s="23" t="str">
        <f>IF(D7&lt;&gt;"",IF((D5+I5)&gt;(D7+I7),C5,C7),"")</f>
        <v/>
      </c>
      <c r="M6" s="20"/>
      <c r="N6" s="20"/>
      <c r="O6" s="20"/>
      <c r="P6" s="20"/>
      <c r="Q6" s="20"/>
      <c r="R6" s="24">
        <f>N6/100+O6/10000+P6/1000000+Q6/100000000</f>
        <v>0</v>
      </c>
      <c r="S6" s="45"/>
    </row>
    <row r="7" spans="1:38" x14ac:dyDescent="0.2">
      <c r="A7" s="1">
        <v>16</v>
      </c>
      <c r="B7" s="25"/>
      <c r="C7" s="20"/>
      <c r="D7" s="20"/>
      <c r="E7" s="17"/>
      <c r="F7" s="17"/>
      <c r="G7" s="17"/>
      <c r="H7" s="17"/>
      <c r="I7" s="21">
        <f>E7/100+F7/10000+G7/1000000+H7/100000000</f>
        <v>0</v>
      </c>
      <c r="J7" s="45"/>
      <c r="S7" s="44"/>
      <c r="V7" s="1" t="s">
        <v>10</v>
      </c>
      <c r="W7" s="100" t="s">
        <v>11</v>
      </c>
      <c r="X7" s="100"/>
      <c r="Y7" s="100"/>
      <c r="Z7" s="100"/>
      <c r="AA7" s="100"/>
    </row>
    <row r="8" spans="1:38" x14ac:dyDescent="0.2">
      <c r="B8" s="4"/>
      <c r="N8" s="98" t="str">
        <f>IF(AND(M6=M10,M6&lt;&gt;""),IF(R6&lt;&gt;R10,"","Shoot off"),"")</f>
        <v/>
      </c>
      <c r="O8" s="98"/>
      <c r="P8" s="98"/>
      <c r="Q8" s="98"/>
      <c r="R8" s="98"/>
      <c r="S8" s="43"/>
      <c r="T8" s="22" t="str">
        <f>IF(M10&lt;&gt;"",IF((M6+R6)&gt;(M10+R10),K6,K10),"")</f>
        <v/>
      </c>
      <c r="U8" s="23" t="str">
        <f>IF(M10&lt;&gt;"",IF((M6+R6)&gt;(M10+R10),L6,L10),"")</f>
        <v/>
      </c>
      <c r="V8" s="20"/>
      <c r="W8" s="20"/>
      <c r="X8" s="20"/>
      <c r="Y8" s="20"/>
      <c r="Z8" s="20"/>
      <c r="AA8" s="24">
        <f>W8/100+X8/10000+Y8/1000000+Z8/100000000</f>
        <v>0</v>
      </c>
      <c r="AB8" s="45"/>
    </row>
    <row r="9" spans="1:38" x14ac:dyDescent="0.2">
      <c r="A9" s="1">
        <v>9</v>
      </c>
      <c r="B9" s="18"/>
      <c r="C9" s="19"/>
      <c r="D9" s="20"/>
      <c r="E9" s="20"/>
      <c r="F9" s="20"/>
      <c r="G9" s="20"/>
      <c r="H9" s="20"/>
      <c r="I9" s="24">
        <f>E9/100+F9/10000+G9/1000000+H9/100000000</f>
        <v>0</v>
      </c>
      <c r="J9" s="45"/>
      <c r="S9" s="44"/>
      <c r="AB9" s="44"/>
    </row>
    <row r="10" spans="1:38" x14ac:dyDescent="0.2">
      <c r="B10" s="4"/>
      <c r="E10" s="99" t="str">
        <f>IF(AND(D9=D11,D9&lt;&gt;""),IF(I9&lt;&gt;I11,"","Shoot off"),"")</f>
        <v/>
      </c>
      <c r="F10" s="99"/>
      <c r="G10" s="99"/>
      <c r="H10" s="99"/>
      <c r="I10" s="99"/>
      <c r="J10" s="43"/>
      <c r="K10" s="22" t="str">
        <f>IF(D11&lt;&gt;"",IF((D9+H9)&gt;(D11+H11),B9,B11),"")</f>
        <v/>
      </c>
      <c r="L10" s="23" t="str">
        <f>IF(D11&lt;&gt;"",IF((D9+I9)&gt;(D11+I11),C9,C11),"")</f>
        <v/>
      </c>
      <c r="M10" s="20"/>
      <c r="N10" s="20"/>
      <c r="O10" s="20"/>
      <c r="P10" s="20"/>
      <c r="Q10" s="20"/>
      <c r="R10" s="24">
        <f>N10/100+O10/10000+P10/1000000+Q10/100000000</f>
        <v>0</v>
      </c>
      <c r="S10" s="45"/>
      <c r="AB10" s="44"/>
    </row>
    <row r="11" spans="1:38" x14ac:dyDescent="0.2">
      <c r="A11" s="1">
        <v>8</v>
      </c>
      <c r="B11" s="18"/>
      <c r="C11" s="19"/>
      <c r="D11" s="20"/>
      <c r="E11" s="17"/>
      <c r="F11" s="17"/>
      <c r="G11" s="17"/>
      <c r="H11" s="17"/>
      <c r="I11" s="21">
        <f>E11/100+F11/10000+G11/1000000+H11/100000000</f>
        <v>0</v>
      </c>
      <c r="J11" s="45"/>
      <c r="AB11" s="44"/>
      <c r="AE11" s="1" t="s">
        <v>10</v>
      </c>
      <c r="AF11" s="101" t="s">
        <v>11</v>
      </c>
      <c r="AG11" s="101"/>
      <c r="AH11" s="101"/>
      <c r="AI11" s="101"/>
      <c r="AJ11" s="101"/>
    </row>
    <row r="12" spans="1:38" x14ac:dyDescent="0.2">
      <c r="W12" s="98" t="str">
        <f>IF(AND(V8=V16,V8&lt;&gt;""),IF(AA8&lt;&gt;AA16,"","Shoot off"),"")</f>
        <v/>
      </c>
      <c r="X12" s="98"/>
      <c r="Y12" s="98"/>
      <c r="Z12" s="98"/>
      <c r="AA12" s="98"/>
      <c r="AB12" s="43"/>
      <c r="AC12" s="22" t="str">
        <f>IF(V8&lt;&gt;"",IF((V8+AA8)&gt;(V16+AA16),T8,T16),"")</f>
        <v/>
      </c>
      <c r="AD12" s="23" t="str">
        <f>IF(V16&lt;&gt;"",IF((V8+AA8)&gt;(V16+AA16),U8,U16),"")</f>
        <v/>
      </c>
      <c r="AE12" s="20"/>
      <c r="AF12" s="20"/>
      <c r="AG12" s="20"/>
      <c r="AH12" s="20"/>
      <c r="AI12" s="20"/>
      <c r="AJ12" s="24">
        <f>AF12/100+AG12/10000+AH12/1000000+AI12/100000000</f>
        <v>0</v>
      </c>
      <c r="AK12" s="44"/>
    </row>
    <row r="13" spans="1:38" x14ac:dyDescent="0.2">
      <c r="A13" s="1">
        <v>5</v>
      </c>
      <c r="B13" s="18"/>
      <c r="C13" s="19"/>
      <c r="D13" s="20"/>
      <c r="E13" s="20"/>
      <c r="F13" s="20"/>
      <c r="G13" s="20"/>
      <c r="H13" s="20"/>
      <c r="I13" s="24">
        <f>E13/100+F13/10000+G13/1000000+H13/100000000</f>
        <v>0</v>
      </c>
      <c r="J13" s="45"/>
      <c r="AB13" s="44"/>
      <c r="AK13" s="44"/>
    </row>
    <row r="14" spans="1:38" x14ac:dyDescent="0.2">
      <c r="E14" s="99" t="str">
        <f>IF(AND(D13=D15,D13&lt;&gt;""),IF(I13&lt;&gt;I15,"","Shoot off"),"")</f>
        <v/>
      </c>
      <c r="F14" s="99"/>
      <c r="G14" s="99"/>
      <c r="H14" s="99"/>
      <c r="I14" s="99"/>
      <c r="J14" s="43"/>
      <c r="K14" s="22" t="str">
        <f>IF(D15&lt;&gt;"",IF((D13+H13)&gt;(D15+H15),B13,B15),"")</f>
        <v/>
      </c>
      <c r="L14" s="23" t="str">
        <f>IF(D15&lt;&gt;"",IF((D13+I13)&gt;(D15+I15),C13,C15),"")</f>
        <v/>
      </c>
      <c r="M14" s="20"/>
      <c r="N14" s="20"/>
      <c r="O14" s="20"/>
      <c r="P14" s="20"/>
      <c r="Q14" s="20"/>
      <c r="R14" s="24">
        <f>N14/100+O14/10000+P14/1000000+Q14/100000000</f>
        <v>0</v>
      </c>
      <c r="S14" s="45"/>
      <c r="AB14" s="44"/>
      <c r="AK14" s="44"/>
    </row>
    <row r="15" spans="1:38" x14ac:dyDescent="0.2">
      <c r="A15" s="1">
        <v>12</v>
      </c>
      <c r="B15" s="25"/>
      <c r="C15" s="20"/>
      <c r="D15" s="20"/>
      <c r="E15" s="17"/>
      <c r="F15" s="17"/>
      <c r="G15" s="17"/>
      <c r="H15" s="17"/>
      <c r="I15" s="21">
        <f>E15/100+F15/10000+G15/1000000+H15/100000000</f>
        <v>0</v>
      </c>
      <c r="J15" s="45"/>
      <c r="S15" s="44"/>
      <c r="AB15" s="44"/>
      <c r="AK15" s="44"/>
    </row>
    <row r="16" spans="1:38" x14ac:dyDescent="0.2">
      <c r="N16" s="98" t="str">
        <f>IF(AND(M14=M18,M14&lt;&gt;""),IF(R14&lt;&gt;R18,"","Shoot off"),"")</f>
        <v/>
      </c>
      <c r="O16" s="98"/>
      <c r="P16" s="98"/>
      <c r="Q16" s="98"/>
      <c r="R16" s="98"/>
      <c r="S16" s="43"/>
      <c r="T16" s="22" t="str">
        <f>IF(M18&lt;&gt;"",IF((M14+R14)&gt;(M18+R18),K14,K18),"")</f>
        <v/>
      </c>
      <c r="U16" s="23" t="str">
        <f>IF(M18&lt;&gt;"",IF((M14+R14)&gt;(M18+R18),L14,L18),"")</f>
        <v/>
      </c>
      <c r="V16" s="20"/>
      <c r="W16" s="20"/>
      <c r="X16" s="20"/>
      <c r="Y16" s="20"/>
      <c r="Z16" s="20"/>
      <c r="AA16" s="24">
        <f>W16/100+X16/10000+Y16/1000000+Z16/100000000</f>
        <v>0</v>
      </c>
      <c r="AB16" s="45"/>
      <c r="AK16" s="44"/>
    </row>
    <row r="17" spans="1:37" x14ac:dyDescent="0.2">
      <c r="A17" s="1">
        <v>13</v>
      </c>
      <c r="B17" s="25"/>
      <c r="C17" s="20"/>
      <c r="D17" s="20"/>
      <c r="E17" s="20"/>
      <c r="F17" s="20"/>
      <c r="G17" s="20"/>
      <c r="H17" s="20"/>
      <c r="I17" s="24">
        <f>E17/100+F17/10000+G17/1000000+H17/100000000</f>
        <v>0</v>
      </c>
      <c r="J17" s="45"/>
      <c r="S17" s="44"/>
      <c r="AK17" s="44"/>
    </row>
    <row r="18" spans="1:37" x14ac:dyDescent="0.2">
      <c r="E18" s="99" t="str">
        <f>IF(AND(D17=D19,D17&lt;&gt;""),IF(I17&lt;&gt;I19,"","Shoot off"),"")</f>
        <v/>
      </c>
      <c r="F18" s="99"/>
      <c r="G18" s="99"/>
      <c r="H18" s="99"/>
      <c r="I18" s="99"/>
      <c r="J18" s="43"/>
      <c r="K18" s="22" t="str">
        <f>IF(D19&lt;&gt;"",IF((D17+H17)&gt;(D19+H19),B17,B19),"")</f>
        <v/>
      </c>
      <c r="L18" s="23" t="str">
        <f>IF(D19&lt;&gt;"",IF((D17+I17)&gt;(D19+I19),C17,C19),"")</f>
        <v/>
      </c>
      <c r="M18" s="20"/>
      <c r="N18" s="20"/>
      <c r="O18" s="20"/>
      <c r="P18" s="20"/>
      <c r="Q18" s="20"/>
      <c r="R18" s="24">
        <f>N18/100+O18/10000+P18/1000000+Q18/100000000</f>
        <v>0</v>
      </c>
      <c r="S18" s="45"/>
      <c r="AK18" s="44"/>
    </row>
    <row r="19" spans="1:37" x14ac:dyDescent="0.2">
      <c r="A19" s="1">
        <v>4</v>
      </c>
      <c r="B19" s="18"/>
      <c r="C19" s="19"/>
      <c r="D19" s="20"/>
      <c r="E19" s="17"/>
      <c r="F19" s="17"/>
      <c r="G19" s="17"/>
      <c r="H19" s="17"/>
      <c r="I19" s="21">
        <f>E19/100+F19/10000+G19/1000000+H19/100000000</f>
        <v>0</v>
      </c>
      <c r="J19" s="45"/>
      <c r="AK19" s="44"/>
    </row>
    <row r="20" spans="1:37" x14ac:dyDescent="0.2">
      <c r="AK20" s="44"/>
    </row>
    <row r="21" spans="1:37" x14ac:dyDescent="0.2">
      <c r="AK21" s="44"/>
    </row>
    <row r="22" spans="1:37" x14ac:dyDescent="0.2">
      <c r="AC22" s="22" t="str">
        <f>IF(AE12&lt;&gt;"",IF((AE12+AJ12)&gt;(AE31+AJ31),AC12,AC31),"")</f>
        <v/>
      </c>
      <c r="AD22" s="23" t="str">
        <f>IF(AE12&lt;&gt;"",IF((AE12+AJ12)&gt;(AE31+AJ31),AD12,AD31),"")</f>
        <v/>
      </c>
      <c r="AE22" s="20" t="str">
        <f>IF(AD22 &lt;&gt; "", "WINNAAR", "")</f>
        <v/>
      </c>
      <c r="AF22" s="20"/>
      <c r="AG22" s="20"/>
      <c r="AH22" s="20"/>
      <c r="AI22" s="20"/>
      <c r="AJ22" s="28"/>
      <c r="AK22" s="44"/>
    </row>
    <row r="23" spans="1:37" x14ac:dyDescent="0.2">
      <c r="D23" s="1" t="s">
        <v>10</v>
      </c>
      <c r="E23" s="100" t="s">
        <v>7</v>
      </c>
      <c r="F23" s="100"/>
      <c r="G23" s="100"/>
      <c r="H23" s="100"/>
      <c r="I23" s="100"/>
      <c r="W23" s="101"/>
      <c r="X23" s="101"/>
      <c r="Y23" s="101"/>
      <c r="Z23" s="101"/>
      <c r="AA23" s="101"/>
      <c r="AK23" s="44"/>
    </row>
    <row r="24" spans="1:37" x14ac:dyDescent="0.2">
      <c r="A24" s="1">
        <v>3</v>
      </c>
      <c r="B24" s="18"/>
      <c r="C24" s="19"/>
      <c r="D24" s="20"/>
      <c r="E24" s="17"/>
      <c r="F24" s="17"/>
      <c r="G24" s="17"/>
      <c r="H24" s="17"/>
      <c r="I24" s="21">
        <f>E24/100+F24/10000+G24/1000000+H24/100000000</f>
        <v>0</v>
      </c>
      <c r="J24" s="45"/>
      <c r="M24" s="1" t="s">
        <v>10</v>
      </c>
      <c r="N24" s="101" t="s">
        <v>11</v>
      </c>
      <c r="O24" s="101"/>
      <c r="P24" s="101"/>
      <c r="Q24" s="101"/>
      <c r="R24" s="101"/>
      <c r="AK24" s="44"/>
    </row>
    <row r="25" spans="1:37" x14ac:dyDescent="0.2">
      <c r="B25" s="4"/>
      <c r="E25" s="99" t="str">
        <f>IF(AND(D24=D26,D24&lt;&gt;""),IF(I24&lt;&gt;I26,"","Shoot off"),"")</f>
        <v/>
      </c>
      <c r="F25" s="99"/>
      <c r="G25" s="99"/>
      <c r="H25" s="99"/>
      <c r="I25" s="99"/>
      <c r="J25" s="43"/>
      <c r="K25" s="22" t="str">
        <f>IF(D26&lt;&gt;"",IF((D24+H24)&gt;(D26+H26),B24,B26),"")</f>
        <v/>
      </c>
      <c r="L25" s="23" t="str">
        <f>IF(D26&lt;&gt;"",IF((D24+I24)&gt;(D26+I26),C24,C26),"")</f>
        <v/>
      </c>
      <c r="M25" s="20"/>
      <c r="N25" s="20"/>
      <c r="O25" s="20"/>
      <c r="P25" s="20"/>
      <c r="Q25" s="20"/>
      <c r="R25" s="24">
        <f>N25/100+O25/10000+P25/1000000+Q25/100000000</f>
        <v>0</v>
      </c>
      <c r="S25" s="45"/>
      <c r="AK25" s="44"/>
    </row>
    <row r="26" spans="1:37" x14ac:dyDescent="0.2">
      <c r="A26" s="1">
        <v>14</v>
      </c>
      <c r="B26" s="25"/>
      <c r="C26" s="20"/>
      <c r="D26" s="20"/>
      <c r="E26" s="17"/>
      <c r="F26" s="17"/>
      <c r="G26" s="17"/>
      <c r="H26" s="17"/>
      <c r="I26" s="21">
        <f>E26/100+F26/10000+G26/1000000+H26/100000000</f>
        <v>0</v>
      </c>
      <c r="J26" s="45"/>
      <c r="S26" s="44"/>
      <c r="V26" s="1" t="s">
        <v>10</v>
      </c>
      <c r="W26" s="101" t="s">
        <v>11</v>
      </c>
      <c r="X26" s="101"/>
      <c r="Y26" s="101"/>
      <c r="Z26" s="101"/>
      <c r="AA26" s="101"/>
      <c r="AK26" s="44"/>
    </row>
    <row r="27" spans="1:37" x14ac:dyDescent="0.2">
      <c r="B27" s="4"/>
      <c r="N27" s="98" t="str">
        <f>IF(AND(M25=M29,M25&lt;&gt;""),IF(R25&lt;&gt;R29,"","Shoot off"),"")</f>
        <v/>
      </c>
      <c r="O27" s="98"/>
      <c r="P27" s="98"/>
      <c r="Q27" s="98"/>
      <c r="R27" s="98"/>
      <c r="S27" s="43"/>
      <c r="T27" s="22" t="str">
        <f>IF(M29&lt;&gt;"",IF((M25+R25)&gt;(M29+R29),K25,K29),"")</f>
        <v/>
      </c>
      <c r="U27" s="23" t="str">
        <f>IF(M29&lt;&gt;"",IF((M25+R25)&gt;(M29+R29),L25,L29),"")</f>
        <v/>
      </c>
      <c r="V27" s="20"/>
      <c r="W27" s="20"/>
      <c r="X27" s="20"/>
      <c r="Y27" s="20"/>
      <c r="Z27" s="20"/>
      <c r="AA27" s="24">
        <f>W27/100+X27/10000+Y27/1000000+Z27/100000000</f>
        <v>0</v>
      </c>
      <c r="AB27" s="45"/>
      <c r="AK27" s="44"/>
    </row>
    <row r="28" spans="1:37" x14ac:dyDescent="0.2">
      <c r="A28" s="1">
        <v>11</v>
      </c>
      <c r="B28" s="18"/>
      <c r="C28" s="19"/>
      <c r="D28" s="20"/>
      <c r="E28" s="20"/>
      <c r="F28" s="20"/>
      <c r="G28" s="20"/>
      <c r="H28" s="20"/>
      <c r="I28" s="24">
        <f>E28/100+F28/10000+G28/1000000+H28/100000000</f>
        <v>0</v>
      </c>
      <c r="J28" s="45"/>
      <c r="S28" s="44"/>
      <c r="AB28" s="44"/>
      <c r="AK28" s="44"/>
    </row>
    <row r="29" spans="1:37" x14ac:dyDescent="0.2">
      <c r="B29" s="4"/>
      <c r="E29" s="99" t="str">
        <f>IF(AND(D28=D30,D28&lt;&gt;""),IF(I28&lt;&gt;I30,"","Shoot off"),"")</f>
        <v/>
      </c>
      <c r="F29" s="99"/>
      <c r="G29" s="99"/>
      <c r="H29" s="99"/>
      <c r="I29" s="99"/>
      <c r="J29" s="43"/>
      <c r="K29" s="22" t="str">
        <f>IF(D30&lt;&gt;"",IF((D28+H28)&gt;(D30+H30),B28,B30),"")</f>
        <v/>
      </c>
      <c r="L29" s="23" t="str">
        <f>IF(D30&lt;&gt;"",IF((D28+I28)&gt;(D30+I30),C28,C30),"")</f>
        <v/>
      </c>
      <c r="M29" s="20"/>
      <c r="N29" s="20"/>
      <c r="O29" s="20"/>
      <c r="P29" s="20"/>
      <c r="Q29" s="20"/>
      <c r="R29" s="24">
        <f>N29/100+O29/10000+P29/1000000+Q29/100000000</f>
        <v>0</v>
      </c>
      <c r="S29" s="45"/>
      <c r="AB29" s="44"/>
      <c r="AK29" s="44"/>
    </row>
    <row r="30" spans="1:37" x14ac:dyDescent="0.2">
      <c r="A30" s="1">
        <v>6</v>
      </c>
      <c r="B30" s="18"/>
      <c r="C30" s="19"/>
      <c r="D30" s="20"/>
      <c r="E30" s="17"/>
      <c r="F30" s="17"/>
      <c r="G30" s="17"/>
      <c r="H30" s="17"/>
      <c r="I30" s="21">
        <f>E30/100+F30/10000+G30/1000000+H30/100000000</f>
        <v>0</v>
      </c>
      <c r="J30" s="45"/>
      <c r="AB30" s="44"/>
      <c r="AE30" s="1" t="s">
        <v>10</v>
      </c>
      <c r="AF30" s="101" t="s">
        <v>11</v>
      </c>
      <c r="AG30" s="101"/>
      <c r="AH30" s="101"/>
      <c r="AI30" s="101"/>
      <c r="AJ30" s="101"/>
      <c r="AK30" s="44"/>
    </row>
    <row r="31" spans="1:37" x14ac:dyDescent="0.2">
      <c r="W31" s="98" t="str">
        <f>IF(AND(V27=V35,V27&lt;&gt;""),IF(AA27&lt;&gt;AA35,"","Shoot off"),"")</f>
        <v/>
      </c>
      <c r="X31" s="98"/>
      <c r="Y31" s="98"/>
      <c r="Z31" s="98"/>
      <c r="AA31" s="98"/>
      <c r="AB31" s="43"/>
      <c r="AC31" s="22" t="str">
        <f>IF(V35&lt;&gt;"",IF((V27+AA27)&gt;(V35+AA35),T27,T35),"")</f>
        <v/>
      </c>
      <c r="AD31" s="23" t="str">
        <f>IF(V35&lt;&gt;"",IF((V27+AA27)&gt;(V35+AA35),U27,U35),"")</f>
        <v/>
      </c>
      <c r="AE31" s="20"/>
      <c r="AF31" s="20"/>
      <c r="AG31" s="20"/>
      <c r="AH31" s="20"/>
      <c r="AI31" s="20"/>
      <c r="AJ31" s="24">
        <f>AF31/100+AG31/10000+AH31/1000000+AI31/100000000</f>
        <v>0</v>
      </c>
      <c r="AK31" s="44"/>
    </row>
    <row r="32" spans="1:37" x14ac:dyDescent="0.2">
      <c r="A32" s="1">
        <v>7</v>
      </c>
      <c r="B32" s="18"/>
      <c r="C32" s="19"/>
      <c r="D32" s="20"/>
      <c r="E32" s="20"/>
      <c r="F32" s="20"/>
      <c r="G32" s="20"/>
      <c r="H32" s="20"/>
      <c r="I32" s="24">
        <f>E32/100+F32/10000+G32/1000000+H32/100000000</f>
        <v>0</v>
      </c>
      <c r="J32" s="45"/>
      <c r="AB32" s="44"/>
    </row>
    <row r="33" spans="1:28" x14ac:dyDescent="0.2">
      <c r="E33" s="99" t="str">
        <f>IF(AND(D32=D34,D32&lt;&gt;""),IF(I32&lt;&gt;I34,"","Shoot off"),"")</f>
        <v/>
      </c>
      <c r="F33" s="99"/>
      <c r="G33" s="99"/>
      <c r="H33" s="99"/>
      <c r="I33" s="99"/>
      <c r="J33" s="43"/>
      <c r="K33" s="22" t="str">
        <f>IF(D34&lt;&gt;"",IF((D32+H32)&gt;(D34+H34),B32,B34),"")</f>
        <v/>
      </c>
      <c r="L33" s="23" t="str">
        <f>IF(D34&lt;&gt;"",IF((D32+I32)&gt;(D34+I34),C32,C34),"")</f>
        <v/>
      </c>
      <c r="M33" s="20"/>
      <c r="N33" s="20"/>
      <c r="O33" s="20"/>
      <c r="P33" s="20"/>
      <c r="Q33" s="20"/>
      <c r="R33" s="24">
        <f>N33/100+O33/10000+P33/1000000+Q33/100000000</f>
        <v>0</v>
      </c>
      <c r="S33" s="45"/>
      <c r="AB33" s="44"/>
    </row>
    <row r="34" spans="1:28" x14ac:dyDescent="0.2">
      <c r="A34" s="1">
        <v>10</v>
      </c>
      <c r="B34" s="25"/>
      <c r="C34" s="20"/>
      <c r="D34" s="20"/>
      <c r="E34" s="17"/>
      <c r="F34" s="17"/>
      <c r="G34" s="17"/>
      <c r="H34" s="17"/>
      <c r="I34" s="21">
        <f>E34/100+F34/10000+G34/1000000+H34/100000000</f>
        <v>0</v>
      </c>
      <c r="J34" s="45"/>
      <c r="S34" s="44"/>
      <c r="AB34" s="44"/>
    </row>
    <row r="35" spans="1:28" x14ac:dyDescent="0.2">
      <c r="N35" s="98" t="str">
        <f>IF(AND(M33=M37,M33&lt;&gt;""),IF(R33&lt;&gt;R37,"","Shoot off"),"")</f>
        <v/>
      </c>
      <c r="O35" s="98"/>
      <c r="P35" s="98"/>
      <c r="Q35" s="98"/>
      <c r="R35" s="98"/>
      <c r="S35" s="43"/>
      <c r="T35" s="22" t="str">
        <f>IF(M37&lt;&gt;"",IF((M33+R33)&gt;(M37+R37),K33,K37),"")</f>
        <v/>
      </c>
      <c r="U35" s="23" t="str">
        <f>IF(M37&lt;&gt;"",IF((M33+R33)&gt;(M37+R37),L33,L37),"")</f>
        <v/>
      </c>
      <c r="V35" s="20"/>
      <c r="W35" s="20"/>
      <c r="X35" s="20"/>
      <c r="Y35" s="20"/>
      <c r="Z35" s="20"/>
      <c r="AA35" s="24">
        <f>W35/100+X35/10000+Y35/1000000+Z35/100000000</f>
        <v>0</v>
      </c>
      <c r="AB35" s="45"/>
    </row>
    <row r="36" spans="1:28" x14ac:dyDescent="0.2">
      <c r="A36" s="1">
        <v>15</v>
      </c>
      <c r="B36" s="25"/>
      <c r="C36" s="20"/>
      <c r="D36" s="20"/>
      <c r="E36" s="20"/>
      <c r="F36" s="20"/>
      <c r="G36" s="20"/>
      <c r="H36" s="20"/>
      <c r="I36" s="24">
        <f>E36/100+F36/10000+G36/1000000+H36/100000000</f>
        <v>0</v>
      </c>
      <c r="J36" s="45"/>
      <c r="S36" s="44"/>
    </row>
    <row r="37" spans="1:28" x14ac:dyDescent="0.2">
      <c r="E37" s="99" t="str">
        <f>IF(AND(D36=D38,D36&lt;&gt;""),IF(I36&lt;&gt;I38,"","Shoot off"),"")</f>
        <v/>
      </c>
      <c r="F37" s="99"/>
      <c r="G37" s="99"/>
      <c r="H37" s="99"/>
      <c r="I37" s="99"/>
      <c r="J37" s="43"/>
      <c r="K37" s="22" t="str">
        <f>IF(D38&lt;&gt;"",IF((D36+H36)&gt;(D38+H38),B36,B38),"")</f>
        <v/>
      </c>
      <c r="L37" s="23" t="str">
        <f>IF(D38&lt;&gt;"",IF((D36+I36)&gt;(D38+I38),C36,C38),"")</f>
        <v/>
      </c>
      <c r="M37" s="20"/>
      <c r="N37" s="20"/>
      <c r="O37" s="20"/>
      <c r="P37" s="20"/>
      <c r="Q37" s="20"/>
      <c r="R37" s="24">
        <f>N37/100+O37/10000+P37/1000000+Q37/100000000</f>
        <v>0</v>
      </c>
      <c r="S37" s="45"/>
    </row>
    <row r="38" spans="1:28" x14ac:dyDescent="0.2">
      <c r="A38" s="1">
        <v>2</v>
      </c>
      <c r="B38" s="18"/>
      <c r="C38" s="19"/>
      <c r="D38" s="20"/>
      <c r="E38" s="17"/>
      <c r="F38" s="17"/>
      <c r="G38" s="17"/>
      <c r="H38" s="17"/>
      <c r="I38" s="21">
        <f>E38/100+F38/10000+G38/1000000+H38/100000000</f>
        <v>0</v>
      </c>
      <c r="J38" s="45"/>
    </row>
  </sheetData>
  <mergeCells count="29">
    <mergeCell ref="AF30:AJ30"/>
    <mergeCell ref="AF11:AJ11"/>
    <mergeCell ref="B1:AK1"/>
    <mergeCell ref="AD3:AE3"/>
    <mergeCell ref="W7:AA7"/>
    <mergeCell ref="W23:AA23"/>
    <mergeCell ref="AF4:AJ4"/>
    <mergeCell ref="W26:AA26"/>
    <mergeCell ref="E4:I4"/>
    <mergeCell ref="N5:R5"/>
    <mergeCell ref="E18:I18"/>
    <mergeCell ref="N8:R8"/>
    <mergeCell ref="E10:I10"/>
    <mergeCell ref="W12:AA12"/>
    <mergeCell ref="E14:I14"/>
    <mergeCell ref="L3:Q3"/>
    <mergeCell ref="E37:I37"/>
    <mergeCell ref="E23:I23"/>
    <mergeCell ref="N24:R24"/>
    <mergeCell ref="E25:I25"/>
    <mergeCell ref="N27:R27"/>
    <mergeCell ref="E33:I33"/>
    <mergeCell ref="N35:R35"/>
    <mergeCell ref="U3:Z3"/>
    <mergeCell ref="W31:AA31"/>
    <mergeCell ref="N16:R16"/>
    <mergeCell ref="E6:I6"/>
    <mergeCell ref="C3:I3"/>
    <mergeCell ref="E29:I29"/>
  </mergeCells>
  <phoneticPr fontId="8" type="noConversion"/>
  <pageMargins left="0.26" right="0.57999999999999996" top="0.98" bottom="0.98" header="0.5" footer="0.5"/>
  <pageSetup paperSize="9" scale="64" orientation="landscape" horizontalDpi="720" verticalDpi="720" r:id="rId1"/>
  <headerFooter alignWithMargins="0"/>
  <cellWatches>
    <cellWatch r="D5"/>
  </cellWatches>
  <ignoredErrors>
    <ignoredError sqref="AE22" unlockedFormula="1"/>
  </ignoredErrors>
  <drawing r:id="rId2"/>
  <legacyDrawing r:id="rId3"/>
  <mc:AlternateContent xmlns:mc="http://schemas.openxmlformats.org/markup-compatibility/2006">
    <mc:Choice Requires="x14">
      <controls>
        <mc:AlternateContent xmlns:mc="http://schemas.openxmlformats.org/markup-compatibility/2006">
          <mc:Choice Requires="x14">
            <control shapeId="2050" r:id="rId4" name="Button 2">
              <controlPr defaultSize="0" print="0" autoFill="0" autoPict="0" macro="[0]!Blad4.FinalesAfdrukken">
                <anchor moveWithCells="1" sizeWithCells="1">
                  <from>
                    <xdr:col>11</xdr:col>
                    <xdr:colOff>1504950</xdr:colOff>
                    <xdr:row>40</xdr:row>
                    <xdr:rowOff>9525</xdr:rowOff>
                  </from>
                  <to>
                    <xdr:col>14</xdr:col>
                    <xdr:colOff>114300</xdr:colOff>
                    <xdr:row>41</xdr:row>
                    <xdr:rowOff>114300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Uitleg</vt:lpstr>
      <vt:lpstr>Voorronde</vt:lpstr>
      <vt:lpstr>Finale</vt:lpstr>
      <vt:lpstr>Finale!Print_Area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NHB App Support</dc:creator>
  <cp:lastModifiedBy>Ramon</cp:lastModifiedBy>
  <cp:lastPrinted>2022-10-30T14:02:30Z</cp:lastPrinted>
  <dcterms:created xsi:type="dcterms:W3CDTF">2000-03-31T19:47:32Z</dcterms:created>
  <dcterms:modified xsi:type="dcterms:W3CDTF">2023-01-22T07:52:50Z</dcterms:modified>
</cp:coreProperties>
</file>