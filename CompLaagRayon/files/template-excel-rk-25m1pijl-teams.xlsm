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33702632-D88E-45E5-B3DB-F984EB1A7ED1}" xr6:coauthVersionLast="47" xr6:coauthVersionMax="47" xr10:uidLastSave="{00000000-0000-0000-0000-000000000000}"/>
  <bookViews>
    <workbookView xWindow="5340" yWindow="765" windowWidth="22260" windowHeight="12930" tabRatio="546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3">Uitslag!$A$2:$T$22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8" l="1"/>
  <c r="B1" i="18"/>
  <c r="P4" i="3"/>
  <c r="B4" i="18"/>
  <c r="D22" i="3"/>
  <c r="D20" i="3"/>
  <c r="D19" i="3"/>
  <c r="D18" i="3"/>
  <c r="D17" i="3"/>
  <c r="D16" i="3"/>
  <c r="D21" i="3"/>
  <c r="D15" i="3"/>
  <c r="D14" i="3"/>
  <c r="D13" i="3"/>
  <c r="D12" i="3"/>
  <c r="D11" i="3"/>
  <c r="J10" i="12"/>
  <c r="J11" i="12"/>
  <c r="J12" i="12"/>
  <c r="J13" i="12"/>
  <c r="C13" i="3"/>
  <c r="C20" i="3"/>
  <c r="C14" i="3"/>
  <c r="C19" i="3"/>
  <c r="C22" i="3"/>
  <c r="C12" i="3"/>
  <c r="C11" i="3"/>
  <c r="C21" i="3"/>
  <c r="B4" i="3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S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C18" i="3"/>
  <c r="E14" i="3"/>
  <c r="F14" i="3"/>
  <c r="G14" i="3"/>
  <c r="H14" i="3"/>
  <c r="J14" i="3"/>
  <c r="K14" i="3"/>
  <c r="P14" i="3" s="1"/>
  <c r="L14" i="3"/>
  <c r="Q14" i="3" s="1"/>
  <c r="M14" i="3"/>
  <c r="B15" i="3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C17" i="3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S18" i="3" l="1"/>
  <c r="S22" i="3"/>
  <c r="S17" i="3"/>
  <c r="S16" i="3"/>
  <c r="S15" i="3"/>
  <c r="O20" i="3"/>
  <c r="Q20" i="3"/>
  <c r="P20" i="3"/>
  <c r="R20" i="3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K63" i="12"/>
  <c r="K45" i="12"/>
  <c r="K57" i="12"/>
  <c r="K51" i="12"/>
  <c r="K39" i="12"/>
  <c r="K27" i="12"/>
  <c r="K15" i="12"/>
  <c r="K33" i="12"/>
  <c r="K9" i="12"/>
  <c r="S13" i="3" l="1"/>
  <c r="S20" i="3"/>
  <c r="S21" i="3"/>
  <c r="S11" i="3"/>
  <c r="S12" i="3"/>
  <c r="S14" i="3"/>
</calcChain>
</file>

<file path=xl/sharedStrings.xml><?xml version="1.0" encoding="utf-8"?>
<sst xmlns="http://schemas.openxmlformats.org/spreadsheetml/2006/main" count="149" uniqueCount="93">
  <si>
    <t>Baan</t>
  </si>
  <si>
    <t>TOTAAL</t>
  </si>
  <si>
    <t>Totaal</t>
  </si>
  <si>
    <t>team</t>
  </si>
  <si>
    <t>Datum:</t>
  </si>
  <si>
    <t>Opmerking: Indien er moet worden gemeten hier toch een puntenverschil invullen.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</si>
  <si>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</si>
  <si>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</si>
  <si>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</si>
  <si>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</si>
  <si>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</si>
  <si>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</si>
  <si>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</si>
  <si>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</si>
  <si>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</si>
  <si>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</si>
  <si>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</si>
  <si>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</si>
  <si>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</si>
  <si>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</si>
  <si>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</si>
  <si>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</si>
  <si>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</si>
  <si>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</si>
  <si>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</si>
  <si>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</si>
  <si>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</si>
  <si>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</si>
  <si>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</si>
  <si>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</si>
  <si>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</si>
  <si>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</si>
  <si>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</si>
  <si>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</si>
  <si>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</si>
  <si>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</si>
  <si>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</si>
  <si>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</si>
  <si>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</si>
  <si>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</si>
  <si>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</si>
  <si>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</si>
  <si>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</si>
  <si>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</si>
  <si>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</si>
  <si>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</si>
  <si>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</si>
  <si>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</si>
  <si>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</si>
  <si>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</si>
  <si>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</si>
  <si>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</si>
  <si>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</si>
  <si>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</si>
  <si>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</si>
  <si>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</si>
  <si>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</si>
  <si>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</si>
  <si>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</si>
  <si>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</si>
  <si>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</si>
  <si>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</si>
  <si>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</si>
  <si>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</si>
  <si>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</si>
  <si>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</si>
  <si>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</si>
  <si>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</si>
  <si>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</si>
  <si>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</si>
  <si>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</si>
  <si>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</si>
  <si>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</si>
  <si>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</si>
  <si>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</si>
  <si>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</si>
  <si>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</si>
  <si>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</si>
  <si>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</si>
  <si>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</si>
  <si>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</si>
  <si>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</si>
  <si>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</si>
  <si>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</si>
  <si>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</si>
  <si>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</si>
  <si>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</si>
  <si>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</si>
  <si>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Dit werkboek bestaat uit 6 bladen:</t>
  </si>
  <si>
    <t>Instructies voor juist gebruik van dit RK programma voor de 25m 1pijl competitie</t>
  </si>
  <si>
    <t>Rayon kampioenschappen 25m1pijl Teams   Rayon 3</t>
  </si>
  <si>
    <t>Graag aan het einde van de wedstrijd dit ingevulde RK programma opsturen naar het bondsbureau</t>
  </si>
  <si>
    <t>E-mail bondsbureau: info@handboogsport.nl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</si>
</sst>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5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8"/>
      </patternFill>
    </fill>
  </fills>
  <borders count="3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0" xfId="0" applyFont="1"/>
    <xf numFmtId="0" fontId="1" fillId="0" borderId="0" xfId="1"/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  <xf numFmtId="0" fontId="1" fillId="0" borderId="0" xfId="1" applyAlignment="1"/>
    <xf numFmtId="1" fontId="12" fillId="0" borderId="0" xfId="0" applyNumberFormat="1" applyFont="1" applyBorder="1" applyAlignment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6" fillId="0" borderId="16" xfId="0" applyFont="1" applyBorder="1" applyAlignment="1" applyProtection="1">
      <alignment horizontal="left" vertical="center"/>
    </xf>
    <xf numFmtId="0" fontId="6" fillId="0" borderId="22" xfId="0" applyFont="1" applyBorder="1" applyAlignment="1" applyProtection="1">
      <alignment horizontal="left" vertical="center"/>
    </xf>
    <xf numFmtId="1" fontId="9" fillId="2" borderId="23" xfId="0" applyNumberFormat="1" applyFont="1" applyFill="1" applyBorder="1" applyAlignment="1" applyProtection="1">
      <alignment horizontal="center" vertical="center"/>
    </xf>
    <xf numFmtId="1" fontId="9" fillId="0" borderId="25" xfId="0" applyNumberFormat="1" applyFont="1" applyBorder="1" applyAlignment="1" applyProtection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1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1" fillId="0" borderId="0" xfId="1" applyFont="1" applyAlignment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1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1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1" fillId="0" borderId="0" xfId="1" applyNumberFormat="1" applyFont="1" applyAlignment="1" applyProtection="1">
      <alignment horizontal="right"/>
      <protection locked="0"/>
    </xf>
    <xf numFmtId="0" fontId="15" fillId="0" borderId="0" xfId="1" applyFont="1" applyAlignment="1">
      <alignment horizontal="left"/>
    </xf>
    <xf numFmtId="0" fontId="16" fillId="0" borderId="0" xfId="0" applyFont="1"/>
    <xf numFmtId="0" fontId="17" fillId="0" borderId="0" xfId="0" applyFont="1"/>
    <xf numFmtId="164" fontId="11" fillId="0" borderId="17" xfId="1" applyNumberFormat="1" applyFont="1" applyBorder="1" applyAlignment="1">
      <alignment horizontal="right" vertical="center"/>
    </xf>
    <xf numFmtId="164" fontId="11" fillId="0" borderId="20" xfId="1" applyNumberFormat="1" applyFont="1" applyBorder="1" applyAlignment="1">
      <alignment horizontal="left" vertical="center"/>
    </xf>
    <xf numFmtId="0" fontId="11" fillId="0" borderId="2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21" xfId="1" applyFont="1" applyBorder="1" applyAlignment="1">
      <alignment horizontal="center" vertical="center"/>
    </xf>
    <xf numFmtId="0" fontId="11" fillId="3" borderId="20" xfId="1" applyFont="1" applyFill="1" applyBorder="1" applyAlignment="1">
      <alignment horizontal="center"/>
    </xf>
    <xf numFmtId="0" fontId="11" fillId="0" borderId="17" xfId="1" applyFont="1" applyBorder="1" applyAlignment="1">
      <alignment horizontal="left" vertical="center"/>
    </xf>
    <xf numFmtId="0" fontId="11" fillId="0" borderId="20" xfId="1" applyFont="1" applyBorder="1" applyAlignment="1">
      <alignment horizontal="left" vertical="center"/>
    </xf>
    <xf numFmtId="0" fontId="15" fillId="0" borderId="0" xfId="1" applyFont="1" applyAlignment="1" applyProtection="1">
      <alignment horizontal="left"/>
      <protection locked="0"/>
    </xf>
    <xf numFmtId="0" fontId="15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4" xfId="0" applyNumberFormat="1" applyFont="1" applyBorder="1" applyAlignment="1" applyProtection="1">
      <alignment horizontal="center" vertical="center"/>
    </xf>
    <xf numFmtId="1" fontId="7" fillId="0" borderId="16" xfId="0" applyNumberFormat="1" applyFont="1" applyBorder="1" applyAlignment="1" applyProtection="1">
      <alignment horizontal="center" vertical="center"/>
    </xf>
    <xf numFmtId="1" fontId="7" fillId="0" borderId="22" xfId="0" applyNumberFormat="1" applyFont="1" applyBorder="1" applyAlignment="1" applyProtection="1">
      <alignment horizontal="center" vertical="center"/>
    </xf>
    <xf numFmtId="0" fontId="3" fillId="2" borderId="4" xfId="0" applyFont="1" applyFill="1" applyBorder="1" applyAlignment="1">
      <alignment vertical="center"/>
    </xf>
    <xf numFmtId="0" fontId="20" fillId="0" borderId="11" xfId="0" applyFont="1" applyBorder="1" applyAlignment="1">
      <alignment horizontal="center" vertical="center"/>
    </xf>
    <xf numFmtId="49" fontId="16" fillId="0" borderId="0" xfId="1" applyNumberFormat="1" applyFont="1" applyAlignment="1" applyProtection="1">
      <alignment horizontal="left" vertical="center"/>
      <protection locked="0"/>
    </xf>
    <xf numFmtId="0" fontId="11" fillId="4" borderId="17" xfId="1" applyFont="1" applyFill="1" applyBorder="1" applyAlignment="1">
      <alignment horizontal="center" vertical="center"/>
    </xf>
    <xf numFmtId="0" fontId="11" fillId="4" borderId="17" xfId="1" applyFont="1" applyFill="1" applyBorder="1" applyAlignment="1">
      <alignment horizontal="left" vertical="center"/>
    </xf>
    <xf numFmtId="164" fontId="11" fillId="4" borderId="18" xfId="1" applyNumberFormat="1" applyFont="1" applyFill="1" applyBorder="1" applyAlignment="1">
      <alignment horizontal="right" vertical="center"/>
    </xf>
    <xf numFmtId="0" fontId="11" fillId="4" borderId="20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left" vertical="center"/>
    </xf>
    <xf numFmtId="164" fontId="11" fillId="4" borderId="20" xfId="1" applyNumberFormat="1" applyFont="1" applyFill="1" applyBorder="1" applyAlignment="1">
      <alignment horizontal="left" vertical="center"/>
    </xf>
    <xf numFmtId="164" fontId="11" fillId="4" borderId="21" xfId="1" applyNumberFormat="1" applyFont="1" applyFill="1" applyBorder="1" applyAlignment="1">
      <alignment horizontal="left" vertical="center"/>
    </xf>
    <xf numFmtId="0" fontId="23" fillId="0" borderId="0" xfId="1" applyFont="1" applyAlignment="1">
      <alignment horizontal="left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1" fillId="4" borderId="17" xfId="1" applyNumberFormat="1" applyFont="1" applyFill="1" applyBorder="1" applyAlignment="1">
      <alignment horizontal="left" vertical="center"/>
    </xf>
    <xf numFmtId="164" fontId="11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22" fillId="0" borderId="0" xfId="1" applyFont="1" applyAlignment="1">
      <alignment horizontal="left" vertical="center"/>
    </xf>
    <xf numFmtId="0" fontId="14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15" fillId="4" borderId="26" xfId="1" applyFont="1" applyFill="1" applyBorder="1" applyAlignment="1">
      <alignment horizontal="left" vertical="center"/>
    </xf>
    <xf numFmtId="0" fontId="15" fillId="4" borderId="19" xfId="1" applyFont="1" applyFill="1" applyBorder="1" applyAlignment="1">
      <alignment horizontal="left" vertical="center"/>
    </xf>
    <xf numFmtId="49" fontId="2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24" fillId="0" borderId="0" xfId="1" applyFont="1" applyAlignment="1">
      <alignment horizontal="right" vertical="center"/>
    </xf>
    <xf numFmtId="0" fontId="2" fillId="5" borderId="15" xfId="0" applyFont="1" applyFill="1" applyBorder="1" applyAlignment="1" applyProtection="1">
      <alignment vertical="center"/>
      <protection locked="0"/>
    </xf>
    <xf numFmtId="0" fontId="3" fillId="5" borderId="13" xfId="0" applyFont="1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8" fillId="5" borderId="13" xfId="0" applyFont="1" applyFill="1" applyBorder="1" applyProtection="1">
      <protection locked="0"/>
    </xf>
    <xf numFmtId="49" fontId="21" fillId="5" borderId="13" xfId="0" applyNumberFormat="1" applyFont="1" applyFill="1" applyBorder="1" applyAlignment="1" applyProtection="1">
      <alignment vertical="center"/>
      <protection locked="0"/>
    </xf>
    <xf numFmtId="0" fontId="2" fillId="5" borderId="13" xfId="0" applyFont="1" applyFill="1" applyBorder="1" applyAlignment="1" applyProtection="1">
      <alignment vertical="center"/>
      <protection locked="0"/>
    </xf>
    <xf numFmtId="49" fontId="8" fillId="5" borderId="13" xfId="0" applyNumberFormat="1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5" fillId="5" borderId="32" xfId="0" applyFont="1" applyFill="1" applyBorder="1" applyAlignment="1" applyProtection="1">
      <alignment horizontal="center" vertical="center"/>
      <protection locked="0"/>
    </xf>
    <xf numFmtId="0" fontId="5" fillId="5" borderId="31" xfId="0" applyFont="1" applyFill="1" applyBorder="1" applyAlignment="1" applyProtection="1">
      <alignment horizontal="center" vertical="center"/>
      <protection locked="0"/>
    </xf>
    <xf numFmtId="0" fontId="5" fillId="5" borderId="33" xfId="0" applyFont="1" applyFill="1" applyBorder="1" applyAlignment="1" applyProtection="1">
      <alignment horizontal="center" vertical="center"/>
      <protection locked="0"/>
    </xf>
    <xf numFmtId="0" fontId="5" fillId="5" borderId="27" xfId="0" applyFont="1" applyFill="1" applyBorder="1" applyAlignment="1" applyProtection="1">
      <alignment horizontal="center" vertical="center"/>
      <protection locked="0"/>
    </xf>
    <xf numFmtId="0" fontId="5" fillId="5" borderId="28" xfId="0" applyFont="1" applyFill="1" applyBorder="1" applyAlignment="1" applyProtection="1">
      <alignment horizontal="center" vertical="center"/>
      <protection locked="0"/>
    </xf>
    <xf numFmtId="0" fontId="5" fillId="5" borderId="29" xfId="0" applyFont="1" applyFill="1" applyBorder="1" applyAlignment="1" applyProtection="1">
      <alignment horizontal="center" vertical="center"/>
      <protection locked="0"/>
    </xf>
    <xf numFmtId="0" fontId="10" fillId="0" borderId="0" xfId="1" applyFont="1" applyAlignment="1">
      <alignment horizontal="left" vertical="center"/>
    </xf>
    <xf numFmtId="0" fontId="14" fillId="0" borderId="0" xfId="1" applyFont="1" applyAlignment="1">
      <alignment horizontal="left" vertical="top" wrapText="1"/>
    </xf>
    <xf numFmtId="0" fontId="14" fillId="0" borderId="0" xfId="1" applyFont="1" applyAlignment="1">
      <alignment horizontal="left" vertical="top"/>
    </xf>
    <xf numFmtId="0" fontId="11" fillId="3" borderId="17" xfId="1" applyFont="1" applyFill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477371</xdr:colOff>
          <xdr:row>0</xdr:row>
          <xdr:rowOff>243167</xdr:rowOff>
        </xdr:from>
        <xdr:to>
          <xdr:col>18</xdr:col>
          <xdr:colOff>805703</xdr:colOff>
          <xdr:row>0</xdr:row>
          <xdr:rowOff>627529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50988</xdr:colOff>
          <xdr:row>0</xdr:row>
          <xdr:rowOff>267260</xdr:rowOff>
        </xdr:from>
        <xdr:to>
          <xdr:col>2</xdr:col>
          <xdr:colOff>920004</xdr:colOff>
          <xdr:row>0</xdr:row>
          <xdr:rowOff>638735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sorteer op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37"/>
  <sheetViews>
    <sheetView showGridLines="0" tabSelected="1" workbookViewId="0">
      <selection activeCell="A2" sqref="A2"/>
    </sheetView>
  </sheetViews>
  <sheetFormatPr defaultColWidth="0" defaultRowHeight="15" zeroHeight="1" x14ac:dyDescent="0.2"/>
  <cols>
    <col min="1" max="1" width="8.88671875" style="15" customWidth="1"/>
    <col min="2" max="2" width="94.33203125" style="15" customWidth="1"/>
    <col min="3" max="16384" width="8.88671875" style="15" hidden="1"/>
  </cols>
  <sheetData>
    <row r="1" spans="1:2" x14ac:dyDescent="0.2"/>
    <row r="2" spans="1:2" s="50" customFormat="1" ht="18" x14ac:dyDescent="0.25">
      <c r="A2" s="49" t="s">
        <v>89</v>
      </c>
    </row>
    <row r="3" spans="1:2" x14ac:dyDescent="0.2"/>
    <row r="4" spans="1:2" x14ac:dyDescent="0.2">
      <c r="A4" s="15" t="s">
        <v>56</v>
      </c>
    </row>
    <row r="5" spans="1:2" x14ac:dyDescent="0.2">
      <c r="A5" s="64" t="s">
        <v>52</v>
      </c>
    </row>
    <row r="6" spans="1:2" x14ac:dyDescent="0.2">
      <c r="A6" s="64"/>
    </row>
    <row r="7" spans="1:2" x14ac:dyDescent="0.2">
      <c r="A7" s="15" t="s">
        <v>80</v>
      </c>
    </row>
    <row r="8" spans="1:2" x14ac:dyDescent="0.2"/>
    <row r="9" spans="1:2" x14ac:dyDescent="0.2">
      <c r="A9" s="15" t="s">
        <v>88</v>
      </c>
    </row>
    <row r="10" spans="1:2" ht="15.75" x14ac:dyDescent="0.25">
      <c r="B10" s="15" t="s">
        <v>61</v>
      </c>
    </row>
    <row r="11" spans="1:2" ht="15.75" x14ac:dyDescent="0.25">
      <c r="B11" s="3" t="s">
        <v>81</v>
      </c>
    </row>
    <row r="12" spans="1:2" ht="15.75" x14ac:dyDescent="0.25">
      <c r="B12" s="15" t="s">
        <v>60</v>
      </c>
    </row>
    <row r="13" spans="1:2" ht="15.75" x14ac:dyDescent="0.25">
      <c r="B13" s="15" t="s">
        <v>59</v>
      </c>
    </row>
    <row r="14" spans="1:2" x14ac:dyDescent="0.2"/>
    <row r="15" spans="1:2" ht="15.75" x14ac:dyDescent="0.25">
      <c r="A15" s="3" t="s">
        <v>82</v>
      </c>
    </row>
    <row r="16" spans="1:2" x14ac:dyDescent="0.2">
      <c r="B16" s="15" t="s">
        <v>83</v>
      </c>
    </row>
    <row r="17" spans="1:2" x14ac:dyDescent="0.2">
      <c r="B17" s="15" t="s">
        <v>85</v>
      </c>
    </row>
    <row r="18" spans="1:2" x14ac:dyDescent="0.2"/>
    <row r="19" spans="1:2" x14ac:dyDescent="0.2"/>
    <row r="20" spans="1:2" ht="15.75" x14ac:dyDescent="0.25">
      <c r="A20" s="3" t="s">
        <v>57</v>
      </c>
    </row>
    <row r="21" spans="1:2" x14ac:dyDescent="0.2">
      <c r="B21" s="15" t="s">
        <v>70</v>
      </c>
    </row>
    <row r="22" spans="1:2" ht="15.75" x14ac:dyDescent="0.25">
      <c r="B22" s="15" t="s">
        <v>86</v>
      </c>
    </row>
    <row r="23" spans="1:2" x14ac:dyDescent="0.2">
      <c r="B23" s="15" t="s">
        <v>84</v>
      </c>
    </row>
    <row r="24" spans="1:2" x14ac:dyDescent="0.2">
      <c r="B24" s="15" t="s">
        <v>75</v>
      </c>
    </row>
    <row r="25" spans="1:2" x14ac:dyDescent="0.2">
      <c r="B25" s="15" t="s">
        <v>87</v>
      </c>
    </row>
    <row r="26" spans="1:2" x14ac:dyDescent="0.2">
      <c r="B26" s="15" t="s">
        <v>71</v>
      </c>
    </row>
    <row r="27" spans="1:2" x14ac:dyDescent="0.2"/>
    <row r="28" spans="1:2" x14ac:dyDescent="0.2"/>
    <row r="29" spans="1:2" ht="15.75" x14ac:dyDescent="0.25">
      <c r="A29" s="3" t="s">
        <v>58</v>
      </c>
    </row>
    <row r="30" spans="1:2" ht="15.75" x14ac:dyDescent="0.25">
      <c r="A30" s="3"/>
      <c r="B30" s="15" t="s">
        <v>72</v>
      </c>
    </row>
    <row r="31" spans="1:2" x14ac:dyDescent="0.2">
      <c r="B31" s="15" t="s">
        <v>73</v>
      </c>
    </row>
    <row r="32" spans="1:2" x14ac:dyDescent="0.2">
      <c r="B32" s="15" t="s">
        <v>74</v>
      </c>
    </row>
    <row r="33" spans="2:2" x14ac:dyDescent="0.2">
      <c r="B33" s="15" t="s">
        <v>5</v>
      </c>
    </row>
    <row r="34" spans="2:2" x14ac:dyDescent="0.2">
      <c r="B34" s="15" t="s">
        <v>76</v>
      </c>
    </row>
    <row r="35" spans="2:2" x14ac:dyDescent="0.2"/>
    <row r="36" spans="2:2" x14ac:dyDescent="0.2">
      <c r="B36" s="15" t="s">
        <v>91</v>
      </c>
    </row>
    <row r="37" spans="2:2" x14ac:dyDescent="0.2">
      <c r="B37" s="15" t="s">
        <v>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I18"/>
  <sheetViews>
    <sheetView zoomScaleNormal="100" workbookViewId="0"/>
  </sheetViews>
  <sheetFormatPr defaultColWidth="0" defaultRowHeight="12.75" x14ac:dyDescent="0.2"/>
  <cols>
    <col min="1" max="1" width="3.109375" style="16" customWidth="1"/>
    <col min="2" max="2" width="4.44140625" style="48" customWidth="1"/>
    <col min="3" max="3" width="5.109375" style="18" customWidth="1"/>
    <col min="4" max="4" width="29.33203125" style="84" customWidth="1"/>
    <col min="5" max="5" width="7.77734375" style="17" customWidth="1"/>
    <col min="6" max="6" width="34.44140625" style="87" customWidth="1"/>
    <col min="7" max="7" width="9.6640625" style="80" customWidth="1"/>
    <col min="8" max="8" width="11.21875" style="16" customWidth="1"/>
    <col min="9" max="9" width="7.109375" style="16" customWidth="1"/>
    <col min="10" max="16384" width="7.109375" style="16" hidden="1"/>
  </cols>
  <sheetData>
    <row r="1" spans="2:8" ht="24" thickBot="1" x14ac:dyDescent="0.25">
      <c r="B1" s="103" t="str">
        <f>'Deelnemers en Scores'!B1</f>
        <v>Rayon kampioenschappen 25m1pijl Teams   Rayon 3</v>
      </c>
      <c r="C1" s="104"/>
      <c r="D1" s="104"/>
      <c r="E1" s="104"/>
      <c r="F1" s="104"/>
      <c r="G1" s="104"/>
      <c r="H1" s="105"/>
    </row>
    <row r="2" spans="2:8" x14ac:dyDescent="0.2">
      <c r="C2" s="31"/>
    </row>
    <row r="3" spans="2:8" ht="15.75" x14ac:dyDescent="0.2">
      <c r="B3" s="36" t="s">
        <v>4</v>
      </c>
      <c r="C3" s="37"/>
      <c r="D3" s="38" t="str">
        <f>'Deelnemers en Scores'!D3</f>
        <v>yyyy-mm-dd</v>
      </c>
    </row>
    <row r="4" spans="2:8" ht="23.25" x14ac:dyDescent="0.35">
      <c r="B4" s="88" t="str">
        <f>'Deelnemers en Scores'!B4</f>
        <v>Klasse: ???</v>
      </c>
      <c r="C4" s="34"/>
      <c r="G4" s="81"/>
    </row>
    <row r="6" spans="2:8" ht="20.25" x14ac:dyDescent="0.2">
      <c r="D6" s="85" t="s">
        <v>62</v>
      </c>
    </row>
    <row r="7" spans="2:8" ht="14.25" x14ac:dyDescent="0.2">
      <c r="D7" s="86" t="s">
        <v>66</v>
      </c>
    </row>
    <row r="8" spans="2:8" ht="14.25" x14ac:dyDescent="0.2">
      <c r="D8" s="86" t="s">
        <v>77</v>
      </c>
    </row>
    <row r="9" spans="2:8" x14ac:dyDescent="0.2">
      <c r="D9" s="48"/>
    </row>
    <row r="10" spans="2:8" x14ac:dyDescent="0.2">
      <c r="D10" s="79" t="s">
        <v>63</v>
      </c>
    </row>
    <row r="11" spans="2:8" x14ac:dyDescent="0.2">
      <c r="D11" s="79" t="s">
        <v>65</v>
      </c>
    </row>
    <row r="12" spans="2:8" x14ac:dyDescent="0.2">
      <c r="D12" s="79" t="s">
        <v>79</v>
      </c>
    </row>
    <row r="13" spans="2:8" x14ac:dyDescent="0.2">
      <c r="D13" s="48" t="s">
        <v>69</v>
      </c>
    </row>
    <row r="14" spans="2:8" ht="13.5" thickBot="1" x14ac:dyDescent="0.25"/>
    <row r="15" spans="2:8" ht="15" customHeight="1" x14ac:dyDescent="0.2">
      <c r="B15" s="89"/>
      <c r="C15" s="72"/>
      <c r="D15" s="73"/>
      <c r="E15" s="72"/>
      <c r="F15" s="73"/>
      <c r="G15" s="82"/>
      <c r="H15" s="74"/>
    </row>
    <row r="16" spans="2:8" ht="13.5" thickBot="1" x14ac:dyDescent="0.25">
      <c r="B16" s="90"/>
      <c r="C16" s="75" t="s">
        <v>11</v>
      </c>
      <c r="D16" s="76" t="s">
        <v>7</v>
      </c>
      <c r="E16" s="75" t="s">
        <v>9</v>
      </c>
      <c r="F16" s="76" t="s">
        <v>78</v>
      </c>
      <c r="G16" s="77" t="s">
        <v>43</v>
      </c>
      <c r="H16" s="78" t="s">
        <v>64</v>
      </c>
    </row>
    <row r="17" spans="2:8" x14ac:dyDescent="0.2">
      <c r="E17" s="18"/>
      <c r="F17" s="84"/>
      <c r="G17" s="83"/>
    </row>
    <row r="18" spans="2:8" x14ac:dyDescent="0.2">
      <c r="B18" s="62"/>
      <c r="C18" s="26">
        <v>100</v>
      </c>
      <c r="D18" s="28" t="s">
        <v>16</v>
      </c>
      <c r="E18" s="30">
        <v>123456</v>
      </c>
      <c r="F18" s="62" t="s">
        <v>67</v>
      </c>
      <c r="G18" s="45">
        <v>7.7770000000000001</v>
      </c>
      <c r="H18" s="63" t="s">
        <v>68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zoomScaleNormal="100" workbookViewId="0"/>
  </sheetViews>
  <sheetFormatPr defaultColWidth="0" defaultRowHeight="12.75" x14ac:dyDescent="0.2"/>
  <cols>
    <col min="1" max="1" width="3.109375" style="16" customWidth="1"/>
    <col min="2" max="2" width="4.44140625" style="18" customWidth="1"/>
    <col min="3" max="3" width="5.109375" style="18" customWidth="1"/>
    <col min="4" max="4" width="29.33203125" style="18" customWidth="1"/>
    <col min="5" max="5" width="7.77734375" style="16" customWidth="1"/>
    <col min="6" max="6" width="34.44140625" style="16" customWidth="1"/>
    <col min="7" max="7" width="9.6640625" style="40" customWidth="1"/>
    <col min="8" max="9" width="3.6640625" style="17" customWidth="1"/>
    <col min="10" max="10" width="6.77734375" style="17" customWidth="1"/>
    <col min="11" max="11" width="6.77734375" style="16" customWidth="1"/>
    <col min="12" max="12" width="3.33203125" style="16" customWidth="1"/>
    <col min="13" max="16384" width="7.109375" style="16" hidden="1"/>
  </cols>
  <sheetData>
    <row r="1" spans="1:11" ht="24" thickBot="1" x14ac:dyDescent="0.25">
      <c r="B1" s="106" t="s">
        <v>90</v>
      </c>
      <c r="C1" s="107"/>
      <c r="D1" s="107"/>
      <c r="E1" s="107"/>
      <c r="F1" s="107"/>
      <c r="G1" s="107"/>
      <c r="H1" s="107"/>
      <c r="I1" s="107"/>
      <c r="J1" s="107"/>
      <c r="K1" s="108"/>
    </row>
    <row r="2" spans="1:11" x14ac:dyDescent="0.2">
      <c r="B2" s="31"/>
      <c r="C2" s="31"/>
      <c r="D2" s="31"/>
    </row>
    <row r="3" spans="1:11" ht="23.25" x14ac:dyDescent="0.2">
      <c r="B3" s="36" t="s">
        <v>4</v>
      </c>
      <c r="C3" s="37"/>
      <c r="D3" s="71" t="s">
        <v>37</v>
      </c>
      <c r="E3" s="109" t="s">
        <v>12</v>
      </c>
      <c r="F3" s="109"/>
      <c r="G3" s="39" t="s">
        <v>49</v>
      </c>
      <c r="H3" s="110" t="s">
        <v>50</v>
      </c>
      <c r="I3" s="111"/>
      <c r="J3" s="111"/>
      <c r="K3" s="111"/>
    </row>
    <row r="4" spans="1:11" ht="23.25" x14ac:dyDescent="0.35">
      <c r="B4" s="35" t="s">
        <v>6</v>
      </c>
      <c r="C4" s="34"/>
      <c r="F4" s="34"/>
      <c r="G4" s="41"/>
      <c r="H4" s="111"/>
      <c r="I4" s="111"/>
      <c r="J4" s="111"/>
      <c r="K4" s="111"/>
    </row>
    <row r="5" spans="1:11" ht="13.5" thickBot="1" x14ac:dyDescent="0.25"/>
    <row r="6" spans="1:11" ht="15" customHeight="1" x14ac:dyDescent="0.2">
      <c r="B6" s="53"/>
      <c r="C6" s="54"/>
      <c r="D6" s="54"/>
      <c r="E6" s="54"/>
      <c r="F6" s="60" t="s">
        <v>8</v>
      </c>
      <c r="G6" s="51" t="s">
        <v>51</v>
      </c>
      <c r="H6" s="112" t="s">
        <v>53</v>
      </c>
      <c r="I6" s="112"/>
      <c r="J6" s="54" t="s">
        <v>2</v>
      </c>
      <c r="K6" s="57" t="s">
        <v>2</v>
      </c>
    </row>
    <row r="7" spans="1:11" ht="13.5" thickBot="1" x14ac:dyDescent="0.25">
      <c r="B7" s="55" t="s">
        <v>0</v>
      </c>
      <c r="C7" s="56" t="s">
        <v>11</v>
      </c>
      <c r="D7" s="61" t="s">
        <v>7</v>
      </c>
      <c r="E7" s="56" t="s">
        <v>9</v>
      </c>
      <c r="F7" s="61" t="s">
        <v>10</v>
      </c>
      <c r="G7" s="52" t="s">
        <v>43</v>
      </c>
      <c r="H7" s="59" t="s">
        <v>54</v>
      </c>
      <c r="I7" s="59" t="s">
        <v>55</v>
      </c>
      <c r="J7" s="56" t="s">
        <v>44</v>
      </c>
      <c r="K7" s="58" t="s">
        <v>3</v>
      </c>
    </row>
    <row r="8" spans="1:11" x14ac:dyDescent="0.2">
      <c r="E8" s="18"/>
      <c r="F8" s="18"/>
      <c r="G8" s="42"/>
      <c r="H8" s="18"/>
      <c r="I8" s="18"/>
      <c r="J8" s="18"/>
      <c r="K8" s="18"/>
    </row>
    <row r="9" spans="1:11" x14ac:dyDescent="0.2">
      <c r="B9" s="26">
        <v>1</v>
      </c>
      <c r="C9" s="26">
        <v>100</v>
      </c>
      <c r="D9" s="28" t="s">
        <v>16</v>
      </c>
      <c r="E9" s="26"/>
      <c r="F9" s="28" t="s">
        <v>15</v>
      </c>
      <c r="G9" s="47">
        <v>888.8</v>
      </c>
      <c r="H9" s="26"/>
      <c r="I9" s="26"/>
      <c r="J9" s="18"/>
      <c r="K9" s="20">
        <f>IF(COUNTA(J10:J13)&lt;3,0,IF(COUNTA(J10:J13)=3,SUM(J10:J13),IF(SUM(J10:J13)&gt;0,SUM(J10:J13)-MINA(J10:J13),0)))</f>
        <v>0</v>
      </c>
    </row>
    <row r="10" spans="1:11" x14ac:dyDescent="0.2">
      <c r="A10" s="19"/>
      <c r="B10" s="26"/>
      <c r="C10" s="26"/>
      <c r="D10" s="26"/>
      <c r="E10" s="30">
        <v>123456</v>
      </c>
      <c r="F10" s="29" t="s">
        <v>45</v>
      </c>
      <c r="G10" s="45">
        <v>7.7770000000000001</v>
      </c>
      <c r="H10" s="27">
        <v>0</v>
      </c>
      <c r="I10" s="27">
        <v>0</v>
      </c>
      <c r="J10" s="17">
        <f>SUM(H10:I10)</f>
        <v>0</v>
      </c>
    </row>
    <row r="11" spans="1:11" x14ac:dyDescent="0.2">
      <c r="A11" s="19"/>
      <c r="B11" s="26"/>
      <c r="C11" s="26"/>
      <c r="D11" s="26"/>
      <c r="E11" s="30">
        <v>123456</v>
      </c>
      <c r="F11" s="29" t="s">
        <v>46</v>
      </c>
      <c r="G11" s="45">
        <v>7.7770000000000001</v>
      </c>
      <c r="H11" s="27">
        <v>0</v>
      </c>
      <c r="I11" s="27">
        <v>0</v>
      </c>
      <c r="J11" s="17">
        <f>SUM(H11:I11)</f>
        <v>0</v>
      </c>
      <c r="K11" s="19"/>
    </row>
    <row r="12" spans="1:11" x14ac:dyDescent="0.2">
      <c r="A12" s="19"/>
      <c r="B12" s="26"/>
      <c r="C12" s="26"/>
      <c r="D12" s="26"/>
      <c r="E12" s="30">
        <v>123456</v>
      </c>
      <c r="F12" s="29" t="s">
        <v>47</v>
      </c>
      <c r="G12" s="45">
        <v>7.7770000000000001</v>
      </c>
      <c r="H12" s="27">
        <v>0</v>
      </c>
      <c r="I12" s="27">
        <v>0</v>
      </c>
      <c r="J12" s="17">
        <f>SUM(H12:I12)</f>
        <v>0</v>
      </c>
      <c r="K12" s="19"/>
    </row>
    <row r="13" spans="1:11" x14ac:dyDescent="0.2">
      <c r="A13" s="19"/>
      <c r="B13" s="26"/>
      <c r="C13" s="26"/>
      <c r="D13" s="26"/>
      <c r="E13" s="30">
        <v>123456</v>
      </c>
      <c r="F13" s="29" t="s">
        <v>48</v>
      </c>
      <c r="G13" s="45">
        <v>7.7770000000000001</v>
      </c>
      <c r="H13" s="27">
        <v>0</v>
      </c>
      <c r="I13" s="27">
        <v>0</v>
      </c>
      <c r="J13" s="17">
        <f>SUM(H13:I13)</f>
        <v>0</v>
      </c>
      <c r="K13" s="19"/>
    </row>
    <row r="14" spans="1:11" x14ac:dyDescent="0.2">
      <c r="A14" s="19"/>
      <c r="B14" s="26"/>
      <c r="C14" s="26"/>
      <c r="D14" s="26"/>
      <c r="E14" s="27"/>
      <c r="F14" s="29"/>
      <c r="G14" s="43"/>
      <c r="H14" s="27"/>
      <c r="I14" s="27"/>
      <c r="K14" s="19"/>
    </row>
    <row r="15" spans="1:11" x14ac:dyDescent="0.2">
      <c r="B15" s="26">
        <v>2</v>
      </c>
      <c r="C15" s="26">
        <v>100</v>
      </c>
      <c r="D15" s="28" t="s">
        <v>17</v>
      </c>
      <c r="E15" s="26"/>
      <c r="F15" s="28" t="s">
        <v>13</v>
      </c>
      <c r="G15" s="47">
        <v>888.8</v>
      </c>
      <c r="H15" s="27"/>
      <c r="I15" s="27"/>
      <c r="J15" s="18"/>
      <c r="K15" s="20">
        <f>IF(COUNTA(J16:J19)&lt;3,0,IF(COUNTA(J16:J19)=3,SUM(J16:J19),IF(SUM(J16:J19)&gt;0,SUM(J16:J19)-MINA(J16:J19),0)))</f>
        <v>0</v>
      </c>
    </row>
    <row r="16" spans="1:11" x14ac:dyDescent="0.2">
      <c r="B16" s="26"/>
      <c r="C16" s="26"/>
      <c r="D16" s="26"/>
      <c r="E16" s="30">
        <v>123456</v>
      </c>
      <c r="F16" s="29" t="s">
        <v>45</v>
      </c>
      <c r="G16" s="45">
        <v>7.7770000000000001</v>
      </c>
      <c r="H16" s="27">
        <v>0</v>
      </c>
      <c r="I16" s="27">
        <v>0</v>
      </c>
      <c r="J16" s="17">
        <f>SUM(H16:I16)</f>
        <v>0</v>
      </c>
    </row>
    <row r="17" spans="2:11" x14ac:dyDescent="0.2">
      <c r="B17" s="26"/>
      <c r="C17" s="26"/>
      <c r="D17" s="26"/>
      <c r="E17" s="30">
        <v>123456</v>
      </c>
      <c r="F17" s="29" t="s">
        <v>46</v>
      </c>
      <c r="G17" s="45">
        <v>7.7770000000000001</v>
      </c>
      <c r="H17" s="27">
        <v>0</v>
      </c>
      <c r="I17" s="27">
        <v>0</v>
      </c>
      <c r="J17" s="17">
        <f>SUM(H17:I17)</f>
        <v>0</v>
      </c>
    </row>
    <row r="18" spans="2:11" x14ac:dyDescent="0.2">
      <c r="B18" s="26"/>
      <c r="C18" s="26"/>
      <c r="D18" s="26"/>
      <c r="E18" s="30">
        <v>123456</v>
      </c>
      <c r="F18" s="29" t="s">
        <v>47</v>
      </c>
      <c r="G18" s="45">
        <v>7.7770000000000001</v>
      </c>
      <c r="H18" s="27">
        <v>0</v>
      </c>
      <c r="I18" s="27">
        <v>0</v>
      </c>
      <c r="J18" s="17">
        <f>SUM(H18:I18)</f>
        <v>0</v>
      </c>
    </row>
    <row r="19" spans="2:11" x14ac:dyDescent="0.2">
      <c r="B19" s="26"/>
      <c r="C19" s="26"/>
      <c r="D19" s="26"/>
      <c r="E19" s="30">
        <v>123456</v>
      </c>
      <c r="F19" s="29" t="s">
        <v>48</v>
      </c>
      <c r="G19" s="45">
        <v>7.7770000000000001</v>
      </c>
      <c r="H19" s="27">
        <v>0</v>
      </c>
      <c r="I19" s="27">
        <v>0</v>
      </c>
      <c r="J19" s="17">
        <f>SUM(H19:I19)</f>
        <v>0</v>
      </c>
    </row>
    <row r="20" spans="2:11" x14ac:dyDescent="0.2">
      <c r="B20" s="26"/>
      <c r="C20" s="26"/>
      <c r="D20" s="26"/>
      <c r="E20" s="27"/>
      <c r="F20" s="29"/>
      <c r="G20" s="43"/>
      <c r="H20" s="27"/>
      <c r="I20" s="27"/>
    </row>
    <row r="21" spans="2:11" x14ac:dyDescent="0.2">
      <c r="B21" s="26">
        <v>3</v>
      </c>
      <c r="C21" s="26">
        <v>100</v>
      </c>
      <c r="D21" s="28" t="s">
        <v>18</v>
      </c>
      <c r="E21" s="26"/>
      <c r="F21" s="28" t="s">
        <v>14</v>
      </c>
      <c r="G21" s="47">
        <v>888.8</v>
      </c>
      <c r="H21" s="27"/>
      <c r="I21" s="27"/>
      <c r="J21" s="18"/>
      <c r="K21" s="20">
        <f>IF(COUNTA(J22:J25)&lt;3,0,IF(COUNTA(J22:J25)=3,SUM(J22:J25),IF(SUM(J22:J25)&gt;0,SUM(J22:J25)-MINA(J22:J25),0)))</f>
        <v>0</v>
      </c>
    </row>
    <row r="22" spans="2:11" x14ac:dyDescent="0.2">
      <c r="B22" s="26"/>
      <c r="C22" s="26"/>
      <c r="D22" s="26"/>
      <c r="E22" s="30">
        <v>123456</v>
      </c>
      <c r="F22" s="29" t="s">
        <v>45</v>
      </c>
      <c r="G22" s="45">
        <v>7.7770000000000001</v>
      </c>
      <c r="H22" s="27">
        <v>0</v>
      </c>
      <c r="I22" s="27">
        <v>0</v>
      </c>
      <c r="J22" s="17">
        <f>SUM(H22:I22)</f>
        <v>0</v>
      </c>
    </row>
    <row r="23" spans="2:11" x14ac:dyDescent="0.2">
      <c r="B23" s="26"/>
      <c r="C23" s="26"/>
      <c r="D23" s="26"/>
      <c r="E23" s="30">
        <v>123456</v>
      </c>
      <c r="F23" s="29" t="s">
        <v>46</v>
      </c>
      <c r="G23" s="45">
        <v>7.7770000000000001</v>
      </c>
      <c r="H23" s="27">
        <v>0</v>
      </c>
      <c r="I23" s="27">
        <v>0</v>
      </c>
      <c r="J23" s="17">
        <f>SUM(H23:I23)</f>
        <v>0</v>
      </c>
    </row>
    <row r="24" spans="2:11" x14ac:dyDescent="0.2">
      <c r="B24" s="26"/>
      <c r="C24" s="26"/>
      <c r="D24" s="26"/>
      <c r="E24" s="30">
        <v>123456</v>
      </c>
      <c r="F24" s="29" t="s">
        <v>47</v>
      </c>
      <c r="G24" s="45">
        <v>7.7770000000000001</v>
      </c>
      <c r="H24" s="27">
        <v>0</v>
      </c>
      <c r="I24" s="27">
        <v>0</v>
      </c>
      <c r="J24" s="17">
        <f>SUM(H24:I24)</f>
        <v>0</v>
      </c>
    </row>
    <row r="25" spans="2:11" x14ac:dyDescent="0.2">
      <c r="B25" s="26"/>
      <c r="C25" s="26"/>
      <c r="D25" s="26"/>
      <c r="E25" s="30">
        <v>123456</v>
      </c>
      <c r="F25" s="29" t="s">
        <v>48</v>
      </c>
      <c r="G25" s="45">
        <v>7.7770000000000001</v>
      </c>
      <c r="H25" s="27">
        <v>0</v>
      </c>
      <c r="I25" s="27">
        <v>0</v>
      </c>
      <c r="J25" s="17">
        <f>SUM(H25:I25)</f>
        <v>0</v>
      </c>
    </row>
    <row r="26" spans="2:11" x14ac:dyDescent="0.2">
      <c r="B26" s="26"/>
      <c r="C26" s="26"/>
      <c r="D26" s="26"/>
      <c r="E26" s="27"/>
      <c r="F26" s="29"/>
      <c r="G26" s="43"/>
      <c r="H26" s="27"/>
      <c r="I26" s="27"/>
    </row>
    <row r="27" spans="2:11" x14ac:dyDescent="0.2">
      <c r="B27" s="26">
        <v>4</v>
      </c>
      <c r="C27" s="26">
        <v>100</v>
      </c>
      <c r="D27" s="28" t="s">
        <v>34</v>
      </c>
      <c r="E27" s="26"/>
      <c r="F27" s="28" t="s">
        <v>19</v>
      </c>
      <c r="G27" s="47">
        <v>888.8</v>
      </c>
      <c r="H27" s="27"/>
      <c r="I27" s="27"/>
      <c r="J27" s="18"/>
      <c r="K27" s="20">
        <f>IF(COUNTA(J28:J31)&lt;3,0,IF(COUNTA(J28:J31)=3,SUM(J28:J31),IF(SUM(J28:J31)&gt;0,SUM(J28:J31)-MINA(J28:J31),0)))</f>
        <v>0</v>
      </c>
    </row>
    <row r="28" spans="2:11" x14ac:dyDescent="0.2">
      <c r="B28" s="26"/>
      <c r="C28" s="26"/>
      <c r="D28" s="26"/>
      <c r="E28" s="30">
        <v>123456</v>
      </c>
      <c r="F28" s="29" t="s">
        <v>45</v>
      </c>
      <c r="G28" s="45">
        <v>7.7770000000000001</v>
      </c>
      <c r="H28" s="27">
        <v>0</v>
      </c>
      <c r="I28" s="27">
        <v>0</v>
      </c>
      <c r="J28" s="17">
        <f>SUM(H28:I28)</f>
        <v>0</v>
      </c>
    </row>
    <row r="29" spans="2:11" x14ac:dyDescent="0.2">
      <c r="B29" s="26"/>
      <c r="C29" s="26"/>
      <c r="D29" s="26"/>
      <c r="E29" s="30">
        <v>123456</v>
      </c>
      <c r="F29" s="29" t="s">
        <v>46</v>
      </c>
      <c r="G29" s="45">
        <v>7.7770000000000001</v>
      </c>
      <c r="H29" s="27">
        <v>0</v>
      </c>
      <c r="I29" s="27">
        <v>0</v>
      </c>
      <c r="J29" s="17">
        <f>SUM(H29:I29)</f>
        <v>0</v>
      </c>
    </row>
    <row r="30" spans="2:11" x14ac:dyDescent="0.2">
      <c r="B30" s="26"/>
      <c r="C30" s="26"/>
      <c r="D30" s="26"/>
      <c r="E30" s="30">
        <v>123456</v>
      </c>
      <c r="F30" s="29" t="s">
        <v>47</v>
      </c>
      <c r="G30" s="45">
        <v>7.7770000000000001</v>
      </c>
      <c r="H30" s="27">
        <v>0</v>
      </c>
      <c r="I30" s="27">
        <v>0</v>
      </c>
      <c r="J30" s="17">
        <f>SUM(H30:I30)</f>
        <v>0</v>
      </c>
    </row>
    <row r="31" spans="2:11" x14ac:dyDescent="0.2">
      <c r="B31" s="26"/>
      <c r="C31" s="26"/>
      <c r="D31" s="26"/>
      <c r="E31" s="30">
        <v>123456</v>
      </c>
      <c r="F31" s="29" t="s">
        <v>48</v>
      </c>
      <c r="G31" s="45">
        <v>7.7770000000000001</v>
      </c>
      <c r="H31" s="27">
        <v>0</v>
      </c>
      <c r="I31" s="27">
        <v>0</v>
      </c>
      <c r="J31" s="17">
        <f>SUM(H31:I31)</f>
        <v>0</v>
      </c>
    </row>
    <row r="32" spans="2:11" x14ac:dyDescent="0.2">
      <c r="B32" s="26"/>
      <c r="C32" s="26"/>
      <c r="D32" s="26"/>
      <c r="E32" s="27"/>
      <c r="F32" s="29"/>
      <c r="G32" s="43"/>
      <c r="H32" s="27"/>
      <c r="I32" s="27"/>
    </row>
    <row r="33" spans="2:11" x14ac:dyDescent="0.2">
      <c r="B33" s="26">
        <v>5</v>
      </c>
      <c r="C33" s="26">
        <v>100</v>
      </c>
      <c r="D33" s="28" t="s">
        <v>35</v>
      </c>
      <c r="E33" s="26"/>
      <c r="F33" s="28" t="s">
        <v>36</v>
      </c>
      <c r="G33" s="47">
        <v>888.8</v>
      </c>
      <c r="H33" s="27"/>
      <c r="I33" s="27"/>
      <c r="J33" s="18"/>
      <c r="K33" s="20">
        <f>IF(COUNTA(J34:J37)&lt;3,0,IF(COUNTA(J34:J37)=3,SUM(J34:J37),IF(SUM(J34:J37)&gt;0,SUM(J34:J37)-MINA(J34:J37),0)))</f>
        <v>0</v>
      </c>
    </row>
    <row r="34" spans="2:11" x14ac:dyDescent="0.2">
      <c r="B34" s="26"/>
      <c r="C34" s="26"/>
      <c r="D34" s="26"/>
      <c r="E34" s="30">
        <v>123456</v>
      </c>
      <c r="F34" s="29" t="s">
        <v>45</v>
      </c>
      <c r="G34" s="45">
        <v>7.7770000000000001</v>
      </c>
      <c r="H34" s="27">
        <v>0</v>
      </c>
      <c r="I34" s="27">
        <v>0</v>
      </c>
      <c r="J34" s="17">
        <f>SUM(H34:I34)</f>
        <v>0</v>
      </c>
    </row>
    <row r="35" spans="2:11" x14ac:dyDescent="0.2">
      <c r="B35" s="26"/>
      <c r="C35" s="26"/>
      <c r="D35" s="26"/>
      <c r="E35" s="30">
        <v>123456</v>
      </c>
      <c r="F35" s="29" t="s">
        <v>46</v>
      </c>
      <c r="G35" s="45">
        <v>7.7770000000000001</v>
      </c>
      <c r="H35" s="27">
        <v>0</v>
      </c>
      <c r="I35" s="27">
        <v>0</v>
      </c>
      <c r="J35" s="17">
        <f>SUM(H35:I35)</f>
        <v>0</v>
      </c>
    </row>
    <row r="36" spans="2:11" x14ac:dyDescent="0.2">
      <c r="B36" s="26"/>
      <c r="C36" s="26"/>
      <c r="D36" s="26"/>
      <c r="E36" s="30">
        <v>123456</v>
      </c>
      <c r="F36" s="29" t="s">
        <v>47</v>
      </c>
      <c r="G36" s="45">
        <v>7.7770000000000001</v>
      </c>
      <c r="H36" s="27">
        <v>0</v>
      </c>
      <c r="I36" s="27">
        <v>0</v>
      </c>
      <c r="J36" s="17">
        <f>SUM(H36:I36)</f>
        <v>0</v>
      </c>
    </row>
    <row r="37" spans="2:11" x14ac:dyDescent="0.2">
      <c r="B37" s="26"/>
      <c r="C37" s="26"/>
      <c r="D37" s="26"/>
      <c r="E37" s="30">
        <v>123456</v>
      </c>
      <c r="F37" s="29" t="s">
        <v>48</v>
      </c>
      <c r="G37" s="45">
        <v>7.7770000000000001</v>
      </c>
      <c r="H37" s="27">
        <v>0</v>
      </c>
      <c r="I37" s="27">
        <v>0</v>
      </c>
      <c r="J37" s="17">
        <f>SUM(H37:I37)</f>
        <v>0</v>
      </c>
    </row>
    <row r="38" spans="2:11" x14ac:dyDescent="0.2">
      <c r="B38" s="26"/>
      <c r="C38" s="26"/>
      <c r="D38" s="26"/>
      <c r="E38" s="27"/>
      <c r="F38" s="29"/>
      <c r="G38" s="43"/>
      <c r="H38" s="27"/>
      <c r="I38" s="27"/>
    </row>
    <row r="39" spans="2:11" x14ac:dyDescent="0.2">
      <c r="B39" s="26">
        <v>6</v>
      </c>
      <c r="C39" s="26">
        <v>100</v>
      </c>
      <c r="D39" s="28" t="s">
        <v>32</v>
      </c>
      <c r="E39" s="26"/>
      <c r="F39" s="28" t="s">
        <v>33</v>
      </c>
      <c r="G39" s="47">
        <v>888.8</v>
      </c>
      <c r="H39" s="27"/>
      <c r="I39" s="27"/>
      <c r="J39" s="18"/>
      <c r="K39" s="20">
        <f>IF(COUNTA(J40:J43)&lt;3,0,IF(COUNTA(J40:J43)=3,SUM(J40:J43),IF(SUM(J40:J43)&gt;0,SUM(J40:J43)-MINA(J40:J43),0)))</f>
        <v>0</v>
      </c>
    </row>
    <row r="40" spans="2:11" x14ac:dyDescent="0.2">
      <c r="B40" s="26"/>
      <c r="C40" s="26"/>
      <c r="D40" s="26"/>
      <c r="E40" s="30">
        <v>123456</v>
      </c>
      <c r="F40" s="29" t="s">
        <v>45</v>
      </c>
      <c r="G40" s="45">
        <v>7.7770000000000001</v>
      </c>
      <c r="H40" s="27">
        <v>0</v>
      </c>
      <c r="I40" s="27">
        <v>0</v>
      </c>
      <c r="J40" s="17">
        <f>SUM(H40:I40)</f>
        <v>0</v>
      </c>
    </row>
    <row r="41" spans="2:11" x14ac:dyDescent="0.2">
      <c r="B41" s="26"/>
      <c r="C41" s="26"/>
      <c r="D41" s="26"/>
      <c r="E41" s="30">
        <v>123456</v>
      </c>
      <c r="F41" s="29" t="s">
        <v>46</v>
      </c>
      <c r="G41" s="45">
        <v>7.7770000000000001</v>
      </c>
      <c r="H41" s="27">
        <v>0</v>
      </c>
      <c r="I41" s="27">
        <v>0</v>
      </c>
      <c r="J41" s="17">
        <f>SUM(H41:I41)</f>
        <v>0</v>
      </c>
    </row>
    <row r="42" spans="2:11" x14ac:dyDescent="0.2">
      <c r="B42" s="26"/>
      <c r="C42" s="26"/>
      <c r="D42" s="26"/>
      <c r="E42" s="30">
        <v>123456</v>
      </c>
      <c r="F42" s="29" t="s">
        <v>47</v>
      </c>
      <c r="G42" s="45">
        <v>7.7770000000000001</v>
      </c>
      <c r="H42" s="27">
        <v>0</v>
      </c>
      <c r="I42" s="27">
        <v>0</v>
      </c>
      <c r="J42" s="17">
        <f>SUM(H42:I42)</f>
        <v>0</v>
      </c>
    </row>
    <row r="43" spans="2:11" x14ac:dyDescent="0.2">
      <c r="B43" s="26"/>
      <c r="C43" s="26"/>
      <c r="D43" s="26"/>
      <c r="E43" s="30">
        <v>123456</v>
      </c>
      <c r="F43" s="29" t="s">
        <v>48</v>
      </c>
      <c r="G43" s="45">
        <v>7.7770000000000001</v>
      </c>
      <c r="H43" s="27">
        <v>0</v>
      </c>
      <c r="I43" s="27">
        <v>0</v>
      </c>
      <c r="J43" s="17">
        <f>SUM(H43:I43)</f>
        <v>0</v>
      </c>
    </row>
    <row r="44" spans="2:11" x14ac:dyDescent="0.2">
      <c r="B44" s="26"/>
      <c r="C44" s="26"/>
      <c r="D44" s="26"/>
      <c r="E44" s="27"/>
      <c r="F44" s="29"/>
      <c r="G44" s="43"/>
      <c r="H44" s="27"/>
      <c r="I44" s="27"/>
    </row>
    <row r="45" spans="2:11" x14ac:dyDescent="0.2">
      <c r="B45" s="26">
        <v>7</v>
      </c>
      <c r="C45" s="26">
        <v>100</v>
      </c>
      <c r="D45" s="28" t="s">
        <v>30</v>
      </c>
      <c r="E45" s="26"/>
      <c r="F45" s="28" t="s">
        <v>31</v>
      </c>
      <c r="G45" s="47">
        <v>888.8</v>
      </c>
      <c r="H45" s="27"/>
      <c r="I45" s="27"/>
      <c r="J45" s="18"/>
      <c r="K45" s="20">
        <f>IF(COUNTA(J46:J49)&lt;3,0,IF(COUNTA(J46:J49)=3,SUM(J46:J49),IF(SUM(J46:J49)&gt;0,SUM(J46:J49)-MINA(J46:J49),0)))</f>
        <v>0</v>
      </c>
    </row>
    <row r="46" spans="2:11" x14ac:dyDescent="0.2">
      <c r="B46" s="26"/>
      <c r="C46" s="26"/>
      <c r="D46" s="26"/>
      <c r="E46" s="30">
        <v>123456</v>
      </c>
      <c r="F46" s="29" t="s">
        <v>45</v>
      </c>
      <c r="G46" s="45">
        <v>7.7770000000000001</v>
      </c>
      <c r="H46" s="27">
        <v>0</v>
      </c>
      <c r="I46" s="27">
        <v>0</v>
      </c>
      <c r="J46" s="17">
        <f>SUM(H46:I46)</f>
        <v>0</v>
      </c>
    </row>
    <row r="47" spans="2:11" x14ac:dyDescent="0.2">
      <c r="B47" s="26"/>
      <c r="C47" s="26"/>
      <c r="D47" s="26"/>
      <c r="E47" s="30">
        <v>123456</v>
      </c>
      <c r="F47" s="29" t="s">
        <v>46</v>
      </c>
      <c r="G47" s="45">
        <v>7.7770000000000001</v>
      </c>
      <c r="H47" s="27">
        <v>0</v>
      </c>
      <c r="I47" s="27">
        <v>0</v>
      </c>
      <c r="J47" s="17">
        <f>SUM(H47:I47)</f>
        <v>0</v>
      </c>
    </row>
    <row r="48" spans="2:11" x14ac:dyDescent="0.2">
      <c r="B48" s="26"/>
      <c r="C48" s="26"/>
      <c r="D48" s="26"/>
      <c r="E48" s="30">
        <v>123456</v>
      </c>
      <c r="F48" s="29" t="s">
        <v>47</v>
      </c>
      <c r="G48" s="45">
        <v>7.7770000000000001</v>
      </c>
      <c r="H48" s="27">
        <v>0</v>
      </c>
      <c r="I48" s="27">
        <v>0</v>
      </c>
      <c r="J48" s="17">
        <f>SUM(H48:I48)</f>
        <v>0</v>
      </c>
    </row>
    <row r="49" spans="1:11" x14ac:dyDescent="0.2">
      <c r="B49" s="26"/>
      <c r="C49" s="26"/>
      <c r="D49" s="26"/>
      <c r="E49" s="30">
        <v>123456</v>
      </c>
      <c r="F49" s="29" t="s">
        <v>48</v>
      </c>
      <c r="G49" s="45">
        <v>7.7770000000000001</v>
      </c>
      <c r="H49" s="27">
        <v>0</v>
      </c>
      <c r="I49" s="27">
        <v>0</v>
      </c>
      <c r="J49" s="17">
        <f>SUM(H49:I49)</f>
        <v>0</v>
      </c>
    </row>
    <row r="50" spans="1:11" x14ac:dyDescent="0.2">
      <c r="B50" s="26"/>
      <c r="C50" s="26"/>
      <c r="D50" s="26"/>
      <c r="E50" s="27"/>
      <c r="F50" s="29"/>
      <c r="G50" s="43"/>
      <c r="H50" s="27"/>
      <c r="I50" s="27"/>
    </row>
    <row r="51" spans="1:11" x14ac:dyDescent="0.2">
      <c r="B51" s="26">
        <v>8</v>
      </c>
      <c r="C51" s="26">
        <v>100</v>
      </c>
      <c r="D51" s="28" t="s">
        <v>28</v>
      </c>
      <c r="E51" s="26"/>
      <c r="F51" s="28" t="s">
        <v>29</v>
      </c>
      <c r="G51" s="47">
        <v>888.8</v>
      </c>
      <c r="H51" s="27"/>
      <c r="I51" s="27"/>
      <c r="J51" s="18"/>
      <c r="K51" s="20">
        <f>IF(COUNTA(J52:J55)&lt;3,0,IF(COUNTA(J52:J55)=3,SUM(J52:J55),IF(SUM(J52:J55)&gt;0,SUM(J52:J55)-MINA(J52:J55),0)))</f>
        <v>0</v>
      </c>
    </row>
    <row r="52" spans="1:11" x14ac:dyDescent="0.2">
      <c r="B52" s="26"/>
      <c r="C52" s="26"/>
      <c r="D52" s="26"/>
      <c r="E52" s="30">
        <v>123456</v>
      </c>
      <c r="F52" s="29" t="s">
        <v>45</v>
      </c>
      <c r="G52" s="45">
        <v>7.7770000000000001</v>
      </c>
      <c r="H52" s="27">
        <v>0</v>
      </c>
      <c r="I52" s="27">
        <v>0</v>
      </c>
      <c r="J52" s="17">
        <f>SUM(H52:I52)</f>
        <v>0</v>
      </c>
    </row>
    <row r="53" spans="1:11" x14ac:dyDescent="0.2">
      <c r="B53" s="26"/>
      <c r="C53" s="26"/>
      <c r="D53" s="26"/>
      <c r="E53" s="30">
        <v>123456</v>
      </c>
      <c r="F53" s="29" t="s">
        <v>46</v>
      </c>
      <c r="G53" s="45">
        <v>7.7770000000000001</v>
      </c>
      <c r="H53" s="27">
        <v>0</v>
      </c>
      <c r="I53" s="27">
        <v>0</v>
      </c>
      <c r="J53" s="17">
        <f>SUM(H53:I53)</f>
        <v>0</v>
      </c>
    </row>
    <row r="54" spans="1:11" x14ac:dyDescent="0.2">
      <c r="B54" s="26"/>
      <c r="C54" s="26"/>
      <c r="D54" s="26"/>
      <c r="E54" s="30">
        <v>123456</v>
      </c>
      <c r="F54" s="29" t="s">
        <v>47</v>
      </c>
      <c r="G54" s="45">
        <v>7.7770000000000001</v>
      </c>
      <c r="H54" s="27">
        <v>0</v>
      </c>
      <c r="I54" s="27">
        <v>0</v>
      </c>
      <c r="J54" s="17">
        <f>SUM(H54:I54)</f>
        <v>0</v>
      </c>
    </row>
    <row r="55" spans="1:11" x14ac:dyDescent="0.2">
      <c r="B55" s="26"/>
      <c r="C55" s="26"/>
      <c r="D55" s="26"/>
      <c r="E55" s="30">
        <v>123456</v>
      </c>
      <c r="F55" s="29" t="s">
        <v>48</v>
      </c>
      <c r="G55" s="45">
        <v>7.7770000000000001</v>
      </c>
      <c r="H55" s="27">
        <v>0</v>
      </c>
      <c r="I55" s="27">
        <v>0</v>
      </c>
      <c r="J55" s="17">
        <f>SUM(H55:I55)</f>
        <v>0</v>
      </c>
    </row>
    <row r="56" spans="1:11" x14ac:dyDescent="0.2">
      <c r="B56" s="26"/>
      <c r="C56" s="26"/>
      <c r="D56" s="26"/>
      <c r="E56" s="27"/>
      <c r="F56" s="29"/>
      <c r="G56" s="43"/>
      <c r="H56" s="27"/>
      <c r="I56" s="27"/>
    </row>
    <row r="57" spans="1:11" x14ac:dyDescent="0.2">
      <c r="B57" s="26">
        <v>9</v>
      </c>
      <c r="C57" s="26">
        <v>100</v>
      </c>
      <c r="D57" s="28" t="s">
        <v>26</v>
      </c>
      <c r="E57" s="26"/>
      <c r="F57" s="28" t="s">
        <v>27</v>
      </c>
      <c r="G57" s="47">
        <v>888.8</v>
      </c>
      <c r="H57" s="27"/>
      <c r="I57" s="27"/>
      <c r="J57" s="18"/>
      <c r="K57" s="20">
        <f>IF(COUNTA(J58:J61)&lt;3,0,IF(COUNTA(J58:J61)=3,SUM(J58:J61),IF(SUM(J58:J61)&gt;0,SUM(J58:J61)-MINA(J58:J61),0)))</f>
        <v>0</v>
      </c>
    </row>
    <row r="58" spans="1:11" x14ac:dyDescent="0.2">
      <c r="B58" s="26"/>
      <c r="C58" s="26"/>
      <c r="D58" s="26"/>
      <c r="E58" s="30">
        <v>123456</v>
      </c>
      <c r="F58" s="29" t="s">
        <v>45</v>
      </c>
      <c r="G58" s="45">
        <v>7.7770000000000001</v>
      </c>
      <c r="H58" s="27">
        <v>0</v>
      </c>
      <c r="I58" s="27">
        <v>0</v>
      </c>
      <c r="J58" s="17">
        <f>SUM(H58:I58)</f>
        <v>0</v>
      </c>
    </row>
    <row r="59" spans="1:11" x14ac:dyDescent="0.2">
      <c r="B59" s="26"/>
      <c r="C59" s="26"/>
      <c r="D59" s="26"/>
      <c r="E59" s="30">
        <v>123456</v>
      </c>
      <c r="F59" s="29" t="s">
        <v>46</v>
      </c>
      <c r="G59" s="45">
        <v>7.7770000000000001</v>
      </c>
      <c r="H59" s="27">
        <v>0</v>
      </c>
      <c r="I59" s="27">
        <v>0</v>
      </c>
      <c r="J59" s="17">
        <f>SUM(H59:I59)</f>
        <v>0</v>
      </c>
    </row>
    <row r="60" spans="1:11" x14ac:dyDescent="0.2">
      <c r="B60" s="26"/>
      <c r="C60" s="26"/>
      <c r="D60" s="26"/>
      <c r="E60" s="30">
        <v>123456</v>
      </c>
      <c r="F60" s="29" t="s">
        <v>47</v>
      </c>
      <c r="G60" s="45">
        <v>7.7770000000000001</v>
      </c>
      <c r="H60" s="27">
        <v>0</v>
      </c>
      <c r="I60" s="27">
        <v>0</v>
      </c>
      <c r="J60" s="17">
        <f>SUM(H60:I60)</f>
        <v>0</v>
      </c>
    </row>
    <row r="61" spans="1:11" x14ac:dyDescent="0.2">
      <c r="B61" s="26"/>
      <c r="C61" s="26"/>
      <c r="D61" s="26"/>
      <c r="E61" s="30">
        <v>123456</v>
      </c>
      <c r="F61" s="29" t="s">
        <v>48</v>
      </c>
      <c r="G61" s="45">
        <v>7.7770000000000001</v>
      </c>
      <c r="H61" s="27">
        <v>0</v>
      </c>
      <c r="I61" s="27">
        <v>0</v>
      </c>
      <c r="J61" s="17">
        <f>SUM(H61:I61)</f>
        <v>0</v>
      </c>
    </row>
    <row r="62" spans="1:11" ht="15" x14ac:dyDescent="0.2">
      <c r="A62"/>
      <c r="B62"/>
      <c r="C62"/>
      <c r="D62"/>
      <c r="E62"/>
      <c r="F62"/>
      <c r="G62" s="44"/>
      <c r="H62" s="27"/>
      <c r="I62" s="27"/>
      <c r="J62"/>
      <c r="K62"/>
    </row>
    <row r="63" spans="1:11" x14ac:dyDescent="0.2">
      <c r="B63" s="26">
        <v>10</v>
      </c>
      <c r="C63" s="26">
        <v>100</v>
      </c>
      <c r="D63" s="28" t="s">
        <v>24</v>
      </c>
      <c r="E63" s="26"/>
      <c r="F63" s="28" t="s">
        <v>25</v>
      </c>
      <c r="G63" s="47">
        <v>888.8</v>
      </c>
      <c r="H63" s="27"/>
      <c r="I63" s="27"/>
      <c r="J63" s="18"/>
      <c r="K63" s="20">
        <f>IF(COUNTA(J64:J67)&lt;3,0,IF(COUNTA(J64:J67)=3,SUM(J64:J67),IF(SUM(J64:J67)&gt;0,SUM(J64:J67)-MINA(J64:J67),0)))</f>
        <v>0</v>
      </c>
    </row>
    <row r="64" spans="1:11" x14ac:dyDescent="0.2">
      <c r="B64" s="26"/>
      <c r="C64" s="26"/>
      <c r="D64" s="26"/>
      <c r="E64" s="30">
        <v>123456</v>
      </c>
      <c r="F64" s="29" t="s">
        <v>45</v>
      </c>
      <c r="G64" s="45">
        <v>7.7770000000000001</v>
      </c>
      <c r="H64" s="27">
        <v>0</v>
      </c>
      <c r="I64" s="27">
        <v>0</v>
      </c>
      <c r="J64" s="17">
        <f>SUM(H64:I64)</f>
        <v>0</v>
      </c>
    </row>
    <row r="65" spans="2:11" x14ac:dyDescent="0.2">
      <c r="B65" s="26"/>
      <c r="C65" s="26"/>
      <c r="D65" s="26"/>
      <c r="E65" s="30">
        <v>123456</v>
      </c>
      <c r="F65" s="29" t="s">
        <v>46</v>
      </c>
      <c r="G65" s="45">
        <v>7.7770000000000001</v>
      </c>
      <c r="H65" s="27">
        <v>0</v>
      </c>
      <c r="I65" s="27">
        <v>0</v>
      </c>
      <c r="J65" s="17">
        <f>SUM(H65:I65)</f>
        <v>0</v>
      </c>
    </row>
    <row r="66" spans="2:11" x14ac:dyDescent="0.2">
      <c r="B66" s="26"/>
      <c r="C66" s="26"/>
      <c r="D66" s="26"/>
      <c r="E66" s="30">
        <v>123456</v>
      </c>
      <c r="F66" s="29" t="s">
        <v>47</v>
      </c>
      <c r="G66" s="45">
        <v>7.7770000000000001</v>
      </c>
      <c r="H66" s="27">
        <v>0</v>
      </c>
      <c r="I66" s="27">
        <v>0</v>
      </c>
      <c r="J66" s="17">
        <f>SUM(H66:I66)</f>
        <v>0</v>
      </c>
    </row>
    <row r="67" spans="2:11" x14ac:dyDescent="0.2">
      <c r="B67" s="26"/>
      <c r="C67" s="26"/>
      <c r="D67" s="26"/>
      <c r="E67" s="30">
        <v>123456</v>
      </c>
      <c r="F67" s="29" t="s">
        <v>48</v>
      </c>
      <c r="G67" s="45">
        <v>7.7770000000000001</v>
      </c>
      <c r="H67" s="27">
        <v>0</v>
      </c>
      <c r="I67" s="27">
        <v>0</v>
      </c>
      <c r="J67" s="17">
        <f>SUM(H67:I67)</f>
        <v>0</v>
      </c>
    </row>
    <row r="68" spans="2:11" x14ac:dyDescent="0.2">
      <c r="H68" s="27"/>
      <c r="I68" s="27"/>
    </row>
    <row r="69" spans="2:11" x14ac:dyDescent="0.2">
      <c r="B69" s="26">
        <v>11</v>
      </c>
      <c r="C69" s="26">
        <v>100</v>
      </c>
      <c r="D69" s="28" t="s">
        <v>23</v>
      </c>
      <c r="E69" s="26"/>
      <c r="F69" s="28" t="s">
        <v>22</v>
      </c>
      <c r="G69" s="47">
        <v>888.8</v>
      </c>
      <c r="H69" s="27"/>
      <c r="I69" s="27"/>
      <c r="J69" s="18"/>
      <c r="K69" s="20">
        <f>IF(COUNTA(J70:J73)&lt;3,0,IF(COUNTA(J70:J73)=3,SUM(J70:J73),IF(SUM(J70:J73)&gt;0,SUM(J70:J73)-MINA(J70:J73),0)))</f>
        <v>0</v>
      </c>
    </row>
    <row r="70" spans="2:11" x14ac:dyDescent="0.2">
      <c r="B70" s="26"/>
      <c r="C70" s="26"/>
      <c r="D70" s="26"/>
      <c r="E70" s="30">
        <v>123456</v>
      </c>
      <c r="F70" s="29" t="s">
        <v>45</v>
      </c>
      <c r="G70" s="45">
        <v>7.7770000000000001</v>
      </c>
      <c r="H70" s="27">
        <v>0</v>
      </c>
      <c r="I70" s="27">
        <v>0</v>
      </c>
      <c r="J70" s="17">
        <f>SUM(H70:I70)</f>
        <v>0</v>
      </c>
    </row>
    <row r="71" spans="2:11" x14ac:dyDescent="0.2">
      <c r="B71" s="26"/>
      <c r="C71" s="26"/>
      <c r="D71" s="26"/>
      <c r="E71" s="30">
        <v>123456</v>
      </c>
      <c r="F71" s="29" t="s">
        <v>46</v>
      </c>
      <c r="G71" s="45">
        <v>7.7770000000000001</v>
      </c>
      <c r="H71" s="27">
        <v>0</v>
      </c>
      <c r="I71" s="27">
        <v>0</v>
      </c>
      <c r="J71" s="17">
        <f>SUM(H71:I71)</f>
        <v>0</v>
      </c>
    </row>
    <row r="72" spans="2:11" x14ac:dyDescent="0.2">
      <c r="B72" s="26"/>
      <c r="C72" s="26"/>
      <c r="D72" s="26"/>
      <c r="E72" s="30">
        <v>123456</v>
      </c>
      <c r="F72" s="29" t="s">
        <v>47</v>
      </c>
      <c r="G72" s="45">
        <v>7.7770000000000001</v>
      </c>
      <c r="H72" s="27">
        <v>0</v>
      </c>
      <c r="I72" s="27">
        <v>0</v>
      </c>
      <c r="J72" s="17">
        <f>SUM(H72:I72)</f>
        <v>0</v>
      </c>
    </row>
    <row r="73" spans="2:11" x14ac:dyDescent="0.2">
      <c r="B73" s="26"/>
      <c r="C73" s="26"/>
      <c r="D73" s="26"/>
      <c r="E73" s="30">
        <v>123456</v>
      </c>
      <c r="F73" s="29" t="s">
        <v>48</v>
      </c>
      <c r="G73" s="45">
        <v>7.7770000000000001</v>
      </c>
      <c r="H73" s="27">
        <v>0</v>
      </c>
      <c r="I73" s="27">
        <v>0</v>
      </c>
      <c r="J73" s="17">
        <f>SUM(H73:I73)</f>
        <v>0</v>
      </c>
    </row>
    <row r="74" spans="2:11" x14ac:dyDescent="0.2">
      <c r="H74" s="27"/>
      <c r="I74" s="27"/>
    </row>
    <row r="75" spans="2:11" x14ac:dyDescent="0.2">
      <c r="B75" s="26">
        <v>12</v>
      </c>
      <c r="C75" s="26">
        <v>100</v>
      </c>
      <c r="D75" s="28" t="s">
        <v>20</v>
      </c>
      <c r="E75" s="26"/>
      <c r="F75" s="28" t="s">
        <v>21</v>
      </c>
      <c r="G75" s="47">
        <v>888.8</v>
      </c>
      <c r="H75" s="27"/>
      <c r="I75" s="27"/>
      <c r="J75" s="18"/>
      <c r="K75" s="20">
        <f>IF(COUNTA(J76:J79)&lt;3,0,IF(COUNTA(J76:J79)=3,SUM(J76:J79),IF(SUM(J76:J79)&gt;0,SUM(J76:J79)-MINA(J76:J79),0)))</f>
        <v>0</v>
      </c>
    </row>
    <row r="76" spans="2:11" x14ac:dyDescent="0.2">
      <c r="B76" s="26"/>
      <c r="C76" s="26"/>
      <c r="D76" s="26"/>
      <c r="E76" s="30">
        <v>123456</v>
      </c>
      <c r="F76" s="29" t="s">
        <v>45</v>
      </c>
      <c r="G76" s="45">
        <v>7.7770000000000001</v>
      </c>
      <c r="H76" s="27">
        <v>0</v>
      </c>
      <c r="I76" s="27">
        <v>0</v>
      </c>
      <c r="J76" s="17">
        <f>SUM(H76:I76)</f>
        <v>0</v>
      </c>
    </row>
    <row r="77" spans="2:11" x14ac:dyDescent="0.2">
      <c r="B77" s="26"/>
      <c r="C77" s="26"/>
      <c r="D77" s="26"/>
      <c r="E77" s="30">
        <v>123456</v>
      </c>
      <c r="F77" s="29" t="s">
        <v>46</v>
      </c>
      <c r="G77" s="45">
        <v>7.7770000000000001</v>
      </c>
      <c r="H77" s="27">
        <v>0</v>
      </c>
      <c r="I77" s="27">
        <v>0</v>
      </c>
      <c r="J77" s="17">
        <f>SUM(H77:I77)</f>
        <v>0</v>
      </c>
    </row>
    <row r="78" spans="2:11" x14ac:dyDescent="0.2">
      <c r="B78" s="26"/>
      <c r="C78" s="26"/>
      <c r="D78" s="26"/>
      <c r="E78" s="30">
        <v>123456</v>
      </c>
      <c r="F78" s="29" t="s">
        <v>47</v>
      </c>
      <c r="G78" s="45">
        <v>7.7770000000000001</v>
      </c>
      <c r="H78" s="27">
        <v>0</v>
      </c>
      <c r="I78" s="27">
        <v>0</v>
      </c>
      <c r="J78" s="17">
        <f>SUM(H78:I78)</f>
        <v>0</v>
      </c>
    </row>
    <row r="79" spans="2:11" x14ac:dyDescent="0.2">
      <c r="B79" s="26"/>
      <c r="C79" s="26"/>
      <c r="D79" s="26"/>
      <c r="E79" s="30">
        <v>123456</v>
      </c>
      <c r="F79" s="29" t="s">
        <v>48</v>
      </c>
      <c r="G79" s="45">
        <v>7.7770000000000001</v>
      </c>
      <c r="H79" s="27">
        <v>0</v>
      </c>
      <c r="I79" s="27">
        <v>0</v>
      </c>
      <c r="J79" s="17">
        <f>SUM(H79:I79)</f>
        <v>0</v>
      </c>
    </row>
    <row r="82" spans="2:2" x14ac:dyDescent="0.2">
      <c r="B82" s="48" t="s">
        <v>52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  <ignoredErrors>
    <ignoredError sqref="J10 J11:J13 J16:J19 J22:J25 J28:J7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4.77734375" customWidth="1"/>
    <col min="22" max="22" width="1.77734375" customWidth="1"/>
  </cols>
  <sheetData>
    <row r="1" spans="1:20" ht="73.5" customHeight="1" x14ac:dyDescent="0.2"/>
    <row r="2" spans="1:20" ht="30" customHeight="1" x14ac:dyDescent="0.3">
      <c r="B2" s="95" t="str">
        <f>'Deelnemers en Scores'!B1</f>
        <v>Rayon kampioenschappen 25m1pijl Teams   Rayon 3</v>
      </c>
      <c r="C2" s="96"/>
      <c r="D2" s="96"/>
      <c r="E2" s="96"/>
      <c r="F2" s="96"/>
      <c r="G2" s="96"/>
      <c r="H2" s="96"/>
      <c r="I2" s="96"/>
      <c r="J2" s="97"/>
      <c r="K2" s="98"/>
      <c r="L2" s="98"/>
      <c r="M2" s="96"/>
      <c r="N2" s="99"/>
      <c r="O2" s="100"/>
      <c r="P2" s="97"/>
      <c r="Q2" s="101"/>
      <c r="R2" s="97"/>
      <c r="S2" s="102"/>
    </row>
    <row r="4" spans="1:20" ht="28.5" customHeight="1" x14ac:dyDescent="0.25">
      <c r="B4" s="2" t="str">
        <f>'Deelnemers en Scores'!B4</f>
        <v>Klasse: ???</v>
      </c>
      <c r="E4" s="3"/>
      <c r="O4" s="94" t="s">
        <v>4</v>
      </c>
      <c r="P4" s="91" t="str">
        <f>'Deelnemers en Scores'!D3</f>
        <v>yyyy-mm-dd</v>
      </c>
      <c r="Q4" s="46"/>
      <c r="R4" s="92"/>
      <c r="S4" s="93"/>
    </row>
    <row r="5" spans="1:20" ht="12.95" customHeight="1" x14ac:dyDescent="0.2"/>
    <row r="7" spans="1:20" ht="21" customHeight="1" x14ac:dyDescent="0.25">
      <c r="B7" s="4"/>
      <c r="C7" s="5"/>
      <c r="D7" s="6"/>
      <c r="E7" s="113" t="s">
        <v>38</v>
      </c>
      <c r="F7" s="114"/>
      <c r="G7" s="114"/>
      <c r="H7" s="115"/>
      <c r="I7" s="69"/>
      <c r="J7" s="113" t="s">
        <v>39</v>
      </c>
      <c r="K7" s="114"/>
      <c r="L7" s="114"/>
      <c r="M7" s="115"/>
      <c r="N7" s="69"/>
      <c r="O7" s="113" t="s">
        <v>40</v>
      </c>
      <c r="P7" s="114"/>
      <c r="Q7" s="114"/>
      <c r="R7" s="115"/>
      <c r="S7" s="7"/>
    </row>
    <row r="8" spans="1:20" ht="21" customHeight="1" x14ac:dyDescent="0.2">
      <c r="A8" s="1"/>
      <c r="B8" s="8" t="s">
        <v>0</v>
      </c>
      <c r="C8" s="32" t="s">
        <v>7</v>
      </c>
      <c r="D8" s="33" t="s">
        <v>8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</row>
    <row r="9" spans="1:20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70" t="s">
        <v>41</v>
      </c>
    </row>
    <row r="10" spans="1:20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70" t="s">
        <v>42</v>
      </c>
    </row>
    <row r="11" spans="1:20" ht="19.899999999999999" customHeight="1" x14ac:dyDescent="0.2">
      <c r="A11" s="1">
        <f>A10+1</f>
        <v>1</v>
      </c>
      <c r="B11" s="21">
        <f>IF('Deelnemers en Scores'!B9&gt;0,'Deelnemers en Scores'!B9,"")</f>
        <v>1</v>
      </c>
      <c r="C11" s="22" t="str">
        <f>IF('Deelnemers en Scores'!F9="","",'Deelnemers en Scores'!F9)</f>
        <v>Team naam 1</v>
      </c>
      <c r="D11" s="23" t="str">
        <f>'Deelnemers en Scores'!D9</f>
        <v>Vereniging 1</v>
      </c>
      <c r="E11" s="65" t="str">
        <f>IF('Deelnemers en Scores'!H10=0,"",'Deelnemers en Scores'!H10)</f>
        <v/>
      </c>
      <c r="F11" s="65" t="str">
        <f>IF('Deelnemers en Scores'!H11=0,"",'Deelnemers en Scores'!H11)</f>
        <v/>
      </c>
      <c r="G11" s="65" t="str">
        <f>IF('Deelnemers en Scores'!H12=0,"",'Deelnemers en Scores'!H12)</f>
        <v/>
      </c>
      <c r="H11" s="65" t="str">
        <f>IF('Deelnemers en Scores'!H13=0,"",'Deelnemers en Scores'!H13)</f>
        <v/>
      </c>
      <c r="I11" s="24"/>
      <c r="J11" s="65" t="str">
        <f>IF('Deelnemers en Scores'!I10=0,"",'Deelnemers en Scores'!I10)</f>
        <v/>
      </c>
      <c r="K11" s="65" t="str">
        <f>IF('Deelnemers en Scores'!I11=0,"",'Deelnemers en Scores'!I11)</f>
        <v/>
      </c>
      <c r="L11" s="65" t="str">
        <f>IF('Deelnemers en Scores'!I12=0,"",'Deelnemers en Scores'!I12)</f>
        <v/>
      </c>
      <c r="M11" s="65" t="str">
        <f>IF('Deelnemers en Scores'!I13=0,"",'Deelnemers en Scores'!I13)</f>
        <v/>
      </c>
      <c r="N11" s="24"/>
      <c r="O11" s="66" t="str">
        <f>IF(ISNUMBER(J11),E11+J11,"")</f>
        <v/>
      </c>
      <c r="P11" s="67" t="str">
        <f>IF(ISNUMBER(K11),F11+K11,"")</f>
        <v/>
      </c>
      <c r="Q11" s="67" t="str">
        <f>IF(ISNUMBER(L11),G11+L11,"")</f>
        <v/>
      </c>
      <c r="R11" s="68" t="str">
        <f>IF(ISNUMBER(M11),H11+M11,"")</f>
        <v/>
      </c>
      <c r="S11" s="25">
        <f>IF(COUNTA(O11:R11)&lt;3,0,IF(COUNTA(O11:R11)=3,SUM(O11:R11),SUM(O11:R11)-MINA(O11:R11)))</f>
        <v>0</v>
      </c>
      <c r="T11" s="15"/>
    </row>
    <row r="12" spans="1:20" ht="19.899999999999999" customHeight="1" x14ac:dyDescent="0.2">
      <c r="A12" s="1">
        <f t="shared" ref="A12:A22" si="0">A11+1</f>
        <v>2</v>
      </c>
      <c r="B12" s="21">
        <f>IF('Deelnemers en Scores'!B15&gt;0,'Deelnemers en Scores'!B15,"")</f>
        <v>2</v>
      </c>
      <c r="C12" s="22" t="str">
        <f>IF('Deelnemers en Scores'!F15="","",'Deelnemers en Scores'!F15)</f>
        <v>Team naam 2</v>
      </c>
      <c r="D12" s="23" t="str">
        <f>'Deelnemers en Scores'!D15</f>
        <v>Vereniging 2</v>
      </c>
      <c r="E12" s="65" t="str">
        <f>IF('Deelnemers en Scores'!H16=0,"",'Deelnemers en Scores'!H16)</f>
        <v/>
      </c>
      <c r="F12" s="65" t="str">
        <f>IF('Deelnemers en Scores'!H17=0,"",'Deelnemers en Scores'!H17)</f>
        <v/>
      </c>
      <c r="G12" s="65" t="str">
        <f>IF('Deelnemers en Scores'!H18=0,"",'Deelnemers en Scores'!H18)</f>
        <v/>
      </c>
      <c r="H12" s="65" t="str">
        <f>IF('Deelnemers en Scores'!H19=0,"",'Deelnemers en Scores'!H19)</f>
        <v/>
      </c>
      <c r="I12" s="24"/>
      <c r="J12" s="65" t="str">
        <f>IF('Deelnemers en Scores'!I16=0,"",'Deelnemers en Scores'!I16)</f>
        <v/>
      </c>
      <c r="K12" s="65" t="str">
        <f>IF('Deelnemers en Scores'!I17=0,"",'Deelnemers en Scores'!I17)</f>
        <v/>
      </c>
      <c r="L12" s="65" t="str">
        <f>IF('Deelnemers en Scores'!I18=0,"",'Deelnemers en Scores'!I18)</f>
        <v/>
      </c>
      <c r="M12" s="65" t="str">
        <f>IF('Deelnemers en Scores'!I19=0,"",'Deelnemers en Scores'!I19)</f>
        <v/>
      </c>
      <c r="N12" s="24"/>
      <c r="O12" s="66" t="str">
        <f>IF(ISNUMBER(J12),E12+J12,"")</f>
        <v/>
      </c>
      <c r="P12" s="67" t="str">
        <f>IF(ISNUMBER(K12),F12+K12,"")</f>
        <v/>
      </c>
      <c r="Q12" s="67" t="str">
        <f>IF(ISNUMBER(L12),G12+L12,"")</f>
        <v/>
      </c>
      <c r="R12" s="68" t="str">
        <f>IF(ISNUMBER(M12),H12+M12,"")</f>
        <v/>
      </c>
      <c r="S12" s="25">
        <f>IF(COUNTA(O12:R12)&lt;3,0,IF(COUNTA(O12:R12)=3,SUM(O12:R12),SUM(O12:R12)-MINA(O12:R12)))</f>
        <v>0</v>
      </c>
      <c r="T12" s="15"/>
    </row>
    <row r="13" spans="1:20" ht="19.899999999999999" customHeight="1" x14ac:dyDescent="0.2">
      <c r="A13" s="1">
        <f t="shared" si="0"/>
        <v>3</v>
      </c>
      <c r="B13" s="21">
        <f>IF('Deelnemers en Scores'!B21&gt;0,'Deelnemers en Scores'!B21,"")</f>
        <v>3</v>
      </c>
      <c r="C13" s="22" t="str">
        <f>IF('Deelnemers en Scores'!F21="","",'Deelnemers en Scores'!F21)</f>
        <v>Team naam 3</v>
      </c>
      <c r="D13" s="23" t="str">
        <f>'Deelnemers en Scores'!D21</f>
        <v>Vereniging 3</v>
      </c>
      <c r="E13" s="65" t="str">
        <f>IF('Deelnemers en Scores'!H22=0,"",'Deelnemers en Scores'!H22)</f>
        <v/>
      </c>
      <c r="F13" s="65" t="str">
        <f>IF('Deelnemers en Scores'!H23=0,"",'Deelnemers en Scores'!H23)</f>
        <v/>
      </c>
      <c r="G13" s="65" t="str">
        <f>IF('Deelnemers en Scores'!H24=0,"",'Deelnemers en Scores'!H24)</f>
        <v/>
      </c>
      <c r="H13" s="65" t="str">
        <f>IF('Deelnemers en Scores'!H25=0,"",'Deelnemers en Scores'!H25)</f>
        <v/>
      </c>
      <c r="I13" s="24"/>
      <c r="J13" s="65" t="str">
        <f>IF('Deelnemers en Scores'!I22=0,"",'Deelnemers en Scores'!I22)</f>
        <v/>
      </c>
      <c r="K13" s="65" t="str">
        <f>IF('Deelnemers en Scores'!I23=0,"",'Deelnemers en Scores'!I23)</f>
        <v/>
      </c>
      <c r="L13" s="65" t="str">
        <f>IF('Deelnemers en Scores'!I24=0,"",'Deelnemers en Scores'!I24)</f>
        <v/>
      </c>
      <c r="M13" s="65" t="str">
        <f>IF('Deelnemers en Scores'!I25=0,"",'Deelnemers en Scores'!I25)</f>
        <v/>
      </c>
      <c r="N13" s="24"/>
      <c r="O13" s="66" t="str">
        <f>IF(ISNUMBER(J13),E13+J13,"")</f>
        <v/>
      </c>
      <c r="P13" s="67" t="str">
        <f>IF(ISNUMBER(K13),F13+K13,"")</f>
        <v/>
      </c>
      <c r="Q13" s="67" t="str">
        <f>IF(ISNUMBER(L13),G13+L13,"")</f>
        <v/>
      </c>
      <c r="R13" s="68" t="str">
        <f>IF(ISNUMBER(M13),H13+M13,"")</f>
        <v/>
      </c>
      <c r="S13" s="25">
        <f>IF(COUNTA(O13:R13)&lt;3,0,IF(COUNTA(O13:R13)=3,SUM(O13:R13),SUM(O13:R13)-MINA(O13:R13)))</f>
        <v>0</v>
      </c>
      <c r="T13" s="15"/>
    </row>
    <row r="14" spans="1:20" ht="19.899999999999999" customHeight="1" x14ac:dyDescent="0.2">
      <c r="A14" s="1">
        <f t="shared" si="0"/>
        <v>4</v>
      </c>
      <c r="B14" s="21">
        <f>IF('Deelnemers en Scores'!B27&gt;0,'Deelnemers en Scores'!B27,"")</f>
        <v>4</v>
      </c>
      <c r="C14" s="22" t="str">
        <f>IF('Deelnemers en Scores'!F27="","",'Deelnemers en Scores'!F27)</f>
        <v>Team naam 4</v>
      </c>
      <c r="D14" s="23" t="str">
        <f>'Deelnemers en Scores'!D27</f>
        <v>Vereniging 4</v>
      </c>
      <c r="E14" s="65" t="str">
        <f>IF('Deelnemers en Scores'!H28=0,"",'Deelnemers en Scores'!H28)</f>
        <v/>
      </c>
      <c r="F14" s="65" t="str">
        <f>IF('Deelnemers en Scores'!H29=0,"",'Deelnemers en Scores'!H29)</f>
        <v/>
      </c>
      <c r="G14" s="65" t="str">
        <f>IF('Deelnemers en Scores'!H30=0,"",'Deelnemers en Scores'!H30)</f>
        <v/>
      </c>
      <c r="H14" s="65" t="str">
        <f>IF('Deelnemers en Scores'!H31=0,"",'Deelnemers en Scores'!H31)</f>
        <v/>
      </c>
      <c r="I14" s="24"/>
      <c r="J14" s="65" t="str">
        <f>IF('Deelnemers en Scores'!I28=0,"",'Deelnemers en Scores'!I28)</f>
        <v/>
      </c>
      <c r="K14" s="65" t="str">
        <f>IF('Deelnemers en Scores'!I29=0,"",'Deelnemers en Scores'!I29)</f>
        <v/>
      </c>
      <c r="L14" s="65" t="str">
        <f>IF('Deelnemers en Scores'!I30=0,"",'Deelnemers en Scores'!I30)</f>
        <v/>
      </c>
      <c r="M14" s="65" t="str">
        <f>IF('Deelnemers en Scores'!I31=0,"",'Deelnemers en Scores'!I31)</f>
        <v/>
      </c>
      <c r="N14" s="24"/>
      <c r="O14" s="66" t="str">
        <f>IF(ISNUMBER(J14),E14+J14,"")</f>
        <v/>
      </c>
      <c r="P14" s="67" t="str">
        <f>IF(ISNUMBER(K14),F14+K14,"")</f>
        <v/>
      </c>
      <c r="Q14" s="67" t="str">
        <f>IF(ISNUMBER(L14),G14+L14,"")</f>
        <v/>
      </c>
      <c r="R14" s="68" t="str">
        <f>IF(ISNUMBER(M14),H14+M14,"")</f>
        <v/>
      </c>
      <c r="S14" s="25">
        <f>IF(COUNTA(O14:R14)&lt;3,0,IF(COUNTA(O14:R14)=3,SUM(O14:R14),SUM(O14:R14)-MINA(O14:R14)))</f>
        <v>0</v>
      </c>
      <c r="T14" s="15"/>
    </row>
    <row r="15" spans="1:20" ht="19.899999999999999" customHeight="1" x14ac:dyDescent="0.2">
      <c r="A15" s="1">
        <f t="shared" si="0"/>
        <v>5</v>
      </c>
      <c r="B15" s="21">
        <f>IF('Deelnemers en Scores'!B33&gt;0,'Deelnemers en Scores'!B33,"")</f>
        <v>5</v>
      </c>
      <c r="C15" s="22" t="str">
        <f>IF('Deelnemers en Scores'!F33="","",'Deelnemers en Scores'!F33)</f>
        <v>Team naam 5</v>
      </c>
      <c r="D15" s="23" t="str">
        <f>'Deelnemers en Scores'!D33</f>
        <v>Vereniging 5</v>
      </c>
      <c r="E15" s="65" t="str">
        <f>IF('Deelnemers en Scores'!H34=0,"",'Deelnemers en Scores'!H34)</f>
        <v/>
      </c>
      <c r="F15" s="65" t="str">
        <f>IF('Deelnemers en Scores'!H35=0,"",'Deelnemers en Scores'!H35)</f>
        <v/>
      </c>
      <c r="G15" s="65" t="str">
        <f>IF('Deelnemers en Scores'!H36=0,"",'Deelnemers en Scores'!H36)</f>
        <v/>
      </c>
      <c r="H15" s="65" t="str">
        <f>IF('Deelnemers en Scores'!H37=0,"",'Deelnemers en Scores'!H37)</f>
        <v/>
      </c>
      <c r="I15" s="24"/>
      <c r="J15" s="65" t="str">
        <f>IF('Deelnemers en Scores'!I34=0,"",'Deelnemers en Scores'!I34)</f>
        <v/>
      </c>
      <c r="K15" s="65" t="str">
        <f>IF('Deelnemers en Scores'!I35=0,"",'Deelnemers en Scores'!I35)</f>
        <v/>
      </c>
      <c r="L15" s="65" t="str">
        <f>IF('Deelnemers en Scores'!I36=0,"",'Deelnemers en Scores'!I36)</f>
        <v/>
      </c>
      <c r="M15" s="65" t="str">
        <f>IF('Deelnemers en Scores'!I37=0,"",'Deelnemers en Scores'!I37)</f>
        <v/>
      </c>
      <c r="N15" s="24"/>
      <c r="O15" s="66" t="str">
        <f>IF(ISNUMBER(J15),E15+J15,"")</f>
        <v/>
      </c>
      <c r="P15" s="67" t="str">
        <f>IF(ISNUMBER(K15),F15+K15,"")</f>
        <v/>
      </c>
      <c r="Q15" s="67" t="str">
        <f>IF(ISNUMBER(L15),G15+L15,"")</f>
        <v/>
      </c>
      <c r="R15" s="68" t="str">
        <f>IF(ISNUMBER(M15),H15+M15,"")</f>
        <v/>
      </c>
      <c r="S15" s="25">
        <f>IF(COUNTA(O15:R15)&lt;3,0,IF(COUNTA(O15:R15)=3,SUM(O15:R15),SUM(O15:R15)-MINA(O15:R15)))</f>
        <v>0</v>
      </c>
      <c r="T15" s="15"/>
    </row>
    <row r="16" spans="1:20" ht="19.899999999999999" customHeight="1" x14ac:dyDescent="0.2">
      <c r="A16" s="1">
        <f t="shared" si="0"/>
        <v>6</v>
      </c>
      <c r="B16" s="21">
        <f>IF('Deelnemers en Scores'!B39&gt;0,'Deelnemers en Scores'!B39,"")</f>
        <v>6</v>
      </c>
      <c r="C16" s="22" t="str">
        <f>IF('Deelnemers en Scores'!F39="","",'Deelnemers en Scores'!F39)</f>
        <v>Team naam 6</v>
      </c>
      <c r="D16" s="23" t="str">
        <f>'Deelnemers en Scores'!D39</f>
        <v>Vereniging 6</v>
      </c>
      <c r="E16" s="65" t="str">
        <f>IF('Deelnemers en Scores'!H40=0,"",'Deelnemers en Scores'!H40)</f>
        <v/>
      </c>
      <c r="F16" s="65" t="str">
        <f>IF('Deelnemers en Scores'!H41=0,"",'Deelnemers en Scores'!H41)</f>
        <v/>
      </c>
      <c r="G16" s="65" t="str">
        <f>IF('Deelnemers en Scores'!H42=0,"",'Deelnemers en Scores'!H42)</f>
        <v/>
      </c>
      <c r="H16" s="65" t="str">
        <f>IF('Deelnemers en Scores'!H43=0,"",'Deelnemers en Scores'!H43)</f>
        <v/>
      </c>
      <c r="I16" s="24"/>
      <c r="J16" s="65" t="str">
        <f>IF('Deelnemers en Scores'!I40=0,"",'Deelnemers en Scores'!I40)</f>
        <v/>
      </c>
      <c r="K16" s="65" t="str">
        <f>IF('Deelnemers en Scores'!I41=0,"",'Deelnemers en Scores'!I41)</f>
        <v/>
      </c>
      <c r="L16" s="65" t="str">
        <f>IF('Deelnemers en Scores'!I42=0,"",'Deelnemers en Scores'!I42)</f>
        <v/>
      </c>
      <c r="M16" s="65" t="str">
        <f>IF('Deelnemers en Scores'!I43=0,"",'Deelnemers en Scores'!I43)</f>
        <v/>
      </c>
      <c r="N16" s="24"/>
      <c r="O16" s="66" t="str">
        <f>IF(ISNUMBER(J16),E16+J16,"")</f>
        <v/>
      </c>
      <c r="P16" s="67" t="str">
        <f>IF(ISNUMBER(K16),F16+K16,"")</f>
        <v/>
      </c>
      <c r="Q16" s="67" t="str">
        <f>IF(ISNUMBER(L16),G16+L16,"")</f>
        <v/>
      </c>
      <c r="R16" s="68" t="str">
        <f>IF(ISNUMBER(M16),H16+M16,"")</f>
        <v/>
      </c>
      <c r="S16" s="25">
        <f>IF(COUNTA(O16:R16)&lt;3,0,IF(COUNTA(O16:R16)=3,SUM(O16:R16),SUM(O16:R16)-MINA(O16:R16)))</f>
        <v>0</v>
      </c>
      <c r="T16" s="15"/>
    </row>
    <row r="17" spans="1:20" ht="19.899999999999999" customHeight="1" x14ac:dyDescent="0.2">
      <c r="A17" s="1">
        <f t="shared" si="0"/>
        <v>7</v>
      </c>
      <c r="B17" s="21">
        <f>IF('Deelnemers en Scores'!B45&gt;0,'Deelnemers en Scores'!B45,"")</f>
        <v>7</v>
      </c>
      <c r="C17" s="22" t="str">
        <f>IF('Deelnemers en Scores'!F45="","",'Deelnemers en Scores'!F45)</f>
        <v>Team naam 7</v>
      </c>
      <c r="D17" s="23" t="str">
        <f>'Deelnemers en Scores'!D45</f>
        <v>Vereniging 7</v>
      </c>
      <c r="E17" s="65" t="str">
        <f>IF('Deelnemers en Scores'!H46=0,"",'Deelnemers en Scores'!H46)</f>
        <v/>
      </c>
      <c r="F17" s="65" t="str">
        <f>IF('Deelnemers en Scores'!H47=0,"",'Deelnemers en Scores'!H47)</f>
        <v/>
      </c>
      <c r="G17" s="65" t="str">
        <f>IF('Deelnemers en Scores'!H48=0,"",'Deelnemers en Scores'!H48)</f>
        <v/>
      </c>
      <c r="H17" s="65" t="str">
        <f>IF('Deelnemers en Scores'!H49=0,"",'Deelnemers en Scores'!H49)</f>
        <v/>
      </c>
      <c r="I17" s="24"/>
      <c r="J17" s="65" t="str">
        <f>IF('Deelnemers en Scores'!I46=0,"",'Deelnemers en Scores'!I46)</f>
        <v/>
      </c>
      <c r="K17" s="65" t="str">
        <f>IF('Deelnemers en Scores'!I47=0,"",'Deelnemers en Scores'!I47)</f>
        <v/>
      </c>
      <c r="L17" s="65" t="str">
        <f>IF('Deelnemers en Scores'!I48=0,"",'Deelnemers en Scores'!I48)</f>
        <v/>
      </c>
      <c r="M17" s="65" t="str">
        <f>IF('Deelnemers en Scores'!I49=0,"",'Deelnemers en Scores'!I49)</f>
        <v/>
      </c>
      <c r="N17" s="24"/>
      <c r="O17" s="66" t="str">
        <f>IF(ISNUMBER(J17),E17+J17,"")</f>
        <v/>
      </c>
      <c r="P17" s="67" t="str">
        <f>IF(ISNUMBER(K17),F17+K17,"")</f>
        <v/>
      </c>
      <c r="Q17" s="67" t="str">
        <f>IF(ISNUMBER(L17),G17+L17,"")</f>
        <v/>
      </c>
      <c r="R17" s="68" t="str">
        <f>IF(ISNUMBER(M17),H17+M17,"")</f>
        <v/>
      </c>
      <c r="S17" s="25">
        <f>IF(COUNTA(O17:R17)&lt;3,0,IF(COUNTA(O17:R17)=3,SUM(O17:R17),SUM(O17:R17)-MINA(O17:R17)))</f>
        <v>0</v>
      </c>
      <c r="T17" s="15"/>
    </row>
    <row r="18" spans="1:20" ht="19.899999999999999" customHeight="1" x14ac:dyDescent="0.2">
      <c r="A18" s="1">
        <f t="shared" si="0"/>
        <v>8</v>
      </c>
      <c r="B18" s="21">
        <f>IF('Deelnemers en Scores'!B51&gt;0,'Deelnemers en Scores'!B51,"")</f>
        <v>8</v>
      </c>
      <c r="C18" s="22" t="str">
        <f>IF('Deelnemers en Scores'!F51="","",'Deelnemers en Scores'!F51)</f>
        <v>Team naam 8</v>
      </c>
      <c r="D18" s="23" t="str">
        <f>'Deelnemers en Scores'!D51</f>
        <v>Vereniging 8</v>
      </c>
      <c r="E18" s="65" t="str">
        <f>IF('Deelnemers en Scores'!H52=0,"",'Deelnemers en Scores'!H52)</f>
        <v/>
      </c>
      <c r="F18" s="65" t="str">
        <f>IF('Deelnemers en Scores'!H53=0,"",'Deelnemers en Scores'!H53)</f>
        <v/>
      </c>
      <c r="G18" s="65" t="str">
        <f>IF('Deelnemers en Scores'!H54=0,"",'Deelnemers en Scores'!H54)</f>
        <v/>
      </c>
      <c r="H18" s="65" t="str">
        <f>IF('Deelnemers en Scores'!H55=0,"",'Deelnemers en Scores'!H55)</f>
        <v/>
      </c>
      <c r="I18" s="24"/>
      <c r="J18" s="65" t="str">
        <f>IF('Deelnemers en Scores'!I52=0,"",'Deelnemers en Scores'!I52)</f>
        <v/>
      </c>
      <c r="K18" s="65" t="str">
        <f>IF('Deelnemers en Scores'!I53=0,"",'Deelnemers en Scores'!I53)</f>
        <v/>
      </c>
      <c r="L18" s="65" t="str">
        <f>IF('Deelnemers en Scores'!I54=0,"",'Deelnemers en Scores'!I54)</f>
        <v/>
      </c>
      <c r="M18" s="65" t="str">
        <f>IF('Deelnemers en Scores'!I55=0,"",'Deelnemers en Scores'!I55)</f>
        <v/>
      </c>
      <c r="N18" s="24"/>
      <c r="O18" s="66" t="str">
        <f>IF(ISNUMBER(J18),E18+J18,"")</f>
        <v/>
      </c>
      <c r="P18" s="67" t="str">
        <f>IF(ISNUMBER(K18),F18+K18,"")</f>
        <v/>
      </c>
      <c r="Q18" s="67" t="str">
        <f>IF(ISNUMBER(L18),G18+L18,"")</f>
        <v/>
      </c>
      <c r="R18" s="68" t="str">
        <f>IF(ISNUMBER(M18),H18+M18,"")</f>
        <v/>
      </c>
      <c r="S18" s="25">
        <f>IF(COUNTA(O18:R18)&lt;3,0,IF(COUNTA(O18:R18)=3,SUM(O18:R18),SUM(O18:R18)-MINA(O18:R18)))</f>
        <v>0</v>
      </c>
      <c r="T18" s="15"/>
    </row>
    <row r="19" spans="1:20" ht="20.25" customHeight="1" x14ac:dyDescent="0.2">
      <c r="A19" s="1">
        <f t="shared" si="0"/>
        <v>9</v>
      </c>
      <c r="B19" s="21">
        <f>IF('Deelnemers en Scores'!B57&gt;0,'Deelnemers en Scores'!B57,"")</f>
        <v>9</v>
      </c>
      <c r="C19" s="22" t="str">
        <f>IF('Deelnemers en Scores'!F57="","",'Deelnemers en Scores'!F57)</f>
        <v>Team naam 9</v>
      </c>
      <c r="D19" s="23" t="str">
        <f>'Deelnemers en Scores'!D57</f>
        <v>Vereniging 9</v>
      </c>
      <c r="E19" s="65" t="str">
        <f>IF('Deelnemers en Scores'!H58=0,"",'Deelnemers en Scores'!H58)</f>
        <v/>
      </c>
      <c r="F19" s="65" t="str">
        <f>IF('Deelnemers en Scores'!H59=0,"",'Deelnemers en Scores'!H59)</f>
        <v/>
      </c>
      <c r="G19" s="65" t="str">
        <f>IF('Deelnemers en Scores'!H60=0,"",'Deelnemers en Scores'!H60)</f>
        <v/>
      </c>
      <c r="H19" s="65" t="str">
        <f>IF('Deelnemers en Scores'!H61=0,"",'Deelnemers en Scores'!H61)</f>
        <v/>
      </c>
      <c r="I19" s="24"/>
      <c r="J19" s="65" t="str">
        <f>IF('Deelnemers en Scores'!I58=0,"",'Deelnemers en Scores'!I58)</f>
        <v/>
      </c>
      <c r="K19" s="65" t="str">
        <f>IF('Deelnemers en Scores'!I59=0,"",'Deelnemers en Scores'!I59)</f>
        <v/>
      </c>
      <c r="L19" s="65" t="str">
        <f>IF('Deelnemers en Scores'!I60=0,"",'Deelnemers en Scores'!I60)</f>
        <v/>
      </c>
      <c r="M19" s="65" t="str">
        <f>IF('Deelnemers en Scores'!I61=0,"",'Deelnemers en Scores'!I61)</f>
        <v/>
      </c>
      <c r="N19" s="24"/>
      <c r="O19" s="66" t="str">
        <f>IF(ISNUMBER(J19),E19+J19,"")</f>
        <v/>
      </c>
      <c r="P19" s="67" t="str">
        <f>IF(ISNUMBER(K19),F19+K19,"")</f>
        <v/>
      </c>
      <c r="Q19" s="67" t="str">
        <f>IF(ISNUMBER(L19),G19+L19,"")</f>
        <v/>
      </c>
      <c r="R19" s="68" t="str">
        <f>IF(ISNUMBER(M19),H19+M19,"")</f>
        <v/>
      </c>
      <c r="S19" s="25">
        <f>IF(COUNTA(O19:R19)&lt;3,0,IF(COUNTA(O19:R19)=3,SUM(O19:R19),SUM(O19:R19)-MINA(O19:R19)))</f>
        <v>0</v>
      </c>
      <c r="T19" s="15"/>
    </row>
    <row r="20" spans="1:20" ht="20.25" customHeight="1" x14ac:dyDescent="0.2">
      <c r="A20" s="1">
        <f t="shared" si="0"/>
        <v>10</v>
      </c>
      <c r="B20" s="21">
        <f>IF('Deelnemers en Scores'!B63&gt;0,'Deelnemers en Scores'!B63,"")</f>
        <v>10</v>
      </c>
      <c r="C20" s="22" t="str">
        <f>IF('Deelnemers en Scores'!F63="","",'Deelnemers en Scores'!F63)</f>
        <v>Team naam 10</v>
      </c>
      <c r="D20" s="23" t="str">
        <f>'Deelnemers en Scores'!D63</f>
        <v>Vereniging 10</v>
      </c>
      <c r="E20" s="65" t="str">
        <f>IF('Deelnemers en Scores'!H64=0,"",'Deelnemers en Scores'!H64)</f>
        <v/>
      </c>
      <c r="F20" s="65" t="str">
        <f>IF('Deelnemers en Scores'!H65=0,"",'Deelnemers en Scores'!H65)</f>
        <v/>
      </c>
      <c r="G20" s="65" t="str">
        <f>IF('Deelnemers en Scores'!H66=0,"",'Deelnemers en Scores'!H66)</f>
        <v/>
      </c>
      <c r="H20" s="65" t="str">
        <f>IF('Deelnemers en Scores'!H67=0,"",'Deelnemers en Scores'!H67)</f>
        <v/>
      </c>
      <c r="I20" s="24"/>
      <c r="J20" s="65" t="str">
        <f>IF('Deelnemers en Scores'!I64=0,"",'Deelnemers en Scores'!I64)</f>
        <v/>
      </c>
      <c r="K20" s="65" t="str">
        <f>IF('Deelnemers en Scores'!I65=0,"",'Deelnemers en Scores'!I65)</f>
        <v/>
      </c>
      <c r="L20" s="65" t="str">
        <f>IF('Deelnemers en Scores'!I66=0,"",'Deelnemers en Scores'!I66)</f>
        <v/>
      </c>
      <c r="M20" s="65" t="str">
        <f>IF('Deelnemers en Scores'!I67=0,"",'Deelnemers en Scores'!I67)</f>
        <v/>
      </c>
      <c r="N20" s="24"/>
      <c r="O20" s="66" t="str">
        <f>IF(ISNUMBER(J20),E20+J20,"")</f>
        <v/>
      </c>
      <c r="P20" s="67" t="str">
        <f>IF(ISNUMBER(K20),F20+K20,"")</f>
        <v/>
      </c>
      <c r="Q20" s="67" t="str">
        <f>IF(ISNUMBER(L20),G20+L20,"")</f>
        <v/>
      </c>
      <c r="R20" s="68" t="str">
        <f>IF(ISNUMBER(M20),H20+M20,"")</f>
        <v/>
      </c>
      <c r="S20" s="25">
        <f>IF(COUNTA(O20:R20)&lt;3,0,IF(COUNTA(O20:R20)=3,SUM(O20:R20),SUM(O20:R20)-MINA(O20:R20)))</f>
        <v>0</v>
      </c>
      <c r="T20" s="15"/>
    </row>
    <row r="21" spans="1:20" ht="20.25" customHeight="1" x14ac:dyDescent="0.2">
      <c r="A21" s="1">
        <f t="shared" si="0"/>
        <v>11</v>
      </c>
      <c r="B21" s="21">
        <f>IF('Deelnemers en Scores'!B69&gt;0,'Deelnemers en Scores'!B69,"")</f>
        <v>11</v>
      </c>
      <c r="C21" s="22" t="str">
        <f>IF('Deelnemers en Scores'!F69="","",'Deelnemers en Scores'!F69)</f>
        <v>Team naam 11</v>
      </c>
      <c r="D21" s="23" t="str">
        <f>'Deelnemers en Scores'!D69</f>
        <v>Vereniging 11</v>
      </c>
      <c r="E21" s="65" t="str">
        <f>IF('Deelnemers en Scores'!H70=0,"",'Deelnemers en Scores'!H70)</f>
        <v/>
      </c>
      <c r="F21" s="65" t="str">
        <f>IF('Deelnemers en Scores'!H71=0,"",'Deelnemers en Scores'!H71)</f>
        <v/>
      </c>
      <c r="G21" s="65" t="str">
        <f>IF('Deelnemers en Scores'!H72=0,"",'Deelnemers en Scores'!H72)</f>
        <v/>
      </c>
      <c r="H21" s="65" t="str">
        <f>IF('Deelnemers en Scores'!H73=0,"",'Deelnemers en Scores'!H73)</f>
        <v/>
      </c>
      <c r="I21" s="24"/>
      <c r="J21" s="65" t="str">
        <f>IF('Deelnemers en Scores'!I70=0,"",'Deelnemers en Scores'!I70)</f>
        <v/>
      </c>
      <c r="K21" s="65" t="str">
        <f>IF('Deelnemers en Scores'!I71=0,"",'Deelnemers en Scores'!I71)</f>
        <v/>
      </c>
      <c r="L21" s="65" t="str">
        <f>IF('Deelnemers en Scores'!I72=0,"",'Deelnemers en Scores'!I72)</f>
        <v/>
      </c>
      <c r="M21" s="65" t="str">
        <f>IF('Deelnemers en Scores'!I73=0,"",'Deelnemers en Scores'!I73)</f>
        <v/>
      </c>
      <c r="N21" s="24"/>
      <c r="O21" s="66" t="str">
        <f>IF(ISNUMBER(J21),E21+J21,"")</f>
        <v/>
      </c>
      <c r="P21" s="67" t="str">
        <f>IF(ISNUMBER(K21),F21+K21,"")</f>
        <v/>
      </c>
      <c r="Q21" s="67" t="str">
        <f>IF(ISNUMBER(L21),G21+L21,"")</f>
        <v/>
      </c>
      <c r="R21" s="68" t="str">
        <f>IF(ISNUMBER(M21),H21+M21,"")</f>
        <v/>
      </c>
      <c r="S21" s="25">
        <f>IF(COUNTA(O21:R21)&lt;3,0,IF(COUNTA(O21:R21)=3,SUM(O21:R21),SUM(O21:R21)-MINA(O21:R21)))</f>
        <v>0</v>
      </c>
      <c r="T21" s="15"/>
    </row>
    <row r="22" spans="1:20" ht="20.25" customHeight="1" x14ac:dyDescent="0.2">
      <c r="A22" s="1">
        <f t="shared" si="0"/>
        <v>12</v>
      </c>
      <c r="B22" s="21">
        <f>IF('Deelnemers en Scores'!B75&gt;0,'Deelnemers en Scores'!B75,"")</f>
        <v>12</v>
      </c>
      <c r="C22" s="22" t="str">
        <f>IF('Deelnemers en Scores'!F75="","",'Deelnemers en Scores'!F75)</f>
        <v>Team naam 12</v>
      </c>
      <c r="D22" s="23" t="str">
        <f>'Deelnemers en Scores'!D75</f>
        <v>Vereniging 12</v>
      </c>
      <c r="E22" s="65" t="str">
        <f>IF('Deelnemers en Scores'!H76=0,"",'Deelnemers en Scores'!H76)</f>
        <v/>
      </c>
      <c r="F22" s="65" t="str">
        <f>IF('Deelnemers en Scores'!H77=0,"",'Deelnemers en Scores'!H77)</f>
        <v/>
      </c>
      <c r="G22" s="65" t="str">
        <f>IF('Deelnemers en Scores'!H78=0,"",'Deelnemers en Scores'!H78)</f>
        <v/>
      </c>
      <c r="H22" s="65" t="str">
        <f>IF('Deelnemers en Scores'!H79=0,"",'Deelnemers en Scores'!H79)</f>
        <v/>
      </c>
      <c r="I22" s="24"/>
      <c r="J22" s="65" t="str">
        <f>IF('Deelnemers en Scores'!I76=0,"",'Deelnemers en Scores'!I76)</f>
        <v/>
      </c>
      <c r="K22" s="65" t="str">
        <f>IF('Deelnemers en Scores'!I77=0,"",'Deelnemers en Scores'!I77)</f>
        <v/>
      </c>
      <c r="L22" s="65" t="str">
        <f>IF('Deelnemers en Scores'!I78=0,"",'Deelnemers en Scores'!I78)</f>
        <v/>
      </c>
      <c r="M22" s="65" t="str">
        <f>IF('Deelnemers en Scores'!I79=0,"",'Deelnemers en Scores'!I79)</f>
        <v/>
      </c>
      <c r="N22" s="24"/>
      <c r="O22" s="66" t="str">
        <f>IF(ISNUMBER(J22),E22+J22,"")</f>
        <v/>
      </c>
      <c r="P22" s="67" t="str">
        <f>IF(ISNUMBER(K22),F22+K22,"")</f>
        <v/>
      </c>
      <c r="Q22" s="67" t="str">
        <f>IF(ISNUMBER(L22),G22+L22,"")</f>
        <v/>
      </c>
      <c r="R22" s="68" t="str">
        <f>IF(ISNUMBER(M22),H22+M22,"")</f>
        <v/>
      </c>
      <c r="S22" s="25">
        <f>IF(COUNTA(O22:R22)&lt;3,0,IF(COUNTA(O22:R22)=3,SUM(O22:R22),SUM(O22:R22)-MINA(O22:R22)))</f>
        <v>0</v>
      </c>
      <c r="T22" s="15"/>
    </row>
  </sheetData>
  <sheetProtection selectLockedCells="1" selectUnlockedCells="1"/>
  <sortState xmlns:xlrd2="http://schemas.microsoft.com/office/spreadsheetml/2017/richdata2" ref="B11:S22">
    <sortCondition descending="1" ref="S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74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16</xdr:col>
                    <xdr:colOff>476250</xdr:colOff>
                    <xdr:row>0</xdr:row>
                    <xdr:rowOff>247650</xdr:rowOff>
                  </from>
                  <to>
                    <xdr:col>18</xdr:col>
                    <xdr:colOff>809625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1</xdr:col>
                    <xdr:colOff>47625</xdr:colOff>
                    <xdr:row>0</xdr:row>
                    <xdr:rowOff>266700</xdr:rowOff>
                  </from>
                  <to>
                    <xdr:col>2</xdr:col>
                    <xdr:colOff>923925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Uitleg</vt:lpstr>
      <vt:lpstr>Toegestane deelnemers</vt:lpstr>
      <vt:lpstr>Deelnemers en Scores</vt:lpstr>
      <vt:lpstr>Uitslag</vt:lpstr>
      <vt:lpstr>'Deelnemers en Scores'!Print_Area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2022-04-13T18:46:50Z</cp:lastPrinted>
  <dcterms:created xsi:type="dcterms:W3CDTF">1998-02-10T19:58:49Z</dcterms:created>
  <dcterms:modified xsi:type="dcterms:W3CDTF">2022-04-13T18:50:43Z</dcterms:modified>
</cp:coreProperties>
</file>