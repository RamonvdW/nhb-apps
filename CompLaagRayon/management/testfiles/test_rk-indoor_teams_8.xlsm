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:\Projects Ramon\Websites\NHB-applicaties\RK excels\test-bestanden\"/>
    </mc:Choice>
  </mc:AlternateContent>
  <xr:revisionPtr revIDLastSave="0" documentId="13_ncr:1_{F758717C-C356-40F0-BA28-9A067E8509CD}" xr6:coauthVersionLast="47" xr6:coauthVersionMax="47" xr10:uidLastSave="{00000000-0000-0000-0000-000000000000}"/>
  <bookViews>
    <workbookView xWindow="9960" yWindow="1155" windowWidth="17520" windowHeight="13140" tabRatio="730" firstSheet="1" activeTab="4" xr2:uid="{00000000-000D-0000-FFFF-FFFF00000000}"/>
  </bookViews>
  <sheets>
    <sheet name="Uitleg" sheetId="16" r:id="rId1"/>
    <sheet name="Toegestane deelnemers" sheetId="18" r:id="rId2"/>
    <sheet name="Deelnemers en Scores" sheetId="12" r:id="rId3"/>
    <sheet name="Uitslag" sheetId="3" r:id="rId4"/>
    <sheet name="Finales 8 teams" sheetId="19" r:id="rId5"/>
    <sheet name="Finales 4 teams" sheetId="15" r:id="rId6"/>
  </sheets>
  <definedNames>
    <definedName name="_Key1" hidden="1">#REF!</definedName>
    <definedName name="_Order1" hidden="1">255</definedName>
    <definedName name="_Sort" hidden="1">#REF!</definedName>
    <definedName name="FINALE_ZAT">#REF!</definedName>
    <definedName name="FINALE_ZON">#REF!</definedName>
    <definedName name="PRINT_A">#REF!</definedName>
    <definedName name="_xlnm.Print_Area" localSheetId="2">'Deelnemers en Scores'!$B$1:$K$82</definedName>
    <definedName name="_xlnm.Print_Area" localSheetId="5">'Finales 4 teams'!$A$1:$R$34</definedName>
    <definedName name="_xlnm.Print_Area" localSheetId="4">'Finales 8 teams'!$A$1:$V$34</definedName>
    <definedName name="_xlnm.Print_Area" localSheetId="3">Uitslag!$A$2:$V$22</definedName>
    <definedName name="PRINT_B">#REF!</definedName>
    <definedName name="PRINT_C">#REF!</definedName>
    <definedName name="PRINT_COMP_A">#REF!</definedName>
    <definedName name="PRINT_COMP_ERE">#REF!</definedName>
    <definedName name="PRINT_D">#REF!</definedName>
    <definedName name="PRINT_D_KLAS">#REF!</definedName>
    <definedName name="PRINT_ERE">#REF!</definedName>
    <definedName name="SORT_A">#REF!</definedName>
    <definedName name="SORT_B">#REF!</definedName>
    <definedName name="SORT_C">#REF!</definedName>
    <definedName name="SORT_COMP_A">#REF!</definedName>
    <definedName name="SORT_COMP_ERE">#REF!</definedName>
    <definedName name="SORT_D">#REF!</definedName>
    <definedName name="SORT_ERE">#REF!</definedName>
    <definedName name="SORTB_A">#REF!</definedName>
    <definedName name="SORTB_B">#REF!</definedName>
    <definedName name="SORTB_C">#REF!</definedName>
    <definedName name="SORTB_COMP_A">#REF!</definedName>
    <definedName name="SORTB_COMP_ERE">#REF!</definedName>
    <definedName name="SORTB_D">#REF!</definedName>
    <definedName name="SORTB_ERE">#REF!</definedName>
  </definedNames>
  <calcPr calcId="191029"/>
</workbook>
</file>

<file path=xl/calcChain.xml><?xml version="1.0" encoding="utf-8"?>
<calcChain xmlns="http://schemas.openxmlformats.org/spreadsheetml/2006/main">
  <c r="S18" i="3" l="1"/>
  <c r="Z26" i="19"/>
  <c r="W25" i="19"/>
  <c r="Z24" i="19"/>
  <c r="Z22" i="19"/>
  <c r="W21" i="19"/>
  <c r="Z20" i="19"/>
  <c r="Z18" i="19"/>
  <c r="W17" i="19"/>
  <c r="Z16" i="19"/>
  <c r="Z14" i="19"/>
  <c r="W13" i="19"/>
  <c r="Z12" i="19"/>
  <c r="D22" i="19"/>
  <c r="B4" i="19"/>
  <c r="AK32" i="19"/>
  <c r="AI32" i="19"/>
  <c r="AI31" i="19"/>
  <c r="AJ31" i="19" s="1"/>
  <c r="U31" i="19" s="1"/>
  <c r="AK30" i="19"/>
  <c r="AF24" i="19"/>
  <c r="AC23" i="19"/>
  <c r="AF22" i="19"/>
  <c r="AK17" i="19"/>
  <c r="AI17" i="19"/>
  <c r="AI16" i="19"/>
  <c r="AJ16" i="19" s="1"/>
  <c r="U19" i="19" s="1"/>
  <c r="AK15" i="19"/>
  <c r="AF16" i="19"/>
  <c r="AC15" i="19"/>
  <c r="AF14" i="19"/>
  <c r="K6" i="19"/>
  <c r="B6" i="19"/>
  <c r="AA32" i="15"/>
  <c r="Y32" i="15"/>
  <c r="Y31" i="15"/>
  <c r="Z31" i="15" s="1"/>
  <c r="AA30" i="15"/>
  <c r="D3" i="18"/>
  <c r="B1" i="18"/>
  <c r="M6" i="15"/>
  <c r="P4" i="3"/>
  <c r="B4" i="18"/>
  <c r="S19" i="15"/>
  <c r="T19" i="15" s="1"/>
  <c r="S13" i="15"/>
  <c r="T13" i="15" s="1"/>
  <c r="H13" i="15" s="1"/>
  <c r="Y16" i="15"/>
  <c r="Z16" i="15" s="1"/>
  <c r="AB16" i="15" s="1"/>
  <c r="Y17" i="15"/>
  <c r="AA17" i="15"/>
  <c r="AA15" i="15"/>
  <c r="V20" i="15"/>
  <c r="V18" i="15"/>
  <c r="V14" i="15"/>
  <c r="V12" i="15"/>
  <c r="B6" i="15"/>
  <c r="D22" i="3"/>
  <c r="D20" i="3"/>
  <c r="D19" i="3"/>
  <c r="D18" i="3"/>
  <c r="D14" i="19" s="1"/>
  <c r="D17" i="3"/>
  <c r="D24" i="19" s="1"/>
  <c r="D16" i="3"/>
  <c r="D21" i="3"/>
  <c r="D15" i="3"/>
  <c r="D16" i="19" s="1"/>
  <c r="D14" i="3"/>
  <c r="D18" i="19" s="1"/>
  <c r="D13" i="3"/>
  <c r="D20" i="19" s="1"/>
  <c r="D12" i="3"/>
  <c r="D26" i="19" s="1"/>
  <c r="D11" i="3"/>
  <c r="D12" i="19" s="1"/>
  <c r="J10" i="12"/>
  <c r="J11" i="12"/>
  <c r="J12" i="12"/>
  <c r="C13" i="3"/>
  <c r="B20" i="19" s="1"/>
  <c r="C20" i="3"/>
  <c r="C14" i="3"/>
  <c r="B18" i="19" s="1"/>
  <c r="C19" i="3"/>
  <c r="C22" i="3"/>
  <c r="C12" i="3"/>
  <c r="B26" i="19" s="1"/>
  <c r="C11" i="3"/>
  <c r="B12" i="19" s="1"/>
  <c r="C21" i="3"/>
  <c r="B4" i="3"/>
  <c r="B4" i="15"/>
  <c r="B22" i="3"/>
  <c r="M22" i="3"/>
  <c r="R22" i="3" s="1"/>
  <c r="M21" i="3"/>
  <c r="M20" i="3"/>
  <c r="M19" i="3"/>
  <c r="R19" i="3" s="1"/>
  <c r="L22" i="3"/>
  <c r="Q22" i="3" s="1"/>
  <c r="L21" i="3"/>
  <c r="L20" i="3"/>
  <c r="L19" i="3"/>
  <c r="Q19" i="3" s="1"/>
  <c r="K22" i="3"/>
  <c r="P22" i="3" s="1"/>
  <c r="K21" i="3"/>
  <c r="K20" i="3"/>
  <c r="K19" i="3"/>
  <c r="P19" i="3" s="1"/>
  <c r="J22" i="3"/>
  <c r="O22" i="3" s="1"/>
  <c r="S22" i="3" s="1"/>
  <c r="J21" i="3"/>
  <c r="J20" i="3"/>
  <c r="J19" i="3"/>
  <c r="O19" i="3" s="1"/>
  <c r="S19" i="3" s="1"/>
  <c r="H22" i="3"/>
  <c r="H21" i="3"/>
  <c r="H20" i="3"/>
  <c r="H19" i="3"/>
  <c r="G22" i="3"/>
  <c r="G21" i="3"/>
  <c r="G20" i="3"/>
  <c r="G19" i="3"/>
  <c r="F22" i="3"/>
  <c r="F21" i="3"/>
  <c r="F20" i="3"/>
  <c r="F19" i="3"/>
  <c r="E22" i="3"/>
  <c r="E21" i="3"/>
  <c r="E20" i="3"/>
  <c r="E19" i="3"/>
  <c r="B21" i="3"/>
  <c r="B20" i="3"/>
  <c r="B19" i="3"/>
  <c r="J16" i="12"/>
  <c r="J17" i="12"/>
  <c r="J18" i="12"/>
  <c r="J22" i="12"/>
  <c r="J23" i="12"/>
  <c r="J24" i="12"/>
  <c r="J28" i="12"/>
  <c r="J29" i="12"/>
  <c r="J30" i="12"/>
  <c r="B2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B11" i="3"/>
  <c r="E11" i="3"/>
  <c r="F11" i="3"/>
  <c r="G11" i="3"/>
  <c r="H11" i="3"/>
  <c r="J11" i="3"/>
  <c r="K11" i="3"/>
  <c r="L11" i="3"/>
  <c r="M11" i="3"/>
  <c r="B12" i="3"/>
  <c r="E12" i="3"/>
  <c r="F12" i="3"/>
  <c r="G12" i="3"/>
  <c r="H12" i="3"/>
  <c r="J12" i="3"/>
  <c r="K12" i="3"/>
  <c r="L12" i="3"/>
  <c r="M12" i="3"/>
  <c r="B13" i="3"/>
  <c r="E13" i="3"/>
  <c r="F13" i="3"/>
  <c r="G13" i="3"/>
  <c r="H13" i="3"/>
  <c r="J13" i="3"/>
  <c r="K13" i="3"/>
  <c r="L13" i="3"/>
  <c r="M13" i="3"/>
  <c r="B14" i="3"/>
  <c r="C15" i="3"/>
  <c r="B16" i="19" s="1"/>
  <c r="C18" i="3"/>
  <c r="B14" i="19" s="1"/>
  <c r="E14" i="3"/>
  <c r="F14" i="3"/>
  <c r="G14" i="3"/>
  <c r="H14" i="3"/>
  <c r="J14" i="3"/>
  <c r="K14" i="3"/>
  <c r="P14" i="3" s="1"/>
  <c r="L14" i="3"/>
  <c r="M14" i="3"/>
  <c r="B15" i="3"/>
  <c r="E15" i="3"/>
  <c r="F15" i="3"/>
  <c r="G15" i="3"/>
  <c r="H15" i="3"/>
  <c r="J15" i="3"/>
  <c r="O15" i="3" s="1"/>
  <c r="S15" i="3" s="1"/>
  <c r="K15" i="3"/>
  <c r="P15" i="3" s="1"/>
  <c r="L15" i="3"/>
  <c r="Q15" i="3" s="1"/>
  <c r="M15" i="3"/>
  <c r="R15" i="3" s="1"/>
  <c r="B16" i="3"/>
  <c r="C16" i="3"/>
  <c r="B22" i="19" s="1"/>
  <c r="C17" i="3"/>
  <c r="B24" i="19" s="1"/>
  <c r="E16" i="3"/>
  <c r="F16" i="3"/>
  <c r="G16" i="3"/>
  <c r="H16" i="3"/>
  <c r="J16" i="3"/>
  <c r="O16" i="3" s="1"/>
  <c r="S16" i="3" s="1"/>
  <c r="K16" i="3"/>
  <c r="P16" i="3" s="1"/>
  <c r="L16" i="3"/>
  <c r="Q16" i="3" s="1"/>
  <c r="M16" i="3"/>
  <c r="R16" i="3" s="1"/>
  <c r="B17" i="3"/>
  <c r="E17" i="3"/>
  <c r="F17" i="3"/>
  <c r="G17" i="3"/>
  <c r="H17" i="3"/>
  <c r="J17" i="3"/>
  <c r="O17" i="3" s="1"/>
  <c r="S17" i="3" s="1"/>
  <c r="K17" i="3"/>
  <c r="P17" i="3" s="1"/>
  <c r="L17" i="3"/>
  <c r="Q17" i="3" s="1"/>
  <c r="M17" i="3"/>
  <c r="R17" i="3" s="1"/>
  <c r="B18" i="3"/>
  <c r="E18" i="3"/>
  <c r="F18" i="3"/>
  <c r="G18" i="3"/>
  <c r="H18" i="3"/>
  <c r="J18" i="3"/>
  <c r="O18" i="3" s="1"/>
  <c r="K18" i="3"/>
  <c r="P18" i="3" s="1"/>
  <c r="L18" i="3"/>
  <c r="Q18" i="3" s="1"/>
  <c r="M18" i="3"/>
  <c r="R18" i="3" s="1"/>
  <c r="Q14" i="3" l="1"/>
  <c r="X25" i="19"/>
  <c r="H25" i="19" s="1"/>
  <c r="X21" i="19"/>
  <c r="H21" i="19" s="1"/>
  <c r="X17" i="19"/>
  <c r="H17" i="19" s="1"/>
  <c r="X13" i="19"/>
  <c r="H13" i="19" s="1"/>
  <c r="AM17" i="19"/>
  <c r="AM30" i="19"/>
  <c r="AL31" i="19"/>
  <c r="V32" i="19" s="1"/>
  <c r="AM32" i="19"/>
  <c r="AL16" i="19"/>
  <c r="AD15" i="19"/>
  <c r="N15" i="19" s="1"/>
  <c r="AM15" i="19"/>
  <c r="AD23" i="19"/>
  <c r="N23" i="19" s="1"/>
  <c r="AC30" i="15"/>
  <c r="AC32" i="15"/>
  <c r="AB31" i="15"/>
  <c r="Q31" i="15"/>
  <c r="Q16" i="15"/>
  <c r="U13" i="15"/>
  <c r="U19" i="15"/>
  <c r="AC17" i="15"/>
  <c r="R17" i="15" s="1"/>
  <c r="AC15" i="15"/>
  <c r="R15" i="15" s="1"/>
  <c r="D12" i="15"/>
  <c r="D20" i="15"/>
  <c r="O20" i="3"/>
  <c r="S20" i="3" s="1"/>
  <c r="Q20" i="3"/>
  <c r="B18" i="15"/>
  <c r="P20" i="3"/>
  <c r="R20" i="3"/>
  <c r="B20" i="15"/>
  <c r="P21" i="3"/>
  <c r="R21" i="3"/>
  <c r="Q21" i="3"/>
  <c r="O21" i="3"/>
  <c r="S21" i="3" s="1"/>
  <c r="R14" i="3"/>
  <c r="O14" i="3"/>
  <c r="R13" i="3"/>
  <c r="Q13" i="3"/>
  <c r="P13" i="3"/>
  <c r="O13" i="3"/>
  <c r="R12" i="3"/>
  <c r="Q12" i="3"/>
  <c r="P12" i="3"/>
  <c r="O12" i="3"/>
  <c r="P11" i="3"/>
  <c r="Q11" i="3"/>
  <c r="O11" i="3"/>
  <c r="R11" i="3"/>
  <c r="S11" i="3" s="1"/>
  <c r="K21" i="12"/>
  <c r="V22" i="3"/>
  <c r="K27" i="12"/>
  <c r="K15" i="12"/>
  <c r="B14" i="15"/>
  <c r="B12" i="15"/>
  <c r="K9" i="12"/>
  <c r="D14" i="15"/>
  <c r="D18" i="15"/>
  <c r="AE23" i="19" l="1"/>
  <c r="AE15" i="19"/>
  <c r="AG14" i="19" s="1"/>
  <c r="S14" i="3"/>
  <c r="V14" i="3" s="1"/>
  <c r="S13" i="3"/>
  <c r="V13" i="3" s="1"/>
  <c r="S12" i="3"/>
  <c r="V12" i="3" s="1"/>
  <c r="Y25" i="19"/>
  <c r="Y21" i="19"/>
  <c r="Y17" i="19"/>
  <c r="Y13" i="19"/>
  <c r="V30" i="19"/>
  <c r="V20" i="19"/>
  <c r="V18" i="19"/>
  <c r="R30" i="15"/>
  <c r="R32" i="15"/>
  <c r="W14" i="15"/>
  <c r="W12" i="15"/>
  <c r="W20" i="15"/>
  <c r="W18" i="15"/>
  <c r="H19" i="15"/>
  <c r="V20" i="3"/>
  <c r="V16" i="3"/>
  <c r="V21" i="3"/>
  <c r="V17" i="3"/>
  <c r="V15" i="3"/>
  <c r="V18" i="3"/>
  <c r="V19" i="3"/>
  <c r="V11" i="3"/>
  <c r="AG24" i="19" l="1"/>
  <c r="AG22" i="19"/>
  <c r="AG16" i="19"/>
  <c r="Q18" i="19" s="1"/>
  <c r="Q30" i="19"/>
  <c r="AA24" i="19"/>
  <c r="AA26" i="19"/>
  <c r="AA22" i="19"/>
  <c r="AA20" i="19"/>
  <c r="AA18" i="19"/>
  <c r="AA16" i="19"/>
  <c r="J16" i="19" s="1"/>
  <c r="AA14" i="19"/>
  <c r="AA12" i="19"/>
  <c r="J14" i="19" s="1"/>
  <c r="K18" i="15"/>
  <c r="M32" i="15"/>
  <c r="M30" i="15"/>
  <c r="K12" i="15"/>
  <c r="M15" i="15"/>
  <c r="M17" i="15"/>
  <c r="Q32" i="19" l="1"/>
  <c r="Q20" i="19"/>
  <c r="J22" i="19"/>
  <c r="J24" i="19"/>
</calcChain>
</file>

<file path=xl/sharedStrings.xml><?xml version="1.0" encoding="utf-8"?>
<sst xmlns="http://schemas.openxmlformats.org/spreadsheetml/2006/main" count="186" uniqueCount="122">
  <si>
    <t>Baan</t>
  </si>
  <si>
    <t>TOTAAL</t>
  </si>
  <si>
    <t>HALVE FINALE</t>
  </si>
  <si>
    <t>FINALE</t>
  </si>
  <si>
    <t>shoot-</t>
  </si>
  <si>
    <t>Totaal incl.</t>
  </si>
  <si>
    <t>off</t>
  </si>
  <si>
    <t>shoot-off</t>
  </si>
  <si>
    <t>Totaal</t>
  </si>
  <si>
    <t>team</t>
  </si>
  <si>
    <t>Datum:</t>
  </si>
  <si>
    <t>Opmerking: Indien er moet worden gemeten hier toch een puntenverschil invullen.</t>
  </si>
  <si>
    <t>Rayon kampioenschappen Indoor Teams   Rayon 3</t>
  </si>
  <si>
    <t>Vereniging</t>
  </si>
  <si>
    <t>Team naam</t>
  </si>
  <si>
    <t>Bondsnr</t>
  </si>
  <si>
    <t>Sporters</t>
  </si>
  <si>
    <t>Regio</t>
  </si>
  <si>
    <t>Organisatie</t>
  </si>
  <si>
    <t>yyyy-mm-dd</t>
  </si>
  <si>
    <t>score per sporter serie 1</t>
  </si>
  <si>
    <t>score per sporter serie 2</t>
  </si>
  <si>
    <t>totaal score per sporter</t>
  </si>
  <si>
    <t>som beste</t>
  </si>
  <si>
    <t>3 scores</t>
  </si>
  <si>
    <t>Gemiddelde</t>
  </si>
  <si>
    <t>Sporter</t>
  </si>
  <si>
    <t>Adres:</t>
  </si>
  <si>
    <t>Straat
Plaats</t>
  </si>
  <si>
    <t>Team sterkte</t>
  </si>
  <si>
    <t>Deze gegevens zijn opgehaald op</t>
  </si>
  <si>
    <t>scores</t>
  </si>
  <si>
    <t>1e</t>
  </si>
  <si>
    <t>2e</t>
  </si>
  <si>
    <t>Deelnemers en Scores</t>
  </si>
  <si>
    <t>Uitslag</t>
  </si>
  <si>
    <r>
      <rPr>
        <b/>
        <sz val="12"/>
        <rFont val="Arial"/>
        <family val="2"/>
      </rPr>
      <t>Uitslag</t>
    </r>
    <r>
      <rPr>
        <sz val="12"/>
        <rFont val="Arial"/>
        <family val="2"/>
      </rPr>
      <t>: om af te drukken (neemt informatie automatisch over de andere bladen)</t>
    </r>
  </si>
  <si>
    <r>
      <rPr>
        <b/>
        <sz val="12"/>
        <rFont val="Arial"/>
        <family val="2"/>
      </rPr>
      <t>Deelnemers en Scores</t>
    </r>
    <r>
      <rPr>
        <sz val="12"/>
        <rFont val="Arial"/>
        <family val="2"/>
      </rPr>
      <t>: gebruik bij binnenkomst, registreer invallers en scores voorrondes</t>
    </r>
  </si>
  <si>
    <r>
      <rPr>
        <b/>
        <sz val="12"/>
        <rFont val="Arial"/>
        <family val="2"/>
      </rPr>
      <t>Uitleg</t>
    </r>
    <r>
      <rPr>
        <sz val="12"/>
        <rFont val="Arial"/>
        <family val="2"/>
      </rPr>
      <t>: dit blad</t>
    </r>
  </si>
  <si>
    <t>Alleen onderstaande sporters mogen invallen in dit RK</t>
  </si>
  <si>
    <t>Controleer dat de invaller geen hoger gemiddelde heeft</t>
  </si>
  <si>
    <t>Boog type</t>
  </si>
  <si>
    <t>Controleer dat ze met hetzelfde type boog gaan schieten als hier genoemd</t>
  </si>
  <si>
    <t>- Ze hebben voldoende scores neergezet tijdens de regiocompetitie</t>
  </si>
  <si>
    <t>Sporter naam</t>
  </si>
  <si>
    <r>
      <t xml:space="preserve">Kopieer </t>
    </r>
    <r>
      <rPr>
        <u/>
        <sz val="10"/>
        <rFont val="Arial"/>
        <family val="2"/>
      </rPr>
      <t>bondsnr, sporter en gemiddelde</t>
    </r>
    <r>
      <rPr>
        <sz val="10"/>
        <rFont val="Arial"/>
        <family val="2"/>
      </rPr>
      <t xml:space="preserve"> naar het blad Deelnemers en Scores</t>
    </r>
  </si>
  <si>
    <t>Gebruik dit blad bij binnenkomst</t>
  </si>
  <si>
    <t>De scores van de voorrondes moeten ingevuld worden in kolommen H en I.</t>
  </si>
  <si>
    <t>Dit blad bevat de samenvatting van de uitslag van de voorrondes.</t>
  </si>
  <si>
    <t>Sorteren op score met de knop en controleer of er een shootoff nodig is.</t>
  </si>
  <si>
    <t>Resultaat van de shootoffs kan ingevoerd worden in kolom U.</t>
  </si>
  <si>
    <t>De team sterkte hoef je niet aan te passen.</t>
  </si>
  <si>
    <t>Tip: dit blad is gemaakt om af te drukken op 1 bladzijde.</t>
  </si>
  <si>
    <t>De teams worden automatisch overgenomen op dit blad.</t>
  </si>
  <si>
    <t>Score</t>
  </si>
  <si>
    <t>Shoot-off</t>
  </si>
  <si>
    <t>Score+SO1</t>
  </si>
  <si>
    <t>Naar finale</t>
  </si>
  <si>
    <t>SO1 nodig</t>
  </si>
  <si>
    <t>so nodig</t>
  </si>
  <si>
    <t>Score + SO</t>
  </si>
  <si>
    <t>ingevuld 1</t>
  </si>
  <si>
    <t>Ingevuld 2</t>
  </si>
  <si>
    <t>Ingevuld 1</t>
  </si>
  <si>
    <r>
      <t xml:space="preserve">Zorg dat het blad </t>
    </r>
    <r>
      <rPr>
        <b/>
        <sz val="12"/>
        <rFont val="Arial"/>
        <family val="2"/>
      </rPr>
      <t>Uitslag</t>
    </r>
    <r>
      <rPr>
        <sz val="12"/>
        <rFont val="Arial"/>
        <family val="2"/>
      </rPr>
      <t xml:space="preserve"> gesorteerd is op score zodat de beste teams bovenaan staan (gebruik de knop!)</t>
    </r>
  </si>
  <si>
    <t>Indien nodig zal het blad aangeven dat een shoot-off nodig (de grijze kleur verdwijnt).</t>
  </si>
  <si>
    <t>- Ze hebben een toestaan boogtype voor deze team wedstrijdklasse</t>
  </si>
  <si>
    <r>
      <t xml:space="preserve">Sporters </t>
    </r>
    <r>
      <rPr>
        <sz val="10"/>
        <rFont val="Arial"/>
        <family val="2"/>
      </rPr>
      <t>(alfabetisch gesorteerd)</t>
    </r>
  </si>
  <si>
    <t>Controleer dat ze voor hun eigen vereniging invallen</t>
  </si>
  <si>
    <r>
      <rPr>
        <sz val="12"/>
        <color rgb="FFFF0000"/>
        <rFont val="Arial"/>
        <family val="2"/>
      </rPr>
      <t>Waarschuwing</t>
    </r>
    <r>
      <rPr>
        <sz val="12"/>
        <rFont val="Arial"/>
        <family val="2"/>
      </rPr>
      <t>: Excel niet handmatig vragen om te sorteren, want dan gaat transport tussen de bladen kapot.</t>
    </r>
  </si>
  <si>
    <t>KLEINE FINALE</t>
  </si>
  <si>
    <r>
      <t>Toegestane deelnemers</t>
    </r>
    <r>
      <rPr>
        <sz val="12"/>
        <rFont val="Arial"/>
        <family val="2"/>
      </rPr>
      <t>: alle RK-gerechtigde deelnemers met hun gemiddelde kunnen hier gevonden worden</t>
    </r>
  </si>
  <si>
    <t>Toegestane deelnemers</t>
  </si>
  <si>
    <t>Dit blad bevat alle RK-gerechtigde deelnemers met hun gemiddelde + boogtype</t>
  </si>
  <si>
    <t>Toegestane invallers mogen geen hoger gemiddelde hebben dan de uitvaller.</t>
  </si>
  <si>
    <t>Op dit blad kan je invallers vinden, maar ook de al geselecteerde sporters.</t>
  </si>
  <si>
    <r>
      <t xml:space="preserve">Invallers moeten handmatig doorgevoerd worden op dit blad in kolom E, F en G. Kopieer van </t>
    </r>
    <r>
      <rPr>
        <b/>
        <sz val="12"/>
        <rFont val="Arial"/>
        <family val="2"/>
      </rPr>
      <t>Toegestane deelnemers</t>
    </r>
    <r>
      <rPr>
        <sz val="12"/>
        <rFont val="Arial"/>
        <family val="2"/>
      </rPr>
      <t>.</t>
    </r>
  </si>
  <si>
    <t>De baannummers mag je wijzigen.</t>
  </si>
  <si>
    <t>Winnaar?</t>
  </si>
  <si>
    <t>KWARTFINALE</t>
  </si>
  <si>
    <t>Halve finale</t>
  </si>
  <si>
    <t>Finale</t>
  </si>
  <si>
    <t>Kwartfinale</t>
  </si>
  <si>
    <t>SO nodig</t>
  </si>
  <si>
    <t>Ingevuld</t>
  </si>
  <si>
    <t>SO ingevuld</t>
  </si>
  <si>
    <t>Score+SO</t>
  </si>
  <si>
    <t>Naar halve finale</t>
  </si>
  <si>
    <r>
      <rPr>
        <b/>
        <sz val="12"/>
        <rFont val="Arial"/>
        <family val="2"/>
      </rPr>
      <t>Finales 8 teams</t>
    </r>
    <r>
      <rPr>
        <sz val="12"/>
        <rFont val="Arial"/>
        <family val="2"/>
      </rPr>
      <t>: voor de finales met 8 teams (neemt informatie automatisch over van de andere bladen)</t>
    </r>
  </si>
  <si>
    <r>
      <rPr>
        <b/>
        <sz val="12"/>
        <rFont val="Arial"/>
        <family val="2"/>
      </rPr>
      <t>Finales 4 teams</t>
    </r>
    <r>
      <rPr>
        <sz val="12"/>
        <rFont val="Arial"/>
        <family val="2"/>
      </rPr>
      <t>: voor de finales met 4 teams (neemt informatie automatisch over van de andere bladen)</t>
    </r>
  </si>
  <si>
    <t>Finales met 8/4 teams</t>
  </si>
  <si>
    <t>Bij 4 teams of minder, gebruik het blad Finales met 4 teams, anders Finales met 8 teams.</t>
  </si>
  <si>
    <t>Vul de scores in.</t>
  </si>
  <si>
    <t>De juiste team namen worden doorgezet naar de volgende ronde.</t>
  </si>
  <si>
    <t>Vul de scores van de finale.</t>
  </si>
  <si>
    <t>Vul de resultaten van de shoot-off in.</t>
  </si>
  <si>
    <t>Dit werkboek bestaat uit 6 bladen:</t>
  </si>
  <si>
    <t>Instructies voor juist gebruik van dit RK programma voor de Indoor competitie</t>
  </si>
  <si>
    <t>Notitie</t>
  </si>
  <si>
    <t>Traditional Bow</t>
  </si>
  <si>
    <t>Vereniging 123</t>
  </si>
  <si>
    <r>
      <t>Je hebt dit blad vooringevuld gekregen vanuit MijnHandboogsport met de laatste stand van zaken op moment van download. Aan het einde van het RK</t>
    </r>
    <r>
      <rPr>
        <sz val="12"/>
        <color rgb="FFFF0000"/>
        <rFont val="Arial"/>
        <family val="2"/>
      </rPr>
      <t xml:space="preserve"> moet het ingevulde bestand terug gestuurd worden</t>
    </r>
    <r>
      <rPr>
        <sz val="12"/>
        <rFont val="Arial"/>
        <family val="2"/>
      </rPr>
      <t xml:space="preserve"> voor publicatie en bepalen BK deelnemers. Contactgegevens staan onderaan.</t>
    </r>
  </si>
  <si>
    <t>E-mail vragen RK: info@handboogsport.nl</t>
  </si>
  <si>
    <r>
      <t xml:space="preserve">E-mail </t>
    </r>
    <r>
      <rPr>
        <sz val="12"/>
        <color rgb="FFFF0000"/>
        <rFont val="Arial"/>
        <family val="2"/>
      </rPr>
      <t>opsturen ingevuld bestand</t>
    </r>
    <r>
      <rPr>
        <sz val="12"/>
        <rFont val="Arial"/>
        <family val="2"/>
      </rPr>
      <t>: nhb-apps-support@handboogsport.nl</t>
    </r>
  </si>
  <si>
    <t>[4121] Club 4121</t>
  </si>
  <si>
    <t>rk-4121-4-R2</t>
  </si>
  <si>
    <t>rk-4121-5-R2</t>
  </si>
  <si>
    <t>rk-4121-6-R2</t>
  </si>
  <si>
    <t>rk-4121-7-R2</t>
  </si>
  <si>
    <t>Klasse: Recurve klasse ERE</t>
  </si>
  <si>
    <t>Sporter 11</t>
  </si>
  <si>
    <t>Sporter 12</t>
  </si>
  <si>
    <t>Sporter 13</t>
  </si>
  <si>
    <t>Sporter 21</t>
  </si>
  <si>
    <t>Sporter 22</t>
  </si>
  <si>
    <t>Sporter 23</t>
  </si>
  <si>
    <t>Sporter 31</t>
  </si>
  <si>
    <t>Sporter 32</t>
  </si>
  <si>
    <t>Sporter 33</t>
  </si>
  <si>
    <t>Sporter 41</t>
  </si>
  <si>
    <t>Sporter 42</t>
  </si>
  <si>
    <t>Sporter 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</si>
</sst>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32" x14ac:knownFonts="1">
    <font>
      <sz val="12"/>
      <name val="Arial"/>
    </font>
    <font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8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16"/>
      <name val="Arial"/>
      <family val="2"/>
    </font>
    <font>
      <b/>
      <sz val="12"/>
      <color indexed="8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28"/>
      <name val="Arial"/>
      <family val="2"/>
    </font>
    <font>
      <b/>
      <sz val="22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20"/>
      <color indexed="12"/>
      <name val="Arial"/>
      <family val="2"/>
    </font>
    <font>
      <sz val="20"/>
      <name val="Arial"/>
      <family val="2"/>
    </font>
    <font>
      <sz val="8"/>
      <name val="Arial"/>
      <family val="2"/>
    </font>
    <font>
      <b/>
      <sz val="12"/>
      <color rgb="FF000000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color rgb="FFFF0000"/>
      <name val="Arial"/>
      <family val="2"/>
    </font>
    <font>
      <i/>
      <sz val="12"/>
      <name val="Arial"/>
      <family val="2"/>
    </font>
    <font>
      <b/>
      <sz val="2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sz val="16"/>
      <name val="Arial"/>
      <family val="2"/>
    </font>
    <font>
      <sz val="24"/>
      <name val="Arial"/>
      <family val="2"/>
    </font>
  </fonts>
  <fills count="10">
    <fill>
      <patternFill patternType="none"/>
    </fill>
    <fill>
      <patternFill patternType="gray125"/>
    </fill>
    <fill>
      <patternFill patternType="gray125">
        <fgColor indexed="8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8"/>
      </patternFill>
    </fill>
    <fill>
      <patternFill patternType="solid">
        <fgColor theme="0"/>
        <bgColor indexed="8"/>
      </patternFill>
    </fill>
  </fills>
  <borders count="38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7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3" fillId="0" borderId="2" xfId="0" applyFont="1" applyBorder="1"/>
    <xf numFmtId="0" fontId="3" fillId="0" borderId="5" xfId="0" applyFont="1" applyBorder="1"/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/>
    <xf numFmtId="0" fontId="5" fillId="0" borderId="1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" fillId="0" borderId="0" xfId="1"/>
    <xf numFmtId="0" fontId="1" fillId="0" borderId="0" xfId="1" applyAlignment="1">
      <alignment horizontal="center"/>
    </xf>
    <xf numFmtId="0" fontId="14" fillId="0" borderId="0" xfId="1" applyFont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6" fillId="0" borderId="17" xfId="0" applyFont="1" applyBorder="1" applyAlignment="1">
      <alignment horizontal="left" vertical="center"/>
    </xf>
    <xf numFmtId="0" fontId="6" fillId="0" borderId="23" xfId="0" applyFont="1" applyBorder="1" applyAlignment="1">
      <alignment horizontal="left" vertical="center"/>
    </xf>
    <xf numFmtId="1" fontId="9" fillId="2" borderId="24" xfId="0" applyNumberFormat="1" applyFont="1" applyFill="1" applyBorder="1" applyAlignment="1">
      <alignment horizontal="center" vertical="center"/>
    </xf>
    <xf numFmtId="1" fontId="9" fillId="0" borderId="26" xfId="0" applyNumberFormat="1" applyFont="1" applyBorder="1" applyAlignment="1">
      <alignment horizontal="center" vertical="center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center"/>
      <protection locked="0"/>
    </xf>
    <xf numFmtId="0" fontId="1" fillId="0" borderId="0" xfId="1" applyAlignment="1" applyProtection="1">
      <alignment horizontal="center"/>
      <protection locked="0"/>
    </xf>
    <xf numFmtId="0" fontId="14" fillId="0" borderId="0" xfId="1" applyFont="1" applyAlignment="1" applyProtection="1">
      <alignment horizontal="left"/>
      <protection locked="0"/>
    </xf>
    <xf numFmtId="0" fontId="1" fillId="0" borderId="0" xfId="1" applyAlignment="1" applyProtection="1">
      <alignment horizontal="left"/>
      <protection locked="0"/>
    </xf>
    <xf numFmtId="0" fontId="14" fillId="0" borderId="0" xfId="1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2" fillId="3" borderId="0" xfId="0" applyFont="1" applyFill="1"/>
    <xf numFmtId="0" fontId="0" fillId="3" borderId="0" xfId="0" applyFill="1" applyAlignment="1">
      <alignment horizontal="lef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 applyProtection="1">
      <alignment horizontal="center" vertical="center"/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2" fillId="3" borderId="0" xfId="0" applyFont="1" applyFill="1"/>
    <xf numFmtId="0" fontId="11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3" borderId="0" xfId="0" applyFont="1" applyFill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5" fillId="0" borderId="0" xfId="1" applyFont="1" applyProtection="1">
      <protection locked="0"/>
    </xf>
    <xf numFmtId="0" fontId="5" fillId="0" borderId="0" xfId="1" applyFont="1" applyAlignment="1" applyProtection="1">
      <alignment vertical="center"/>
      <protection locked="0"/>
    </xf>
    <xf numFmtId="0" fontId="6" fillId="0" borderId="0" xfId="1" applyFont="1" applyAlignment="1">
      <alignment horizontal="left" vertical="center"/>
    </xf>
    <xf numFmtId="0" fontId="14" fillId="0" borderId="0" xfId="1" applyFont="1" applyAlignment="1">
      <alignment horizontal="center" vertical="center"/>
    </xf>
    <xf numFmtId="49" fontId="3" fillId="0" borderId="0" xfId="1" applyNumberFormat="1" applyFont="1" applyAlignment="1" applyProtection="1">
      <alignment horizontal="left" vertical="center"/>
      <protection locked="0"/>
    </xf>
    <xf numFmtId="164" fontId="6" fillId="0" borderId="0" xfId="1" applyNumberFormat="1" applyFont="1" applyAlignment="1">
      <alignment horizontal="left" vertical="center"/>
    </xf>
    <xf numFmtId="164" fontId="1" fillId="0" borderId="0" xfId="1" applyNumberFormat="1" applyAlignment="1">
      <alignment horizontal="right"/>
    </xf>
    <xf numFmtId="164" fontId="5" fillId="0" borderId="0" xfId="1" applyNumberFormat="1" applyFont="1" applyAlignment="1" applyProtection="1">
      <alignment horizontal="right"/>
      <protection locked="0"/>
    </xf>
    <xf numFmtId="164" fontId="14" fillId="0" borderId="0" xfId="1" applyNumberFormat="1" applyFont="1" applyAlignment="1">
      <alignment horizontal="right"/>
    </xf>
    <xf numFmtId="164" fontId="1" fillId="0" borderId="0" xfId="1" applyNumberFormat="1" applyAlignment="1" applyProtection="1">
      <alignment horizontal="right"/>
      <protection locked="0"/>
    </xf>
    <xf numFmtId="164" fontId="0" fillId="0" borderId="0" xfId="0" applyNumberFormat="1" applyAlignment="1">
      <alignment horizontal="right"/>
    </xf>
    <xf numFmtId="164" fontId="1" fillId="0" borderId="0" xfId="1" applyNumberFormat="1" applyAlignment="1" applyProtection="1">
      <alignment horizontal="left"/>
      <protection locked="0"/>
    </xf>
    <xf numFmtId="0" fontId="6" fillId="0" borderId="0" xfId="0" applyFont="1" applyAlignment="1">
      <alignment vertical="center"/>
    </xf>
    <xf numFmtId="165" fontId="14" fillId="0" borderId="0" xfId="1" applyNumberFormat="1" applyFont="1" applyAlignment="1" applyProtection="1">
      <alignment horizontal="right"/>
      <protection locked="0"/>
    </xf>
    <xf numFmtId="0" fontId="21" fillId="0" borderId="0" xfId="1" applyFont="1" applyAlignment="1">
      <alignment horizontal="left"/>
    </xf>
    <xf numFmtId="0" fontId="22" fillId="0" borderId="0" xfId="0" applyFont="1"/>
    <xf numFmtId="0" fontId="23" fillId="0" borderId="0" xfId="0" applyFont="1"/>
    <xf numFmtId="164" fontId="14" fillId="0" borderId="18" xfId="1" applyNumberFormat="1" applyFont="1" applyBorder="1" applyAlignment="1">
      <alignment horizontal="right" vertical="center"/>
    </xf>
    <xf numFmtId="164" fontId="14" fillId="0" borderId="21" xfId="1" applyNumberFormat="1" applyFont="1" applyBorder="1" applyAlignment="1">
      <alignment horizontal="left" vertical="center"/>
    </xf>
    <xf numFmtId="0" fontId="14" fillId="0" borderId="28" xfId="1" applyFont="1" applyBorder="1" applyAlignment="1">
      <alignment horizontal="center" vertical="center"/>
    </xf>
    <xf numFmtId="0" fontId="14" fillId="0" borderId="18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21" xfId="1" applyFont="1" applyBorder="1" applyAlignment="1">
      <alignment horizontal="center" vertical="center"/>
    </xf>
    <xf numFmtId="0" fontId="14" fillId="0" borderId="19" xfId="1" applyFont="1" applyBorder="1" applyAlignment="1">
      <alignment horizontal="center" vertical="center"/>
    </xf>
    <xf numFmtId="0" fontId="14" fillId="0" borderId="22" xfId="1" applyFont="1" applyBorder="1" applyAlignment="1">
      <alignment horizontal="center" vertical="center"/>
    </xf>
    <xf numFmtId="0" fontId="14" fillId="4" borderId="21" xfId="1" applyFont="1" applyFill="1" applyBorder="1" applyAlignment="1">
      <alignment horizontal="center"/>
    </xf>
    <xf numFmtId="0" fontId="14" fillId="0" borderId="18" xfId="1" applyFont="1" applyBorder="1" applyAlignment="1">
      <alignment horizontal="left" vertical="center"/>
    </xf>
    <xf numFmtId="0" fontId="14" fillId="0" borderId="21" xfId="1" applyFont="1" applyBorder="1" applyAlignment="1">
      <alignment horizontal="left" vertical="center"/>
    </xf>
    <xf numFmtId="0" fontId="21" fillId="0" borderId="0" xfId="1" applyFont="1" applyAlignment="1" applyProtection="1">
      <alignment horizontal="left"/>
      <protection locked="0"/>
    </xf>
    <xf numFmtId="0" fontId="21" fillId="0" borderId="0" xfId="1" applyFont="1"/>
    <xf numFmtId="0" fontId="6" fillId="0" borderId="0" xfId="1" applyFont="1" applyAlignment="1">
      <alignment horizontal="left"/>
    </xf>
    <xf numFmtId="1" fontId="7" fillId="0" borderId="14" xfId="0" applyNumberFormat="1" applyFont="1" applyBorder="1" applyAlignment="1">
      <alignment horizontal="center" vertical="center"/>
    </xf>
    <xf numFmtId="1" fontId="7" fillId="0" borderId="25" xfId="0" applyNumberFormat="1" applyFont="1" applyBorder="1" applyAlignment="1">
      <alignment horizontal="center" vertical="center"/>
    </xf>
    <xf numFmtId="1" fontId="7" fillId="0" borderId="17" xfId="0" applyNumberFormat="1" applyFont="1" applyBorder="1" applyAlignment="1">
      <alignment horizontal="center" vertical="center"/>
    </xf>
    <xf numFmtId="1" fontId="7" fillId="0" borderId="23" xfId="0" applyNumberFormat="1" applyFont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3" fillId="2" borderId="4" xfId="0" applyFont="1" applyFill="1" applyBorder="1" applyAlignment="1">
      <alignment vertical="center"/>
    </xf>
    <xf numFmtId="0" fontId="26" fillId="0" borderId="11" xfId="0" applyFont="1" applyBorder="1" applyAlignment="1">
      <alignment horizontal="center" vertical="center"/>
    </xf>
    <xf numFmtId="0" fontId="6" fillId="3" borderId="0" xfId="0" applyFont="1" applyFill="1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0" fillId="5" borderId="0" xfId="0" applyFill="1"/>
    <xf numFmtId="0" fontId="8" fillId="5" borderId="0" xfId="0" applyFont="1" applyFill="1" applyAlignment="1">
      <alignment horizontal="center" vertical="center"/>
    </xf>
    <xf numFmtId="0" fontId="0" fillId="5" borderId="0" xfId="0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49" fontId="22" fillId="0" borderId="0" xfId="1" applyNumberFormat="1" applyFont="1" applyAlignment="1" applyProtection="1">
      <alignment horizontal="left" vertical="center"/>
      <protection locked="0"/>
    </xf>
    <xf numFmtId="0" fontId="14" fillId="5" borderId="18" xfId="1" applyFont="1" applyFill="1" applyBorder="1" applyAlignment="1">
      <alignment horizontal="center" vertical="center"/>
    </xf>
    <xf numFmtId="0" fontId="14" fillId="5" borderId="18" xfId="1" applyFont="1" applyFill="1" applyBorder="1" applyAlignment="1">
      <alignment horizontal="left" vertical="center"/>
    </xf>
    <xf numFmtId="164" fontId="14" fillId="5" borderId="19" xfId="1" applyNumberFormat="1" applyFont="1" applyFill="1" applyBorder="1" applyAlignment="1">
      <alignment horizontal="right" vertical="center"/>
    </xf>
    <xf numFmtId="0" fontId="14" fillId="5" borderId="21" xfId="1" applyFont="1" applyFill="1" applyBorder="1" applyAlignment="1">
      <alignment horizontal="center" vertical="center"/>
    </xf>
    <xf numFmtId="0" fontId="14" fillId="5" borderId="21" xfId="1" applyFont="1" applyFill="1" applyBorder="1" applyAlignment="1">
      <alignment horizontal="left" vertical="center"/>
    </xf>
    <xf numFmtId="164" fontId="14" fillId="5" borderId="21" xfId="1" applyNumberFormat="1" applyFont="1" applyFill="1" applyBorder="1" applyAlignment="1">
      <alignment horizontal="left" vertical="center"/>
    </xf>
    <xf numFmtId="164" fontId="14" fillId="5" borderId="22" xfId="1" applyNumberFormat="1" applyFont="1" applyFill="1" applyBorder="1" applyAlignment="1">
      <alignment horizontal="left" vertical="center"/>
    </xf>
    <xf numFmtId="0" fontId="29" fillId="0" borderId="0" xfId="1" applyFont="1" applyAlignment="1">
      <alignment horizontal="left"/>
    </xf>
    <xf numFmtId="0" fontId="6" fillId="0" borderId="15" xfId="0" applyFont="1" applyBorder="1" applyAlignment="1" applyProtection="1">
      <alignment horizontal="center" vertical="center"/>
      <protection locked="0"/>
    </xf>
    <xf numFmtId="1" fontId="6" fillId="0" borderId="36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4" fontId="1" fillId="0" borderId="0" xfId="1" applyNumberFormat="1" applyAlignment="1">
      <alignment horizontal="left"/>
    </xf>
    <xf numFmtId="164" fontId="5" fillId="0" borderId="0" xfId="1" applyNumberFormat="1" applyFont="1" applyAlignment="1" applyProtection="1">
      <alignment horizontal="left"/>
      <protection locked="0"/>
    </xf>
    <xf numFmtId="164" fontId="14" fillId="5" borderId="18" xfId="1" applyNumberFormat="1" applyFont="1" applyFill="1" applyBorder="1" applyAlignment="1">
      <alignment horizontal="left" vertical="center"/>
    </xf>
    <xf numFmtId="164" fontId="14" fillId="0" borderId="0" xfId="1" applyNumberFormat="1" applyFont="1" applyAlignment="1">
      <alignment horizontal="left"/>
    </xf>
    <xf numFmtId="0" fontId="14" fillId="0" borderId="0" xfId="1" applyFont="1" applyAlignment="1">
      <alignment horizontal="left"/>
    </xf>
    <xf numFmtId="0" fontId="28" fillId="0" borderId="0" xfId="1" applyFont="1" applyAlignment="1">
      <alignment horizontal="left" vertical="center"/>
    </xf>
    <xf numFmtId="0" fontId="20" fillId="0" borderId="0" xfId="1" quotePrefix="1" applyFont="1" applyAlignment="1" applyProtection="1">
      <alignment horizontal="left"/>
      <protection locked="0"/>
    </xf>
    <xf numFmtId="0" fontId="1" fillId="0" borderId="0" xfId="1" applyAlignment="1">
      <alignment horizontal="left"/>
    </xf>
    <xf numFmtId="0" fontId="5" fillId="0" borderId="0" xfId="1" applyFont="1" applyAlignment="1" applyProtection="1">
      <alignment horizontal="left" vertical="center"/>
      <protection locked="0"/>
    </xf>
    <xf numFmtId="0" fontId="21" fillId="5" borderId="28" xfId="1" applyFont="1" applyFill="1" applyBorder="1" applyAlignment="1">
      <alignment horizontal="left" vertical="center"/>
    </xf>
    <xf numFmtId="0" fontId="21" fillId="5" borderId="20" xfId="1" applyFont="1" applyFill="1" applyBorder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1" applyFont="1" applyAlignment="1">
      <alignment horizontal="right" vertical="center"/>
    </xf>
    <xf numFmtId="0" fontId="31" fillId="0" borderId="0" xfId="1" applyFont="1" applyAlignment="1">
      <alignment horizontal="right" vertical="center"/>
    </xf>
    <xf numFmtId="49" fontId="31" fillId="0" borderId="0" xfId="0" applyNumberFormat="1" applyFont="1" applyAlignment="1">
      <alignment horizontal="left" vertical="center"/>
    </xf>
    <xf numFmtId="0" fontId="0" fillId="5" borderId="0" xfId="0" applyFill="1" applyAlignment="1">
      <alignment vertical="center"/>
    </xf>
    <xf numFmtId="0" fontId="12" fillId="6" borderId="15" xfId="0" applyFont="1" applyFill="1" applyBorder="1" applyAlignment="1">
      <alignment vertical="center"/>
    </xf>
    <xf numFmtId="0" fontId="0" fillId="6" borderId="13" xfId="0" applyFill="1" applyBorder="1"/>
    <xf numFmtId="0" fontId="0" fillId="6" borderId="13" xfId="0" applyFill="1" applyBorder="1" applyAlignment="1">
      <alignment horizontal="center"/>
    </xf>
    <xf numFmtId="0" fontId="6" fillId="6" borderId="13" xfId="0" applyFont="1" applyFill="1" applyBorder="1"/>
    <xf numFmtId="49" fontId="10" fillId="6" borderId="13" xfId="0" applyNumberFormat="1" applyFont="1" applyFill="1" applyBorder="1" applyAlignment="1">
      <alignment vertical="center"/>
    </xf>
    <xf numFmtId="49" fontId="2" fillId="6" borderId="13" xfId="0" applyNumberFormat="1" applyFont="1" applyFill="1" applyBorder="1"/>
    <xf numFmtId="0" fontId="2" fillId="6" borderId="14" xfId="0" applyFont="1" applyFill="1" applyBorder="1"/>
    <xf numFmtId="0" fontId="2" fillId="7" borderId="15" xfId="0" applyFont="1" applyFill="1" applyBorder="1" applyAlignment="1">
      <alignment vertical="center"/>
    </xf>
    <xf numFmtId="0" fontId="2" fillId="7" borderId="13" xfId="0" applyFont="1" applyFill="1" applyBorder="1"/>
    <xf numFmtId="0" fontId="0" fillId="7" borderId="14" xfId="0" applyFill="1" applyBorder="1"/>
    <xf numFmtId="0" fontId="2" fillId="8" borderId="15" xfId="0" applyFont="1" applyFill="1" applyBorder="1" applyAlignment="1">
      <alignment vertical="center"/>
    </xf>
    <xf numFmtId="0" fontId="0" fillId="8" borderId="13" xfId="0" applyFill="1" applyBorder="1"/>
    <xf numFmtId="0" fontId="0" fillId="8" borderId="14" xfId="0" applyFill="1" applyBorder="1"/>
    <xf numFmtId="0" fontId="2" fillId="8" borderId="15" xfId="0" applyFont="1" applyFill="1" applyBorder="1" applyAlignment="1" applyProtection="1">
      <alignment vertical="center"/>
      <protection locked="0"/>
    </xf>
    <xf numFmtId="0" fontId="3" fillId="8" borderId="13" xfId="0" applyFont="1" applyFill="1" applyBorder="1" applyProtection="1">
      <protection locked="0"/>
    </xf>
    <xf numFmtId="0" fontId="0" fillId="8" borderId="13" xfId="0" applyFill="1" applyBorder="1" applyProtection="1">
      <protection locked="0"/>
    </xf>
    <xf numFmtId="0" fontId="8" fillId="8" borderId="13" xfId="0" applyFont="1" applyFill="1" applyBorder="1" applyProtection="1">
      <protection locked="0"/>
    </xf>
    <xf numFmtId="49" fontId="27" fillId="8" borderId="13" xfId="0" applyNumberFormat="1" applyFont="1" applyFill="1" applyBorder="1" applyAlignment="1" applyProtection="1">
      <alignment vertical="center"/>
      <protection locked="0"/>
    </xf>
    <xf numFmtId="0" fontId="2" fillId="8" borderId="13" xfId="0" applyFont="1" applyFill="1" applyBorder="1" applyAlignment="1" applyProtection="1">
      <alignment vertical="center"/>
      <protection locked="0"/>
    </xf>
    <xf numFmtId="49" fontId="8" fillId="8" borderId="13" xfId="0" applyNumberFormat="1" applyFont="1" applyFill="1" applyBorder="1" applyProtection="1">
      <protection locked="0"/>
    </xf>
    <xf numFmtId="0" fontId="3" fillId="8" borderId="14" xfId="0" applyFont="1" applyFill="1" applyBorder="1" applyProtection="1">
      <protection locked="0"/>
    </xf>
    <xf numFmtId="0" fontId="0" fillId="9" borderId="0" xfId="0" applyFill="1" applyAlignment="1">
      <alignment horizontal="left" vertical="center"/>
    </xf>
    <xf numFmtId="0" fontId="16" fillId="0" borderId="37" xfId="0" applyFont="1" applyBorder="1" applyAlignment="1" applyProtection="1">
      <alignment horizontal="center" vertical="center"/>
      <protection locked="0"/>
    </xf>
    <xf numFmtId="0" fontId="27" fillId="3" borderId="0" xfId="0" applyFont="1" applyFill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10" fillId="0" borderId="17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left" vertical="top" wrapText="1"/>
    </xf>
    <xf numFmtId="0" fontId="5" fillId="8" borderId="34" xfId="0" applyFont="1" applyFill="1" applyBorder="1" applyAlignment="1" applyProtection="1">
      <alignment horizontal="center" vertical="center"/>
      <protection locked="0"/>
    </xf>
    <xf numFmtId="0" fontId="5" fillId="8" borderId="33" xfId="0" applyFont="1" applyFill="1" applyBorder="1" applyAlignment="1" applyProtection="1">
      <alignment horizontal="center" vertical="center"/>
      <protection locked="0"/>
    </xf>
    <xf numFmtId="0" fontId="5" fillId="8" borderId="35" xfId="0" applyFont="1" applyFill="1" applyBorder="1" applyAlignment="1" applyProtection="1">
      <alignment horizontal="center" vertical="center"/>
      <protection locked="0"/>
    </xf>
    <xf numFmtId="0" fontId="5" fillId="8" borderId="29" xfId="0" applyFont="1" applyFill="1" applyBorder="1" applyAlignment="1" applyProtection="1">
      <alignment horizontal="center" vertical="center"/>
      <protection locked="0"/>
    </xf>
    <xf numFmtId="0" fontId="5" fillId="8" borderId="30" xfId="0" applyFont="1" applyFill="1" applyBorder="1" applyAlignment="1" applyProtection="1">
      <alignment horizontal="center" vertical="center"/>
      <protection locked="0"/>
    </xf>
    <xf numFmtId="0" fontId="5" fillId="8" borderId="31" xfId="0" applyFont="1" applyFill="1" applyBorder="1" applyAlignment="1" applyProtection="1">
      <alignment horizontal="center" vertical="center"/>
      <protection locked="0"/>
    </xf>
    <xf numFmtId="0" fontId="11" fillId="0" borderId="0" xfId="1" applyFont="1" applyAlignment="1">
      <alignment horizontal="left" vertical="center"/>
    </xf>
    <xf numFmtId="0" fontId="20" fillId="0" borderId="0" xfId="1" applyFont="1" applyAlignment="1">
      <alignment horizontal="left" vertical="top" wrapText="1"/>
    </xf>
    <xf numFmtId="0" fontId="20" fillId="0" borderId="0" xfId="1" applyFont="1" applyAlignment="1">
      <alignment horizontal="left" vertical="top"/>
    </xf>
    <xf numFmtId="0" fontId="14" fillId="4" borderId="18" xfId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2">
    <cellStyle name="Normal" xfId="0" builtinId="0"/>
    <cellStyle name="Standaard_team model" xfId="1" xr:uid="{00000000-0005-0000-0000-000001000000}"/>
  </cellStyles>
  <dxfs count="1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4A2D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152400</xdr:colOff>
          <xdr:row>0</xdr:row>
          <xdr:rowOff>400050</xdr:rowOff>
        </xdr:from>
        <xdr:to>
          <xdr:col>19</xdr:col>
          <xdr:colOff>133350</xdr:colOff>
          <xdr:row>0</xdr:row>
          <xdr:rowOff>609600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score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390525</xdr:rowOff>
        </xdr:from>
        <xdr:to>
          <xdr:col>2</xdr:col>
          <xdr:colOff>1390650</xdr:colOff>
          <xdr:row>0</xdr:row>
          <xdr:rowOff>590550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sorteren baan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E943A-A4FE-44C0-91C8-714011AFBE50}">
  <sheetPr codeName="Sheet1"/>
  <dimension ref="A1:B57"/>
  <sheetViews>
    <sheetView showGridLines="0" workbookViewId="0"/>
  </sheetViews>
  <sheetFormatPr defaultColWidth="0" defaultRowHeight="15" zeroHeight="1" x14ac:dyDescent="0.2"/>
  <cols>
    <col min="1" max="1" width="8.88671875" style="17" customWidth="1"/>
    <col min="2" max="2" width="94.33203125" style="17" customWidth="1"/>
    <col min="3" max="16384" width="8.88671875" style="17" hidden="1"/>
  </cols>
  <sheetData>
    <row r="1" spans="1:2" x14ac:dyDescent="0.2"/>
    <row r="2" spans="1:2" s="67" customFormat="1" ht="18" x14ac:dyDescent="0.25">
      <c r="A2" s="66" t="s">
        <v>97</v>
      </c>
    </row>
    <row r="3" spans="1:2" x14ac:dyDescent="0.2"/>
    <row r="4" spans="1:2" ht="53.25" customHeight="1" x14ac:dyDescent="0.2">
      <c r="A4" s="160" t="s">
        <v>101</v>
      </c>
      <c r="B4" s="160"/>
    </row>
    <row r="5" spans="1:2" x14ac:dyDescent="0.2">
      <c r="A5" s="81" t="s">
        <v>30</v>
      </c>
    </row>
    <row r="6" spans="1:2" x14ac:dyDescent="0.2">
      <c r="A6" s="81"/>
    </row>
    <row r="7" spans="1:2" x14ac:dyDescent="0.2">
      <c r="A7" s="17" t="s">
        <v>69</v>
      </c>
    </row>
    <row r="8" spans="1:2" x14ac:dyDescent="0.2"/>
    <row r="9" spans="1:2" x14ac:dyDescent="0.2">
      <c r="A9" s="17" t="s">
        <v>96</v>
      </c>
    </row>
    <row r="10" spans="1:2" ht="15.75" x14ac:dyDescent="0.25">
      <c r="B10" s="17" t="s">
        <v>38</v>
      </c>
    </row>
    <row r="11" spans="1:2" ht="15.75" x14ac:dyDescent="0.25">
      <c r="B11" s="3" t="s">
        <v>71</v>
      </c>
    </row>
    <row r="12" spans="1:2" ht="15.75" x14ac:dyDescent="0.25">
      <c r="B12" s="17" t="s">
        <v>37</v>
      </c>
    </row>
    <row r="13" spans="1:2" ht="15.75" x14ac:dyDescent="0.25">
      <c r="B13" s="17" t="s">
        <v>36</v>
      </c>
    </row>
    <row r="14" spans="1:2" ht="15.75" x14ac:dyDescent="0.25">
      <c r="B14" s="17" t="s">
        <v>88</v>
      </c>
    </row>
    <row r="15" spans="1:2" ht="15.75" x14ac:dyDescent="0.25">
      <c r="B15" s="17" t="s">
        <v>89</v>
      </c>
    </row>
    <row r="16" spans="1:2" x14ac:dyDescent="0.2"/>
    <row r="17" spans="1:2" ht="15.75" x14ac:dyDescent="0.25">
      <c r="A17" s="3" t="s">
        <v>72</v>
      </c>
    </row>
    <row r="18" spans="1:2" x14ac:dyDescent="0.2">
      <c r="B18" s="17" t="s">
        <v>73</v>
      </c>
    </row>
    <row r="19" spans="1:2" x14ac:dyDescent="0.2">
      <c r="B19" s="17" t="s">
        <v>75</v>
      </c>
    </row>
    <row r="20" spans="1:2" x14ac:dyDescent="0.2"/>
    <row r="21" spans="1:2" x14ac:dyDescent="0.2"/>
    <row r="22" spans="1:2" ht="15.75" x14ac:dyDescent="0.25">
      <c r="A22" s="3" t="s">
        <v>34</v>
      </c>
    </row>
    <row r="23" spans="1:2" x14ac:dyDescent="0.2">
      <c r="B23" s="17" t="s">
        <v>46</v>
      </c>
    </row>
    <row r="24" spans="1:2" ht="15.75" x14ac:dyDescent="0.25">
      <c r="B24" s="17" t="s">
        <v>76</v>
      </c>
    </row>
    <row r="25" spans="1:2" x14ac:dyDescent="0.2">
      <c r="B25" s="17" t="s">
        <v>74</v>
      </c>
    </row>
    <row r="26" spans="1:2" x14ac:dyDescent="0.2">
      <c r="B26" s="17" t="s">
        <v>51</v>
      </c>
    </row>
    <row r="27" spans="1:2" x14ac:dyDescent="0.2">
      <c r="B27" s="17" t="s">
        <v>77</v>
      </c>
    </row>
    <row r="28" spans="1:2" x14ac:dyDescent="0.2">
      <c r="B28" s="17" t="s">
        <v>47</v>
      </c>
    </row>
    <row r="29" spans="1:2" x14ac:dyDescent="0.2"/>
    <row r="30" spans="1:2" x14ac:dyDescent="0.2"/>
    <row r="31" spans="1:2" ht="15.75" x14ac:dyDescent="0.25">
      <c r="A31" s="3" t="s">
        <v>35</v>
      </c>
    </row>
    <row r="32" spans="1:2" ht="15.75" x14ac:dyDescent="0.25">
      <c r="A32" s="3"/>
      <c r="B32" s="17" t="s">
        <v>48</v>
      </c>
    </row>
    <row r="33" spans="1:2" x14ac:dyDescent="0.2">
      <c r="B33" s="17" t="s">
        <v>49</v>
      </c>
    </row>
    <row r="34" spans="1:2" x14ac:dyDescent="0.2">
      <c r="B34" s="17" t="s">
        <v>50</v>
      </c>
    </row>
    <row r="35" spans="1:2" x14ac:dyDescent="0.2">
      <c r="B35" s="17" t="s">
        <v>11</v>
      </c>
    </row>
    <row r="36" spans="1:2" x14ac:dyDescent="0.2">
      <c r="B36" s="17" t="s">
        <v>52</v>
      </c>
    </row>
    <row r="37" spans="1:2" x14ac:dyDescent="0.2"/>
    <row r="38" spans="1:2" ht="15.75" x14ac:dyDescent="0.25">
      <c r="A38" s="3" t="s">
        <v>90</v>
      </c>
    </row>
    <row r="39" spans="1:2" ht="15.75" x14ac:dyDescent="0.25">
      <c r="A39" s="3"/>
      <c r="B39" s="17" t="s">
        <v>91</v>
      </c>
    </row>
    <row r="40" spans="1:2" ht="15.75" x14ac:dyDescent="0.25">
      <c r="A40" s="3"/>
      <c r="B40" s="17" t="s">
        <v>64</v>
      </c>
    </row>
    <row r="41" spans="1:2" ht="15.75" x14ac:dyDescent="0.25">
      <c r="A41" s="3"/>
      <c r="B41" s="17" t="s">
        <v>53</v>
      </c>
    </row>
    <row r="42" spans="1:2" ht="15.75" x14ac:dyDescent="0.25">
      <c r="A42" s="3"/>
      <c r="B42" s="17" t="s">
        <v>92</v>
      </c>
    </row>
    <row r="43" spans="1:2" ht="15.75" x14ac:dyDescent="0.25">
      <c r="A43" s="3"/>
      <c r="B43" s="17" t="s">
        <v>65</v>
      </c>
    </row>
    <row r="44" spans="1:2" ht="15.75" x14ac:dyDescent="0.25">
      <c r="A44" s="3"/>
      <c r="B44" s="17" t="s">
        <v>95</v>
      </c>
    </row>
    <row r="45" spans="1:2" ht="15.75" x14ac:dyDescent="0.25">
      <c r="A45" s="3"/>
      <c r="B45" s="17" t="s">
        <v>11</v>
      </c>
    </row>
    <row r="46" spans="1:2" ht="15.75" x14ac:dyDescent="0.25">
      <c r="A46" s="3"/>
    </row>
    <row r="47" spans="1:2" x14ac:dyDescent="0.2">
      <c r="B47" s="17" t="s">
        <v>93</v>
      </c>
    </row>
    <row r="48" spans="1:2" x14ac:dyDescent="0.2">
      <c r="B48" s="17" t="s">
        <v>94</v>
      </c>
    </row>
    <row r="49" spans="2:2" x14ac:dyDescent="0.2">
      <c r="B49" s="17" t="s">
        <v>65</v>
      </c>
    </row>
    <row r="50" spans="2:2" x14ac:dyDescent="0.2">
      <c r="B50" s="17" t="s">
        <v>95</v>
      </c>
    </row>
    <row r="51" spans="2:2" x14ac:dyDescent="0.2">
      <c r="B51" s="17" t="s">
        <v>11</v>
      </c>
    </row>
    <row r="52" spans="2:2" x14ac:dyDescent="0.2"/>
    <row r="53" spans="2:2" x14ac:dyDescent="0.2">
      <c r="B53" s="17" t="s">
        <v>52</v>
      </c>
    </row>
    <row r="54" spans="2:2" x14ac:dyDescent="0.2"/>
    <row r="55" spans="2:2" x14ac:dyDescent="0.2"/>
    <row r="56" spans="2:2" x14ac:dyDescent="0.2">
      <c r="B56" s="17" t="s">
        <v>103</v>
      </c>
    </row>
    <row r="57" spans="2:2" x14ac:dyDescent="0.2">
      <c r="B57" s="17" t="s">
        <v>102</v>
      </c>
    </row>
  </sheetData>
  <mergeCells count="1">
    <mergeCell ref="A4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F55C7-DE56-41C5-B226-3A98AA888035}">
  <sheetPr codeName="Blad5">
    <pageSetUpPr autoPageBreaks="0" fitToPage="1"/>
  </sheetPr>
  <dimension ref="A1:J18"/>
  <sheetViews>
    <sheetView zoomScaleNormal="100" workbookViewId="0"/>
  </sheetViews>
  <sheetFormatPr defaultColWidth="0" defaultRowHeight="12.75" x14ac:dyDescent="0.2"/>
  <cols>
    <col min="1" max="1" width="3.109375" style="21" customWidth="1"/>
    <col min="2" max="2" width="4.44140625" style="65" customWidth="1"/>
    <col min="3" max="3" width="5.109375" style="23" customWidth="1"/>
    <col min="4" max="4" width="29.33203125" style="119" customWidth="1"/>
    <col min="5" max="5" width="7.77734375" style="22" customWidth="1"/>
    <col min="6" max="6" width="34.44140625" style="122" customWidth="1"/>
    <col min="7" max="7" width="9.6640625" style="115" customWidth="1"/>
    <col min="8" max="8" width="10.5546875" style="115" bestFit="1" customWidth="1"/>
    <col min="9" max="9" width="40.88671875" style="21" customWidth="1"/>
    <col min="10" max="10" width="7.109375" style="21" customWidth="1"/>
    <col min="11" max="16384" width="7.109375" style="21" hidden="1"/>
  </cols>
  <sheetData>
    <row r="1" spans="2:9" ht="24" thickBot="1" x14ac:dyDescent="0.25">
      <c r="B1" s="161" t="str">
        <f>'Deelnemers en Scores'!B1</f>
        <v>Rayon kampioenschappen Indoor Teams   Rayon 3</v>
      </c>
      <c r="C1" s="162"/>
      <c r="D1" s="162"/>
      <c r="E1" s="162"/>
      <c r="F1" s="162"/>
      <c r="G1" s="162"/>
      <c r="H1" s="162"/>
      <c r="I1" s="163"/>
    </row>
    <row r="2" spans="2:9" x14ac:dyDescent="0.2">
      <c r="C2" s="37"/>
    </row>
    <row r="3" spans="2:9" ht="15.75" x14ac:dyDescent="0.2">
      <c r="B3" s="53" t="s">
        <v>10</v>
      </c>
      <c r="C3" s="54"/>
      <c r="D3" s="55" t="str">
        <f>'Deelnemers en Scores'!D3</f>
        <v>yyyy-mm-dd</v>
      </c>
    </row>
    <row r="4" spans="2:9" ht="23.25" x14ac:dyDescent="0.35">
      <c r="B4" s="123" t="str">
        <f>'Deelnemers en Scores'!B4</f>
        <v>Klasse: Recurve klasse ERE</v>
      </c>
      <c r="C4" s="51"/>
      <c r="G4" s="116"/>
      <c r="H4" s="116"/>
    </row>
    <row r="6" spans="2:9" ht="20.25" x14ac:dyDescent="0.2">
      <c r="D6" s="120" t="s">
        <v>39</v>
      </c>
    </row>
    <row r="7" spans="2:9" ht="14.25" x14ac:dyDescent="0.2">
      <c r="D7" s="121" t="s">
        <v>43</v>
      </c>
    </row>
    <row r="8" spans="2:9" ht="14.25" x14ac:dyDescent="0.2">
      <c r="D8" s="121" t="s">
        <v>66</v>
      </c>
    </row>
    <row r="9" spans="2:9" x14ac:dyDescent="0.2">
      <c r="D9" s="65"/>
    </row>
    <row r="10" spans="2:9" x14ac:dyDescent="0.2">
      <c r="D10" s="111" t="s">
        <v>40</v>
      </c>
    </row>
    <row r="11" spans="2:9" x14ac:dyDescent="0.2">
      <c r="D11" s="111" t="s">
        <v>42</v>
      </c>
    </row>
    <row r="12" spans="2:9" x14ac:dyDescent="0.2">
      <c r="D12" s="111" t="s">
        <v>68</v>
      </c>
    </row>
    <row r="13" spans="2:9" x14ac:dyDescent="0.2">
      <c r="D13" s="65" t="s">
        <v>45</v>
      </c>
    </row>
    <row r="14" spans="2:9" ht="13.5" thickBot="1" x14ac:dyDescent="0.25"/>
    <row r="15" spans="2:9" ht="15" customHeight="1" x14ac:dyDescent="0.2">
      <c r="B15" s="124"/>
      <c r="C15" s="104"/>
      <c r="D15" s="105"/>
      <c r="E15" s="104"/>
      <c r="F15" s="105"/>
      <c r="G15" s="117"/>
      <c r="H15" s="117"/>
      <c r="I15" s="106"/>
    </row>
    <row r="16" spans="2:9" ht="13.5" thickBot="1" x14ac:dyDescent="0.25">
      <c r="B16" s="125"/>
      <c r="C16" s="107" t="s">
        <v>17</v>
      </c>
      <c r="D16" s="108" t="s">
        <v>13</v>
      </c>
      <c r="E16" s="107" t="s">
        <v>15</v>
      </c>
      <c r="F16" s="108" t="s">
        <v>67</v>
      </c>
      <c r="G16" s="109" t="s">
        <v>25</v>
      </c>
      <c r="H16" s="109" t="s">
        <v>41</v>
      </c>
      <c r="I16" s="110" t="s">
        <v>98</v>
      </c>
    </row>
    <row r="17" spans="2:9" x14ac:dyDescent="0.2">
      <c r="E17" s="23"/>
      <c r="F17" s="119"/>
      <c r="G17" s="118"/>
      <c r="H17" s="118"/>
    </row>
    <row r="18" spans="2:9" x14ac:dyDescent="0.2">
      <c r="B18" s="79"/>
      <c r="C18" s="34">
        <v>123</v>
      </c>
      <c r="D18" s="36" t="s">
        <v>100</v>
      </c>
      <c r="E18" s="34">
        <v>123456</v>
      </c>
      <c r="F18" s="79" t="s">
        <v>44</v>
      </c>
      <c r="G18" s="62">
        <v>7.7770000000000001</v>
      </c>
      <c r="H18" s="62" t="s">
        <v>99</v>
      </c>
      <c r="I18" s="80"/>
    </row>
  </sheetData>
  <sheetProtection selectLockedCells="1"/>
  <protectedRanges>
    <protectedRange password="E95F" sqref="E17:H18" name="Invoer"/>
  </protectedRanges>
  <dataConsolidate/>
  <mergeCells count="1">
    <mergeCell ref="B1:I1"/>
  </mergeCells>
  <pageMargins left="0.49" right="0.42" top="0.49" bottom="1.38" header="0.5" footer="0.6"/>
  <pageSetup paperSize="9" scale="74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autoPageBreaks="0" fitToPage="1"/>
  </sheetPr>
  <dimension ref="A1:L82"/>
  <sheetViews>
    <sheetView topLeftCell="A14" zoomScaleNormal="100" workbookViewId="0">
      <selection activeCell="C33" sqref="C33"/>
    </sheetView>
  </sheetViews>
  <sheetFormatPr defaultColWidth="0" defaultRowHeight="12.75" x14ac:dyDescent="0.2"/>
  <cols>
    <col min="1" max="1" width="3.109375" style="21" customWidth="1"/>
    <col min="2" max="2" width="4.44140625" style="23" customWidth="1"/>
    <col min="3" max="3" width="5.109375" style="23" customWidth="1"/>
    <col min="4" max="4" width="29.33203125" style="23" customWidth="1"/>
    <col min="5" max="5" width="7.77734375" style="21" customWidth="1"/>
    <col min="6" max="6" width="34.44140625" style="21" customWidth="1"/>
    <col min="7" max="7" width="9.6640625" style="57" customWidth="1"/>
    <col min="8" max="9" width="3.6640625" style="22" customWidth="1"/>
    <col min="10" max="10" width="6.77734375" style="22" customWidth="1"/>
    <col min="11" max="11" width="6.77734375" style="21" customWidth="1"/>
    <col min="12" max="12" width="3.33203125" style="21" customWidth="1"/>
    <col min="13" max="16384" width="7.109375" style="21" hidden="1"/>
  </cols>
  <sheetData>
    <row r="1" spans="2:11" ht="24" thickBot="1" x14ac:dyDescent="0.25">
      <c r="B1" s="164" t="s">
        <v>12</v>
      </c>
      <c r="C1" s="165"/>
      <c r="D1" s="165"/>
      <c r="E1" s="165"/>
      <c r="F1" s="165"/>
      <c r="G1" s="165"/>
      <c r="H1" s="165"/>
      <c r="I1" s="165"/>
      <c r="J1" s="165"/>
      <c r="K1" s="166"/>
    </row>
    <row r="2" spans="2:11" x14ac:dyDescent="0.2">
      <c r="B2" s="37"/>
      <c r="C2" s="37"/>
      <c r="D2" s="37"/>
    </row>
    <row r="3" spans="2:11" ht="23.25" x14ac:dyDescent="0.2">
      <c r="B3" s="53" t="s">
        <v>10</v>
      </c>
      <c r="C3" s="54"/>
      <c r="D3" s="103" t="s">
        <v>19</v>
      </c>
      <c r="E3" s="167" t="s">
        <v>18</v>
      </c>
      <c r="F3" s="167"/>
      <c r="G3" s="56" t="s">
        <v>27</v>
      </c>
      <c r="H3" s="168" t="s">
        <v>28</v>
      </c>
      <c r="I3" s="169"/>
      <c r="J3" s="169"/>
      <c r="K3" s="169"/>
    </row>
    <row r="4" spans="2:11" ht="23.25" x14ac:dyDescent="0.35">
      <c r="B4" s="52" t="s">
        <v>109</v>
      </c>
      <c r="C4" s="51"/>
      <c r="F4" s="51"/>
      <c r="G4" s="58"/>
      <c r="H4" s="169"/>
      <c r="I4" s="169"/>
      <c r="J4" s="169"/>
      <c r="K4" s="169"/>
    </row>
    <row r="5" spans="2:11" ht="13.5" thickBot="1" x14ac:dyDescent="0.25"/>
    <row r="6" spans="2:11" ht="15" customHeight="1" x14ac:dyDescent="0.2">
      <c r="B6" s="70"/>
      <c r="C6" s="71"/>
      <c r="D6" s="71"/>
      <c r="E6" s="71"/>
      <c r="F6" s="77" t="s">
        <v>14</v>
      </c>
      <c r="G6" s="68" t="s">
        <v>29</v>
      </c>
      <c r="H6" s="170" t="s">
        <v>31</v>
      </c>
      <c r="I6" s="170"/>
      <c r="J6" s="71" t="s">
        <v>8</v>
      </c>
      <c r="K6" s="74" t="s">
        <v>8</v>
      </c>
    </row>
    <row r="7" spans="2:11" ht="13.5" thickBot="1" x14ac:dyDescent="0.25">
      <c r="B7" s="72" t="s">
        <v>0</v>
      </c>
      <c r="C7" s="73" t="s">
        <v>17</v>
      </c>
      <c r="D7" s="78" t="s">
        <v>13</v>
      </c>
      <c r="E7" s="73" t="s">
        <v>15</v>
      </c>
      <c r="F7" s="78" t="s">
        <v>16</v>
      </c>
      <c r="G7" s="69" t="s">
        <v>25</v>
      </c>
      <c r="H7" s="76" t="s">
        <v>32</v>
      </c>
      <c r="I7" s="76" t="s">
        <v>33</v>
      </c>
      <c r="J7" s="73" t="s">
        <v>26</v>
      </c>
      <c r="K7" s="75" t="s">
        <v>9</v>
      </c>
    </row>
    <row r="8" spans="2:11" x14ac:dyDescent="0.2">
      <c r="E8" s="23"/>
      <c r="F8" s="23"/>
      <c r="G8" s="59"/>
      <c r="H8" s="23"/>
      <c r="I8" s="23"/>
      <c r="J8" s="23"/>
      <c r="K8" s="23"/>
    </row>
    <row r="9" spans="2:11" x14ac:dyDescent="0.2">
      <c r="B9" s="33">
        <v>1</v>
      </c>
      <c r="C9" s="33">
        <v>100</v>
      </c>
      <c r="D9" s="35" t="s">
        <v>104</v>
      </c>
      <c r="E9" s="33"/>
      <c r="F9" s="35" t="s">
        <v>105</v>
      </c>
      <c r="G9" s="64">
        <v>888.8</v>
      </c>
      <c r="H9" s="33"/>
      <c r="I9" s="33"/>
      <c r="J9" s="23"/>
      <c r="K9" s="24">
        <f>IF(COUNTA(J10:J13)&lt;3,0,IF(COUNTA(J10:J13)=3,SUM(J10:J13),IF(SUM(J10:J13)&gt;0,SUM(J10:J13)-MINA(J10:J13),0)))</f>
        <v>1584</v>
      </c>
    </row>
    <row r="10" spans="2:11" x14ac:dyDescent="0.2">
      <c r="B10" s="33"/>
      <c r="C10" s="33"/>
      <c r="D10" s="33"/>
      <c r="E10" s="34">
        <v>302191</v>
      </c>
      <c r="F10" s="36" t="s">
        <v>110</v>
      </c>
      <c r="G10" s="62">
        <v>8.8710000000000004</v>
      </c>
      <c r="H10" s="34">
        <v>263</v>
      </c>
      <c r="I10" s="34">
        <v>271</v>
      </c>
      <c r="J10" s="22">
        <f>SUM(H10:I10)</f>
        <v>534</v>
      </c>
    </row>
    <row r="11" spans="2:11" x14ac:dyDescent="0.2">
      <c r="B11" s="33"/>
      <c r="C11" s="33"/>
      <c r="D11" s="33"/>
      <c r="E11" s="34">
        <v>302194</v>
      </c>
      <c r="F11" s="36" t="s">
        <v>111</v>
      </c>
      <c r="G11" s="62">
        <v>8.9459999999999997</v>
      </c>
      <c r="H11" s="34">
        <v>269</v>
      </c>
      <c r="I11" s="34">
        <v>265</v>
      </c>
      <c r="J11" s="22">
        <f>SUM(H11:I11)</f>
        <v>534</v>
      </c>
    </row>
    <row r="12" spans="2:11" x14ac:dyDescent="0.2">
      <c r="B12" s="33"/>
      <c r="C12" s="33"/>
      <c r="D12" s="33"/>
      <c r="E12" s="34">
        <v>302197</v>
      </c>
      <c r="F12" s="36" t="s">
        <v>112</v>
      </c>
      <c r="G12" s="62">
        <v>9.0210000000000008</v>
      </c>
      <c r="H12" s="34">
        <v>258</v>
      </c>
      <c r="I12" s="34">
        <v>258</v>
      </c>
      <c r="J12" s="22">
        <f>SUM(H12:I12)</f>
        <v>516</v>
      </c>
    </row>
    <row r="13" spans="2:11" x14ac:dyDescent="0.2">
      <c r="B13" s="33"/>
      <c r="C13" s="33"/>
      <c r="D13" s="33"/>
      <c r="E13" s="34"/>
      <c r="F13" s="36"/>
      <c r="G13" s="62"/>
      <c r="H13" s="34"/>
      <c r="I13" s="34"/>
    </row>
    <row r="14" spans="2:11" x14ac:dyDescent="0.2">
      <c r="B14" s="33"/>
      <c r="C14" s="33"/>
      <c r="D14" s="33"/>
      <c r="E14" s="34"/>
      <c r="F14" s="36"/>
      <c r="G14" s="60"/>
      <c r="H14" s="34"/>
      <c r="I14" s="34"/>
    </row>
    <row r="15" spans="2:11" x14ac:dyDescent="0.2">
      <c r="B15" s="33">
        <v>2</v>
      </c>
      <c r="C15" s="33">
        <v>100</v>
      </c>
      <c r="D15" s="35" t="s">
        <v>104</v>
      </c>
      <c r="E15" s="33"/>
      <c r="F15" s="35" t="s">
        <v>106</v>
      </c>
      <c r="G15" s="64">
        <v>888.8</v>
      </c>
      <c r="H15" s="34"/>
      <c r="I15" s="34"/>
      <c r="J15" s="23"/>
      <c r="K15" s="24">
        <f>IF(COUNTA(J16:J19)&lt;3,0,IF(COUNTA(J16:J19)=3,SUM(J16:J19),IF(SUM(J16:J19)&gt;0,SUM(J16:J19)-MINA(J16:J19),0)))</f>
        <v>1504</v>
      </c>
    </row>
    <row r="16" spans="2:11" x14ac:dyDescent="0.2">
      <c r="B16" s="33"/>
      <c r="C16" s="33"/>
      <c r="D16" s="33"/>
      <c r="E16" s="34">
        <v>302200</v>
      </c>
      <c r="F16" s="36" t="s">
        <v>113</v>
      </c>
      <c r="G16" s="62">
        <v>9.1460000000000008</v>
      </c>
      <c r="H16" s="34">
        <v>258</v>
      </c>
      <c r="I16" s="34">
        <v>255</v>
      </c>
      <c r="J16" s="22">
        <f>SUM(H16:I16)</f>
        <v>513</v>
      </c>
    </row>
    <row r="17" spans="2:11" x14ac:dyDescent="0.2">
      <c r="B17" s="33"/>
      <c r="C17" s="33"/>
      <c r="D17" s="33"/>
      <c r="E17" s="34">
        <v>302202</v>
      </c>
      <c r="F17" s="36" t="s">
        <v>114</v>
      </c>
      <c r="G17" s="62">
        <v>9.1959999999999997</v>
      </c>
      <c r="H17" s="34">
        <v>247</v>
      </c>
      <c r="I17" s="34">
        <v>249</v>
      </c>
      <c r="J17" s="22">
        <f>SUM(H17:I17)</f>
        <v>496</v>
      </c>
    </row>
    <row r="18" spans="2:11" x14ac:dyDescent="0.2">
      <c r="B18" s="33"/>
      <c r="C18" s="33"/>
      <c r="D18" s="33"/>
      <c r="E18" s="34">
        <v>302204</v>
      </c>
      <c r="F18" s="36" t="s">
        <v>115</v>
      </c>
      <c r="G18" s="62">
        <v>9.2460000000000004</v>
      </c>
      <c r="H18" s="34">
        <v>246</v>
      </c>
      <c r="I18" s="34">
        <v>249</v>
      </c>
      <c r="J18" s="22">
        <f>SUM(H18:I18)</f>
        <v>495</v>
      </c>
    </row>
    <row r="19" spans="2:11" x14ac:dyDescent="0.2">
      <c r="B19" s="33"/>
      <c r="C19" s="33"/>
      <c r="D19" s="33"/>
      <c r="E19" s="34"/>
      <c r="F19" s="36"/>
      <c r="G19" s="62"/>
      <c r="H19" s="34"/>
      <c r="I19" s="34"/>
    </row>
    <row r="20" spans="2:11" x14ac:dyDescent="0.2">
      <c r="B20" s="33"/>
      <c r="C20" s="33"/>
      <c r="D20" s="33"/>
      <c r="E20" s="34"/>
      <c r="F20" s="36"/>
      <c r="G20" s="60"/>
      <c r="H20" s="34"/>
      <c r="I20" s="34"/>
    </row>
    <row r="21" spans="2:11" x14ac:dyDescent="0.2">
      <c r="B21" s="33">
        <v>3</v>
      </c>
      <c r="C21" s="33">
        <v>100</v>
      </c>
      <c r="D21" s="35" t="s">
        <v>104</v>
      </c>
      <c r="E21" s="33"/>
      <c r="F21" s="35" t="s">
        <v>107</v>
      </c>
      <c r="G21" s="64">
        <v>888.8</v>
      </c>
      <c r="H21" s="34"/>
      <c r="I21" s="34"/>
      <c r="J21" s="23"/>
      <c r="K21" s="24">
        <f>IF(COUNTA(J22:J25)&lt;3,0,IF(COUNTA(J22:J25)=3,SUM(J22:J25),IF(SUM(J22:J25)&gt;0,SUM(J22:J25)-MINA(J22:J25),0)))</f>
        <v>1460</v>
      </c>
    </row>
    <row r="22" spans="2:11" x14ac:dyDescent="0.2">
      <c r="B22" s="33"/>
      <c r="C22" s="33"/>
      <c r="D22" s="33"/>
      <c r="E22" s="34">
        <v>302205</v>
      </c>
      <c r="F22" s="36" t="s">
        <v>116</v>
      </c>
      <c r="G22" s="62">
        <v>9.2710000000000008</v>
      </c>
      <c r="H22" s="34">
        <v>255</v>
      </c>
      <c r="I22" s="34">
        <v>240</v>
      </c>
      <c r="J22" s="22">
        <f>SUM(H22:I22)</f>
        <v>495</v>
      </c>
    </row>
    <row r="23" spans="2:11" x14ac:dyDescent="0.2">
      <c r="B23" s="33"/>
      <c r="C23" s="33"/>
      <c r="D23" s="33"/>
      <c r="E23" s="34">
        <v>302207</v>
      </c>
      <c r="F23" s="36" t="s">
        <v>117</v>
      </c>
      <c r="G23" s="62">
        <v>9.3209999999999997</v>
      </c>
      <c r="H23" s="34">
        <v>249</v>
      </c>
      <c r="I23" s="34">
        <v>238</v>
      </c>
      <c r="J23" s="22">
        <f>SUM(H23:I23)</f>
        <v>487</v>
      </c>
    </row>
    <row r="24" spans="2:11" x14ac:dyDescent="0.2">
      <c r="B24" s="33"/>
      <c r="C24" s="33"/>
      <c r="D24" s="33"/>
      <c r="E24" s="34">
        <v>302209</v>
      </c>
      <c r="F24" s="36" t="s">
        <v>118</v>
      </c>
      <c r="G24" s="62">
        <v>9.3710000000000004</v>
      </c>
      <c r="H24" s="34">
        <v>236</v>
      </c>
      <c r="I24" s="34">
        <v>242</v>
      </c>
      <c r="J24" s="22">
        <f>SUM(H24:I24)</f>
        <v>478</v>
      </c>
    </row>
    <row r="25" spans="2:11" x14ac:dyDescent="0.2">
      <c r="B25" s="33"/>
      <c r="C25" s="33"/>
      <c r="D25" s="33"/>
      <c r="E25" s="34"/>
      <c r="F25" s="36"/>
      <c r="G25" s="62"/>
      <c r="H25" s="34"/>
      <c r="I25" s="34"/>
    </row>
    <row r="26" spans="2:11" x14ac:dyDescent="0.2">
      <c r="B26" s="33"/>
      <c r="C26" s="33"/>
      <c r="D26" s="33"/>
      <c r="E26" s="34"/>
      <c r="F26" s="36"/>
      <c r="G26" s="60"/>
      <c r="H26" s="34"/>
      <c r="I26" s="34"/>
    </row>
    <row r="27" spans="2:11" x14ac:dyDescent="0.2">
      <c r="B27" s="33">
        <v>4</v>
      </c>
      <c r="C27" s="33">
        <v>100</v>
      </c>
      <c r="D27" s="35" t="s">
        <v>104</v>
      </c>
      <c r="E27" s="33"/>
      <c r="F27" s="35" t="s">
        <v>108</v>
      </c>
      <c r="G27" s="64">
        <v>888.8</v>
      </c>
      <c r="H27" s="34"/>
      <c r="I27" s="34"/>
      <c r="J27" s="23"/>
      <c r="K27" s="24">
        <f>IF(COUNTA(J28:J31)&lt;3,0,IF(COUNTA(J28:J31)=3,SUM(J28:J31),IF(SUM(J28:J31)&gt;0,SUM(J28:J31)-MINA(J28:J31),0)))</f>
        <v>1425</v>
      </c>
    </row>
    <row r="28" spans="2:11" x14ac:dyDescent="0.2">
      <c r="B28" s="33"/>
      <c r="C28" s="33"/>
      <c r="D28" s="33"/>
      <c r="E28" s="34">
        <v>302210</v>
      </c>
      <c r="F28" s="36" t="s">
        <v>119</v>
      </c>
      <c r="G28" s="62">
        <v>9.3960000000000008</v>
      </c>
      <c r="H28" s="34">
        <v>242</v>
      </c>
      <c r="I28" s="34">
        <v>234</v>
      </c>
      <c r="J28" s="22">
        <f>SUM(H28:I28)</f>
        <v>476</v>
      </c>
    </row>
    <row r="29" spans="2:11" x14ac:dyDescent="0.2">
      <c r="B29" s="33"/>
      <c r="C29" s="33"/>
      <c r="D29" s="33"/>
      <c r="E29" s="34">
        <v>302213</v>
      </c>
      <c r="F29" s="36" t="s">
        <v>120</v>
      </c>
      <c r="G29" s="62">
        <v>9.4459999999999997</v>
      </c>
      <c r="H29" s="34">
        <v>250</v>
      </c>
      <c r="I29" s="34">
        <v>225</v>
      </c>
      <c r="J29" s="22">
        <f>SUM(H29:I29)</f>
        <v>475</v>
      </c>
    </row>
    <row r="30" spans="2:11" x14ac:dyDescent="0.2">
      <c r="B30" s="33"/>
      <c r="C30" s="33"/>
      <c r="D30" s="33"/>
      <c r="E30" s="34">
        <v>302215</v>
      </c>
      <c r="F30" s="36" t="s">
        <v>121</v>
      </c>
      <c r="G30" s="62">
        <v>9.4960000000000004</v>
      </c>
      <c r="H30" s="34">
        <v>221</v>
      </c>
      <c r="I30" s="34">
        <v>253</v>
      </c>
      <c r="J30" s="22">
        <f>SUM(H30:I30)</f>
        <v>474</v>
      </c>
    </row>
    <row r="31" spans="2:11" x14ac:dyDescent="0.2">
      <c r="B31" s="33"/>
      <c r="C31" s="33"/>
      <c r="D31" s="33"/>
      <c r="E31" s="34"/>
      <c r="F31" s="36"/>
      <c r="G31" s="62"/>
      <c r="H31" s="34"/>
      <c r="I31" s="34"/>
    </row>
    <row r="32" spans="2:11" x14ac:dyDescent="0.2">
      <c r="B32" s="33"/>
      <c r="C32" s="33"/>
      <c r="D32" s="33"/>
      <c r="E32" s="34"/>
      <c r="F32" s="36"/>
      <c r="G32" s="60"/>
      <c r="H32" s="34"/>
      <c r="I32" s="34"/>
    </row>
    <row r="33" spans="2:11" x14ac:dyDescent="0.2">
      <c r="B33" s="33">
        <v>5</v>
      </c>
      <c r="C33" s="33"/>
      <c r="D33" s="35"/>
      <c r="E33" s="33"/>
      <c r="F33" s="35"/>
      <c r="G33" s="64"/>
      <c r="H33" s="34"/>
      <c r="I33" s="34"/>
      <c r="J33" s="23"/>
      <c r="K33" s="24"/>
    </row>
    <row r="34" spans="2:11" x14ac:dyDescent="0.2">
      <c r="B34" s="33"/>
      <c r="C34" s="33"/>
      <c r="D34" s="33"/>
      <c r="E34" s="34"/>
      <c r="F34" s="36"/>
      <c r="G34" s="62"/>
      <c r="H34" s="34"/>
      <c r="I34" s="34"/>
    </row>
    <row r="35" spans="2:11" x14ac:dyDescent="0.2">
      <c r="B35" s="33"/>
      <c r="C35" s="33"/>
      <c r="D35" s="33"/>
      <c r="E35" s="34"/>
      <c r="F35" s="36"/>
      <c r="G35" s="62"/>
      <c r="H35" s="34"/>
      <c r="I35" s="34"/>
    </row>
    <row r="36" spans="2:11" x14ac:dyDescent="0.2">
      <c r="B36" s="33"/>
      <c r="C36" s="33"/>
      <c r="D36" s="33"/>
      <c r="E36" s="34"/>
      <c r="F36" s="36"/>
      <c r="G36" s="62"/>
      <c r="H36" s="34"/>
      <c r="I36" s="34"/>
    </row>
    <row r="37" spans="2:11" x14ac:dyDescent="0.2">
      <c r="B37" s="33"/>
      <c r="C37" s="33"/>
      <c r="D37" s="33"/>
      <c r="E37" s="34"/>
      <c r="F37" s="36"/>
      <c r="G37" s="62"/>
      <c r="H37" s="34"/>
      <c r="I37" s="34"/>
    </row>
    <row r="38" spans="2:11" x14ac:dyDescent="0.2">
      <c r="B38" s="33"/>
      <c r="C38" s="33"/>
      <c r="D38" s="33"/>
      <c r="E38" s="34"/>
      <c r="F38" s="36"/>
      <c r="G38" s="60"/>
      <c r="H38" s="34"/>
      <c r="I38" s="34"/>
    </row>
    <row r="39" spans="2:11" x14ac:dyDescent="0.2">
      <c r="B39" s="33">
        <v>6</v>
      </c>
      <c r="C39" s="33"/>
      <c r="D39" s="35"/>
      <c r="E39" s="33"/>
      <c r="F39" s="35"/>
      <c r="G39" s="64"/>
      <c r="H39" s="34"/>
      <c r="I39" s="34"/>
      <c r="J39" s="23"/>
      <c r="K39" s="24"/>
    </row>
    <row r="40" spans="2:11" x14ac:dyDescent="0.2">
      <c r="B40" s="33"/>
      <c r="C40" s="33"/>
      <c r="D40" s="33"/>
      <c r="E40" s="34"/>
      <c r="F40" s="36"/>
      <c r="G40" s="62"/>
      <c r="H40" s="34"/>
      <c r="I40" s="34"/>
    </row>
    <row r="41" spans="2:11" x14ac:dyDescent="0.2">
      <c r="B41" s="33"/>
      <c r="C41" s="33"/>
      <c r="D41" s="33"/>
      <c r="E41" s="34"/>
      <c r="F41" s="36"/>
      <c r="G41" s="62"/>
      <c r="H41" s="34"/>
      <c r="I41" s="34"/>
    </row>
    <row r="42" spans="2:11" x14ac:dyDescent="0.2">
      <c r="B42" s="33"/>
      <c r="C42" s="33"/>
      <c r="D42" s="33"/>
      <c r="E42" s="34"/>
      <c r="F42" s="36"/>
      <c r="G42" s="62"/>
      <c r="H42" s="34"/>
      <c r="I42" s="34"/>
    </row>
    <row r="43" spans="2:11" x14ac:dyDescent="0.2">
      <c r="B43" s="33"/>
      <c r="C43" s="33"/>
      <c r="D43" s="33"/>
      <c r="E43" s="34"/>
      <c r="F43" s="36"/>
      <c r="G43" s="62"/>
      <c r="H43" s="34"/>
      <c r="I43" s="34"/>
    </row>
    <row r="44" spans="2:11" x14ac:dyDescent="0.2">
      <c r="B44" s="33"/>
      <c r="C44" s="33"/>
      <c r="D44" s="33"/>
      <c r="E44" s="34"/>
      <c r="F44" s="36"/>
      <c r="G44" s="60"/>
      <c r="H44" s="34"/>
      <c r="I44" s="34"/>
    </row>
    <row r="45" spans="2:11" x14ac:dyDescent="0.2">
      <c r="B45" s="33">
        <v>7</v>
      </c>
      <c r="C45" s="33"/>
      <c r="D45" s="35"/>
      <c r="E45" s="33"/>
      <c r="F45" s="35"/>
      <c r="G45" s="64"/>
      <c r="H45" s="34"/>
      <c r="I45" s="34"/>
      <c r="J45" s="23"/>
      <c r="K45" s="24"/>
    </row>
    <row r="46" spans="2:11" x14ac:dyDescent="0.2">
      <c r="B46" s="33"/>
      <c r="C46" s="33"/>
      <c r="D46" s="33"/>
      <c r="E46" s="34"/>
      <c r="F46" s="36"/>
      <c r="G46" s="62"/>
      <c r="H46" s="34"/>
      <c r="I46" s="34"/>
    </row>
    <row r="47" spans="2:11" x14ac:dyDescent="0.2">
      <c r="B47" s="33"/>
      <c r="C47" s="33"/>
      <c r="D47" s="33"/>
      <c r="E47" s="34"/>
      <c r="F47" s="36"/>
      <c r="G47" s="62"/>
      <c r="H47" s="34"/>
      <c r="I47" s="34"/>
    </row>
    <row r="48" spans="2:11" x14ac:dyDescent="0.2">
      <c r="B48" s="33"/>
      <c r="C48" s="33"/>
      <c r="D48" s="33"/>
      <c r="E48" s="34"/>
      <c r="F48" s="36"/>
      <c r="G48" s="62"/>
      <c r="H48" s="34"/>
      <c r="I48" s="34"/>
    </row>
    <row r="49" spans="1:11" x14ac:dyDescent="0.2">
      <c r="B49" s="33"/>
      <c r="C49" s="33"/>
      <c r="D49" s="33"/>
      <c r="E49" s="34"/>
      <c r="F49" s="36"/>
      <c r="G49" s="62"/>
      <c r="H49" s="34"/>
      <c r="I49" s="34"/>
    </row>
    <row r="50" spans="1:11" x14ac:dyDescent="0.2">
      <c r="B50" s="33"/>
      <c r="C50" s="33"/>
      <c r="D50" s="33"/>
      <c r="E50" s="34"/>
      <c r="F50" s="36"/>
      <c r="G50" s="60"/>
      <c r="H50" s="34"/>
      <c r="I50" s="34"/>
    </row>
    <row r="51" spans="1:11" x14ac:dyDescent="0.2">
      <c r="B51" s="33">
        <v>8</v>
      </c>
      <c r="C51" s="33"/>
      <c r="D51" s="35"/>
      <c r="E51" s="33"/>
      <c r="F51" s="35"/>
      <c r="G51" s="64"/>
      <c r="H51" s="34"/>
      <c r="I51" s="34"/>
      <c r="J51" s="23"/>
      <c r="K51" s="24"/>
    </row>
    <row r="52" spans="1:11" x14ac:dyDescent="0.2">
      <c r="B52" s="33"/>
      <c r="C52" s="33"/>
      <c r="D52" s="33"/>
      <c r="E52" s="34"/>
      <c r="F52" s="36"/>
      <c r="G52" s="62"/>
      <c r="H52" s="34"/>
      <c r="I52" s="34"/>
    </row>
    <row r="53" spans="1:11" x14ac:dyDescent="0.2">
      <c r="B53" s="33"/>
      <c r="C53" s="33"/>
      <c r="D53" s="33"/>
      <c r="E53" s="34"/>
      <c r="F53" s="36"/>
      <c r="G53" s="62"/>
      <c r="H53" s="34"/>
      <c r="I53" s="34"/>
    </row>
    <row r="54" spans="1:11" x14ac:dyDescent="0.2">
      <c r="B54" s="33"/>
      <c r="C54" s="33"/>
      <c r="D54" s="33"/>
      <c r="E54" s="34"/>
      <c r="F54" s="36"/>
      <c r="G54" s="62"/>
      <c r="H54" s="34"/>
      <c r="I54" s="34"/>
    </row>
    <row r="55" spans="1:11" x14ac:dyDescent="0.2">
      <c r="B55" s="33"/>
      <c r="C55" s="33"/>
      <c r="D55" s="33"/>
      <c r="E55" s="34"/>
      <c r="F55" s="36"/>
      <c r="G55" s="62"/>
      <c r="H55" s="34"/>
      <c r="I55" s="34"/>
    </row>
    <row r="56" spans="1:11" x14ac:dyDescent="0.2">
      <c r="B56" s="33"/>
      <c r="C56" s="33"/>
      <c r="D56" s="33"/>
      <c r="E56" s="34"/>
      <c r="F56" s="36"/>
      <c r="G56" s="60"/>
      <c r="H56" s="34"/>
      <c r="I56" s="34"/>
    </row>
    <row r="57" spans="1:11" x14ac:dyDescent="0.2">
      <c r="B57" s="33">
        <v>9</v>
      </c>
      <c r="C57" s="33"/>
      <c r="D57" s="35"/>
      <c r="E57" s="33"/>
      <c r="F57" s="35"/>
      <c r="G57" s="64"/>
      <c r="H57" s="34"/>
      <c r="I57" s="34"/>
      <c r="J57" s="23"/>
      <c r="K57" s="24"/>
    </row>
    <row r="58" spans="1:11" x14ac:dyDescent="0.2">
      <c r="B58" s="33"/>
      <c r="C58" s="33"/>
      <c r="D58" s="33"/>
      <c r="E58" s="34"/>
      <c r="F58" s="36"/>
      <c r="G58" s="62"/>
      <c r="H58" s="34"/>
      <c r="I58" s="34"/>
    </row>
    <row r="59" spans="1:11" x14ac:dyDescent="0.2">
      <c r="B59" s="33"/>
      <c r="C59" s="33"/>
      <c r="D59" s="33"/>
      <c r="E59" s="34"/>
      <c r="F59" s="36"/>
      <c r="G59" s="62"/>
      <c r="H59" s="34"/>
      <c r="I59" s="34"/>
    </row>
    <row r="60" spans="1:11" x14ac:dyDescent="0.2">
      <c r="B60" s="33"/>
      <c r="C60" s="33"/>
      <c r="D60" s="33"/>
      <c r="E60" s="34"/>
      <c r="F60" s="36"/>
      <c r="G60" s="62"/>
      <c r="H60" s="34"/>
      <c r="I60" s="34"/>
    </row>
    <row r="61" spans="1:11" x14ac:dyDescent="0.2">
      <c r="B61" s="33"/>
      <c r="C61" s="33"/>
      <c r="D61" s="33"/>
      <c r="E61" s="34"/>
      <c r="F61" s="36"/>
      <c r="G61" s="62"/>
      <c r="H61" s="34"/>
      <c r="I61" s="34"/>
    </row>
    <row r="62" spans="1:11" ht="15" x14ac:dyDescent="0.2">
      <c r="A62"/>
      <c r="B62"/>
      <c r="C62"/>
      <c r="D62"/>
      <c r="E62"/>
      <c r="F62"/>
      <c r="G62" s="61"/>
      <c r="H62" s="34"/>
      <c r="I62" s="34"/>
      <c r="J62"/>
      <c r="K62"/>
    </row>
    <row r="63" spans="1:11" x14ac:dyDescent="0.2">
      <c r="B63" s="33">
        <v>10</v>
      </c>
      <c r="C63" s="33"/>
      <c r="D63" s="35"/>
      <c r="E63" s="33"/>
      <c r="F63" s="35"/>
      <c r="G63" s="64"/>
      <c r="H63" s="34"/>
      <c r="I63" s="34"/>
      <c r="J63" s="23"/>
      <c r="K63" s="24"/>
    </row>
    <row r="64" spans="1:11" x14ac:dyDescent="0.2">
      <c r="B64" s="33"/>
      <c r="C64" s="33"/>
      <c r="D64" s="33"/>
      <c r="E64" s="34"/>
      <c r="F64" s="36"/>
      <c r="G64" s="62"/>
      <c r="H64" s="34"/>
      <c r="I64" s="34"/>
    </row>
    <row r="65" spans="2:11" x14ac:dyDescent="0.2">
      <c r="B65" s="33"/>
      <c r="C65" s="33"/>
      <c r="D65" s="33"/>
      <c r="E65" s="34"/>
      <c r="F65" s="36"/>
      <c r="G65" s="62"/>
      <c r="H65" s="34"/>
      <c r="I65" s="34"/>
    </row>
    <row r="66" spans="2:11" x14ac:dyDescent="0.2">
      <c r="B66" s="33"/>
      <c r="C66" s="33"/>
      <c r="D66" s="33"/>
      <c r="E66" s="34"/>
      <c r="F66" s="36"/>
      <c r="G66" s="62"/>
      <c r="H66" s="34"/>
      <c r="I66" s="34"/>
    </row>
    <row r="67" spans="2:11" x14ac:dyDescent="0.2">
      <c r="B67" s="33"/>
      <c r="C67" s="33"/>
      <c r="D67" s="33"/>
      <c r="E67" s="34"/>
      <c r="F67" s="36"/>
      <c r="G67" s="62"/>
      <c r="H67" s="34"/>
      <c r="I67" s="34"/>
    </row>
    <row r="68" spans="2:11" x14ac:dyDescent="0.2">
      <c r="H68" s="34"/>
      <c r="I68" s="34"/>
    </row>
    <row r="69" spans="2:11" x14ac:dyDescent="0.2">
      <c r="B69" s="33">
        <v>11</v>
      </c>
      <c r="C69" s="33"/>
      <c r="D69" s="35"/>
      <c r="E69" s="33"/>
      <c r="F69" s="35"/>
      <c r="G69" s="64"/>
      <c r="H69" s="34"/>
      <c r="I69" s="34"/>
      <c r="J69" s="23"/>
      <c r="K69" s="24"/>
    </row>
    <row r="70" spans="2:11" x14ac:dyDescent="0.2">
      <c r="B70" s="33"/>
      <c r="C70" s="33"/>
      <c r="D70" s="33"/>
      <c r="E70" s="34"/>
      <c r="F70" s="36"/>
      <c r="G70" s="62"/>
      <c r="H70" s="34"/>
      <c r="I70" s="34"/>
    </row>
    <row r="71" spans="2:11" x14ac:dyDescent="0.2">
      <c r="B71" s="33"/>
      <c r="C71" s="33"/>
      <c r="D71" s="33"/>
      <c r="E71" s="34"/>
      <c r="F71" s="36"/>
      <c r="G71" s="62"/>
      <c r="H71" s="34"/>
      <c r="I71" s="34"/>
    </row>
    <row r="72" spans="2:11" x14ac:dyDescent="0.2">
      <c r="B72" s="33"/>
      <c r="C72" s="33"/>
      <c r="D72" s="33"/>
      <c r="E72" s="34"/>
      <c r="F72" s="36"/>
      <c r="G72" s="62"/>
      <c r="H72" s="34"/>
      <c r="I72" s="34"/>
    </row>
    <row r="73" spans="2:11" x14ac:dyDescent="0.2">
      <c r="B73" s="33"/>
      <c r="C73" s="33"/>
      <c r="D73" s="33"/>
      <c r="E73" s="34"/>
      <c r="F73" s="36"/>
      <c r="G73" s="62"/>
      <c r="H73" s="34"/>
      <c r="I73" s="34"/>
    </row>
    <row r="74" spans="2:11" x14ac:dyDescent="0.2">
      <c r="H74" s="34"/>
      <c r="I74" s="34"/>
    </row>
    <row r="75" spans="2:11" x14ac:dyDescent="0.2">
      <c r="B75" s="33">
        <v>12</v>
      </c>
      <c r="C75" s="33"/>
      <c r="D75" s="35"/>
      <c r="E75" s="33"/>
      <c r="F75" s="35"/>
      <c r="G75" s="64"/>
      <c r="H75" s="34"/>
      <c r="I75" s="34"/>
      <c r="J75" s="23"/>
      <c r="K75" s="24"/>
    </row>
    <row r="76" spans="2:11" x14ac:dyDescent="0.2">
      <c r="B76" s="33"/>
      <c r="C76" s="33"/>
      <c r="D76" s="33"/>
      <c r="E76" s="34"/>
      <c r="F76" s="36"/>
      <c r="G76" s="62"/>
      <c r="H76" s="34"/>
      <c r="I76" s="34"/>
    </row>
    <row r="77" spans="2:11" x14ac:dyDescent="0.2">
      <c r="B77" s="33"/>
      <c r="C77" s="33"/>
      <c r="D77" s="33"/>
      <c r="E77" s="34"/>
      <c r="F77" s="36"/>
      <c r="G77" s="62"/>
      <c r="H77" s="34"/>
      <c r="I77" s="34"/>
    </row>
    <row r="78" spans="2:11" x14ac:dyDescent="0.2">
      <c r="B78" s="33"/>
      <c r="C78" s="33"/>
      <c r="D78" s="33"/>
      <c r="E78" s="34"/>
      <c r="F78" s="36"/>
      <c r="G78" s="62"/>
      <c r="H78" s="34"/>
      <c r="I78" s="34"/>
    </row>
    <row r="79" spans="2:11" x14ac:dyDescent="0.2">
      <c r="B79" s="33"/>
      <c r="C79" s="33"/>
      <c r="D79" s="33"/>
      <c r="E79" s="34"/>
      <c r="F79" s="36"/>
      <c r="G79" s="62"/>
      <c r="H79" s="34"/>
      <c r="I79" s="34"/>
    </row>
    <row r="82" spans="2:2" x14ac:dyDescent="0.2">
      <c r="B82" s="65" t="s">
        <v>30</v>
      </c>
    </row>
  </sheetData>
  <sheetProtection selectLockedCells="1"/>
  <protectedRanges>
    <protectedRange password="E95F" sqref="E8:I79" name="Invoer"/>
  </protectedRanges>
  <dataConsolidate/>
  <mergeCells count="4">
    <mergeCell ref="B1:K1"/>
    <mergeCell ref="E3:F3"/>
    <mergeCell ref="H3:K4"/>
    <mergeCell ref="H6:I6"/>
  </mergeCells>
  <phoneticPr fontId="0" type="noConversion"/>
  <pageMargins left="0.49" right="0.42" top="0.49" bottom="1.38" header="0.5" footer="0.6"/>
  <pageSetup paperSize="9" scale="66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transitionEvaluation="1" codeName="Blad3">
    <pageSetUpPr fitToPage="1"/>
  </sheetPr>
  <dimension ref="A1:X22"/>
  <sheetViews>
    <sheetView defaultGridColor="0" colorId="22" zoomScale="85" zoomScaleNormal="85" workbookViewId="0"/>
  </sheetViews>
  <sheetFormatPr defaultColWidth="0" defaultRowHeight="15" x14ac:dyDescent="0.2"/>
  <cols>
    <col min="1" max="1" width="4.44140625" customWidth="1"/>
    <col min="2" max="2" width="5.77734375" style="1" customWidth="1"/>
    <col min="3" max="4" width="29.5546875" customWidth="1"/>
    <col min="5" max="8" width="6.109375" customWidth="1"/>
    <col min="9" max="9" width="1.77734375" customWidth="1"/>
    <col min="10" max="13" width="6.109375" customWidth="1"/>
    <col min="14" max="14" width="1.77734375" customWidth="1"/>
    <col min="15" max="18" width="6.33203125" customWidth="1"/>
    <col min="19" max="19" width="10.33203125" customWidth="1"/>
    <col min="20" max="20" width="2" customWidth="1"/>
    <col min="21" max="21" width="6.5546875" customWidth="1"/>
    <col min="22" max="22" width="11.5546875" customWidth="1"/>
    <col min="23" max="23" width="4.77734375" customWidth="1"/>
    <col min="24" max="24" width="1.77734375" customWidth="1"/>
    <col min="25" max="16384" width="9.77734375" hidden="1"/>
  </cols>
  <sheetData>
    <row r="1" spans="1:22" ht="73.5" customHeight="1" x14ac:dyDescent="0.2"/>
    <row r="2" spans="1:22" ht="30" customHeight="1" x14ac:dyDescent="0.3">
      <c r="B2" s="146" t="str">
        <f>'Deelnemers en Scores'!B1</f>
        <v>Rayon kampioenschappen Indoor Teams   Rayon 3</v>
      </c>
      <c r="C2" s="147"/>
      <c r="D2" s="147"/>
      <c r="E2" s="147"/>
      <c r="F2" s="147"/>
      <c r="G2" s="147"/>
      <c r="H2" s="147"/>
      <c r="I2" s="147"/>
      <c r="J2" s="148"/>
      <c r="K2" s="149"/>
      <c r="L2" s="149"/>
      <c r="M2" s="147"/>
      <c r="N2" s="150"/>
      <c r="O2" s="151"/>
      <c r="P2" s="148"/>
      <c r="Q2" s="152"/>
      <c r="R2" s="148"/>
      <c r="S2" s="153"/>
    </row>
    <row r="4" spans="1:22" ht="28.5" customHeight="1" x14ac:dyDescent="0.25">
      <c r="B4" s="2" t="str">
        <f>'Deelnemers en Scores'!B4</f>
        <v>Klasse: Recurve klasse ERE</v>
      </c>
      <c r="E4" s="3"/>
      <c r="O4" s="129" t="s">
        <v>10</v>
      </c>
      <c r="P4" s="126" t="str">
        <f>'Deelnemers en Scores'!D3</f>
        <v>yyyy-mm-dd</v>
      </c>
      <c r="Q4" s="63"/>
      <c r="R4" s="127"/>
      <c r="S4" s="128"/>
    </row>
    <row r="5" spans="1:22" ht="12.95" customHeight="1" x14ac:dyDescent="0.2"/>
    <row r="7" spans="1:22" ht="21" customHeight="1" x14ac:dyDescent="0.25">
      <c r="B7" s="4"/>
      <c r="C7" s="5"/>
      <c r="D7" s="6"/>
      <c r="E7" s="171" t="s">
        <v>20</v>
      </c>
      <c r="F7" s="172"/>
      <c r="G7" s="172"/>
      <c r="H7" s="173"/>
      <c r="I7" s="90"/>
      <c r="J7" s="171" t="s">
        <v>21</v>
      </c>
      <c r="K7" s="172"/>
      <c r="L7" s="172"/>
      <c r="M7" s="173"/>
      <c r="N7" s="90"/>
      <c r="O7" s="171" t="s">
        <v>22</v>
      </c>
      <c r="P7" s="172"/>
      <c r="Q7" s="172"/>
      <c r="R7" s="173"/>
      <c r="S7" s="7"/>
      <c r="U7" s="86" t="s">
        <v>4</v>
      </c>
      <c r="V7" s="88" t="s">
        <v>5</v>
      </c>
    </row>
    <row r="8" spans="1:22" ht="21" customHeight="1" x14ac:dyDescent="0.2">
      <c r="A8" s="1"/>
      <c r="B8" s="8" t="s">
        <v>0</v>
      </c>
      <c r="C8" s="49" t="s">
        <v>13</v>
      </c>
      <c r="D8" s="50" t="s">
        <v>14</v>
      </c>
      <c r="E8" s="10">
        <v>1</v>
      </c>
      <c r="F8" s="8">
        <v>2</v>
      </c>
      <c r="G8" s="8">
        <v>3</v>
      </c>
      <c r="H8" s="9">
        <v>4</v>
      </c>
      <c r="I8" s="11"/>
      <c r="J8" s="10">
        <v>1</v>
      </c>
      <c r="K8" s="8">
        <v>2</v>
      </c>
      <c r="L8" s="8">
        <v>3</v>
      </c>
      <c r="M8" s="9">
        <v>4</v>
      </c>
      <c r="N8" s="11"/>
      <c r="O8" s="10">
        <v>1</v>
      </c>
      <c r="P8" s="8">
        <v>2</v>
      </c>
      <c r="Q8" s="8">
        <v>3</v>
      </c>
      <c r="R8" s="9">
        <v>4</v>
      </c>
      <c r="S8" s="12" t="s">
        <v>1</v>
      </c>
      <c r="U8" s="87" t="s">
        <v>6</v>
      </c>
      <c r="V8" s="89" t="s">
        <v>7</v>
      </c>
    </row>
    <row r="9" spans="1:22" ht="19.5" customHeight="1" x14ac:dyDescent="0.2">
      <c r="A9" s="1"/>
      <c r="C9" s="1"/>
      <c r="D9" s="13"/>
      <c r="E9" s="1"/>
      <c r="F9" s="1"/>
      <c r="G9" s="1"/>
      <c r="H9" s="1"/>
      <c r="I9" s="14"/>
      <c r="J9" s="1"/>
      <c r="K9" s="1"/>
      <c r="L9" s="1"/>
      <c r="M9" s="1"/>
      <c r="N9" s="14"/>
      <c r="O9" s="1"/>
      <c r="P9" s="1"/>
      <c r="Q9" s="1"/>
      <c r="R9" s="13"/>
      <c r="S9" s="91" t="s">
        <v>23</v>
      </c>
      <c r="U9" s="17"/>
      <c r="V9" s="17"/>
    </row>
    <row r="10" spans="1:22" ht="21.75" customHeight="1" x14ac:dyDescent="0.2">
      <c r="A10" s="1"/>
      <c r="C10" s="1"/>
      <c r="D10" s="13"/>
      <c r="E10" s="1"/>
      <c r="F10" s="1"/>
      <c r="G10" s="1"/>
      <c r="H10" s="1"/>
      <c r="I10" s="14"/>
      <c r="J10" s="1"/>
      <c r="K10" s="1"/>
      <c r="L10" s="1"/>
      <c r="M10" s="1"/>
      <c r="N10" s="14"/>
      <c r="O10" s="1"/>
      <c r="P10" s="1"/>
      <c r="Q10" s="1"/>
      <c r="R10" s="13"/>
      <c r="S10" s="91" t="s">
        <v>24</v>
      </c>
      <c r="U10" s="17"/>
      <c r="V10" s="17"/>
    </row>
    <row r="11" spans="1:22" ht="19.899999999999999" customHeight="1" x14ac:dyDescent="0.2">
      <c r="A11" s="1">
        <f>A10+1</f>
        <v>1</v>
      </c>
      <c r="B11" s="25">
        <f>IF('Deelnemers en Scores'!B9&gt;0,'Deelnemers en Scores'!B9,"")</f>
        <v>1</v>
      </c>
      <c r="C11" s="26" t="str">
        <f>IF('Deelnemers en Scores'!F9="","",'Deelnemers en Scores'!F9)</f>
        <v>rk-4121-4-R2</v>
      </c>
      <c r="D11" s="27" t="str">
        <f>'Deelnemers en Scores'!D9</f>
        <v>[4121] Club 4121</v>
      </c>
      <c r="E11" s="82">
        <f>IF('Deelnemers en Scores'!H10=0,"",'Deelnemers en Scores'!H10)</f>
        <v>263</v>
      </c>
      <c r="F11" s="82">
        <f>IF('Deelnemers en Scores'!H11=0,"",'Deelnemers en Scores'!H11)</f>
        <v>269</v>
      </c>
      <c r="G11" s="82">
        <f>IF('Deelnemers en Scores'!H12=0,"",'Deelnemers en Scores'!H12)</f>
        <v>258</v>
      </c>
      <c r="H11" s="82" t="str">
        <f>IF('Deelnemers en Scores'!H13=0,"",'Deelnemers en Scores'!H13)</f>
        <v/>
      </c>
      <c r="I11" s="28"/>
      <c r="J11" s="82">
        <f>IF('Deelnemers en Scores'!I10=0,"",'Deelnemers en Scores'!I10)</f>
        <v>271</v>
      </c>
      <c r="K11" s="82">
        <f>IF('Deelnemers en Scores'!I11=0,"",'Deelnemers en Scores'!I11)</f>
        <v>265</v>
      </c>
      <c r="L11" s="82">
        <f>IF('Deelnemers en Scores'!I12=0,"",'Deelnemers en Scores'!I12)</f>
        <v>258</v>
      </c>
      <c r="M11" s="82" t="str">
        <f>IF('Deelnemers en Scores'!I13=0,"",'Deelnemers en Scores'!I13)</f>
        <v/>
      </c>
      <c r="N11" s="28"/>
      <c r="O11" s="83">
        <f t="shared" ref="O11:O22" si="0">IF(ISNUMBER(J11),E11+J11,"")</f>
        <v>534</v>
      </c>
      <c r="P11" s="84">
        <f t="shared" ref="P11:P22" si="1">IF(ISNUMBER(K11),F11+K11,"")</f>
        <v>534</v>
      </c>
      <c r="Q11" s="84">
        <f t="shared" ref="Q11:Q22" si="2">IF(ISNUMBER(L11),G11+L11,"")</f>
        <v>516</v>
      </c>
      <c r="R11" s="85" t="str">
        <f t="shared" ref="R11:R22" si="3">IF(ISNUMBER(M11),H11+M11,"")</f>
        <v/>
      </c>
      <c r="S11" s="29">
        <f t="shared" ref="S11:S22" si="4">IF(COUNTA(O11:R11)&lt;3,0,IF(COUNTA(O11:R11)=3,SUM(O11:R11),SUM(O11:R11)-MINA(O11:R11)))</f>
        <v>1584</v>
      </c>
      <c r="T11" s="17"/>
      <c r="U11" s="112"/>
      <c r="V11" s="113">
        <f t="shared" ref="V11:V22" si="5">S11+U11</f>
        <v>1584</v>
      </c>
    </row>
    <row r="12" spans="1:22" ht="19.899999999999999" customHeight="1" x14ac:dyDescent="0.2">
      <c r="A12" s="1">
        <f t="shared" ref="A12:A22" si="6">A11+1</f>
        <v>2</v>
      </c>
      <c r="B12" s="25">
        <f>IF('Deelnemers en Scores'!B15&gt;0,'Deelnemers en Scores'!B15,"")</f>
        <v>2</v>
      </c>
      <c r="C12" s="26" t="str">
        <f>IF('Deelnemers en Scores'!F15="","",'Deelnemers en Scores'!F15)</f>
        <v>rk-4121-5-R2</v>
      </c>
      <c r="D12" s="27" t="str">
        <f>'Deelnemers en Scores'!D15</f>
        <v>[4121] Club 4121</v>
      </c>
      <c r="E12" s="82">
        <f>IF('Deelnemers en Scores'!H16=0,"",'Deelnemers en Scores'!H16)</f>
        <v>258</v>
      </c>
      <c r="F12" s="82">
        <f>IF('Deelnemers en Scores'!H17=0,"",'Deelnemers en Scores'!H17)</f>
        <v>247</v>
      </c>
      <c r="G12" s="82">
        <f>IF('Deelnemers en Scores'!H18=0,"",'Deelnemers en Scores'!H18)</f>
        <v>246</v>
      </c>
      <c r="H12" s="82" t="str">
        <f>IF('Deelnemers en Scores'!H19=0,"",'Deelnemers en Scores'!H19)</f>
        <v/>
      </c>
      <c r="I12" s="28"/>
      <c r="J12" s="82">
        <f>IF('Deelnemers en Scores'!I16=0,"",'Deelnemers en Scores'!I16)</f>
        <v>255</v>
      </c>
      <c r="K12" s="82">
        <f>IF('Deelnemers en Scores'!I17=0,"",'Deelnemers en Scores'!I17)</f>
        <v>249</v>
      </c>
      <c r="L12" s="82">
        <f>IF('Deelnemers en Scores'!I18=0,"",'Deelnemers en Scores'!I18)</f>
        <v>249</v>
      </c>
      <c r="M12" s="82" t="str">
        <f>IF('Deelnemers en Scores'!I19=0,"",'Deelnemers en Scores'!I19)</f>
        <v/>
      </c>
      <c r="N12" s="28"/>
      <c r="O12" s="83">
        <f t="shared" si="0"/>
        <v>513</v>
      </c>
      <c r="P12" s="84">
        <f t="shared" si="1"/>
        <v>496</v>
      </c>
      <c r="Q12" s="84">
        <f t="shared" si="2"/>
        <v>495</v>
      </c>
      <c r="R12" s="85" t="str">
        <f t="shared" si="3"/>
        <v/>
      </c>
      <c r="S12" s="29">
        <f t="shared" si="4"/>
        <v>1504</v>
      </c>
      <c r="T12" s="17"/>
      <c r="U12" s="112"/>
      <c r="V12" s="113">
        <f t="shared" si="5"/>
        <v>1504</v>
      </c>
    </row>
    <row r="13" spans="1:22" ht="19.899999999999999" customHeight="1" x14ac:dyDescent="0.2">
      <c r="A13" s="1">
        <f t="shared" si="6"/>
        <v>3</v>
      </c>
      <c r="B13" s="25">
        <f>IF('Deelnemers en Scores'!B21&gt;0,'Deelnemers en Scores'!B21,"")</f>
        <v>3</v>
      </c>
      <c r="C13" s="26" t="str">
        <f>IF('Deelnemers en Scores'!F21="","",'Deelnemers en Scores'!F21)</f>
        <v>rk-4121-6-R2</v>
      </c>
      <c r="D13" s="27" t="str">
        <f>'Deelnemers en Scores'!D21</f>
        <v>[4121] Club 4121</v>
      </c>
      <c r="E13" s="82">
        <f>IF('Deelnemers en Scores'!H22=0,"",'Deelnemers en Scores'!H22)</f>
        <v>255</v>
      </c>
      <c r="F13" s="82">
        <f>IF('Deelnemers en Scores'!H23=0,"",'Deelnemers en Scores'!H23)</f>
        <v>249</v>
      </c>
      <c r="G13" s="82">
        <f>IF('Deelnemers en Scores'!H24=0,"",'Deelnemers en Scores'!H24)</f>
        <v>236</v>
      </c>
      <c r="H13" s="82" t="str">
        <f>IF('Deelnemers en Scores'!H25=0,"",'Deelnemers en Scores'!H25)</f>
        <v/>
      </c>
      <c r="I13" s="28"/>
      <c r="J13" s="82">
        <f>IF('Deelnemers en Scores'!I22=0,"",'Deelnemers en Scores'!I22)</f>
        <v>240</v>
      </c>
      <c r="K13" s="82">
        <f>IF('Deelnemers en Scores'!I23=0,"",'Deelnemers en Scores'!I23)</f>
        <v>238</v>
      </c>
      <c r="L13" s="82">
        <f>IF('Deelnemers en Scores'!I24=0,"",'Deelnemers en Scores'!I24)</f>
        <v>242</v>
      </c>
      <c r="M13" s="82" t="str">
        <f>IF('Deelnemers en Scores'!I25=0,"",'Deelnemers en Scores'!I25)</f>
        <v/>
      </c>
      <c r="N13" s="28"/>
      <c r="O13" s="83">
        <f t="shared" si="0"/>
        <v>495</v>
      </c>
      <c r="P13" s="84">
        <f t="shared" si="1"/>
        <v>487</v>
      </c>
      <c r="Q13" s="84">
        <f t="shared" si="2"/>
        <v>478</v>
      </c>
      <c r="R13" s="85" t="str">
        <f t="shared" si="3"/>
        <v/>
      </c>
      <c r="S13" s="29">
        <f t="shared" si="4"/>
        <v>1460</v>
      </c>
      <c r="T13" s="17"/>
      <c r="U13" s="112"/>
      <c r="V13" s="113">
        <f t="shared" si="5"/>
        <v>1460</v>
      </c>
    </row>
    <row r="14" spans="1:22" ht="19.899999999999999" customHeight="1" x14ac:dyDescent="0.2">
      <c r="A14" s="1">
        <f t="shared" si="6"/>
        <v>4</v>
      </c>
      <c r="B14" s="25">
        <f>IF('Deelnemers en Scores'!B27&gt;0,'Deelnemers en Scores'!B27,"")</f>
        <v>4</v>
      </c>
      <c r="C14" s="26" t="str">
        <f>IF('Deelnemers en Scores'!F27="","",'Deelnemers en Scores'!F27)</f>
        <v>rk-4121-7-R2</v>
      </c>
      <c r="D14" s="27" t="str">
        <f>'Deelnemers en Scores'!D27</f>
        <v>[4121] Club 4121</v>
      </c>
      <c r="E14" s="82">
        <f>IF('Deelnemers en Scores'!H28=0,"",'Deelnemers en Scores'!H28)</f>
        <v>242</v>
      </c>
      <c r="F14" s="82">
        <f>IF('Deelnemers en Scores'!H29=0,"",'Deelnemers en Scores'!H29)</f>
        <v>250</v>
      </c>
      <c r="G14" s="82">
        <f>IF('Deelnemers en Scores'!H30=0,"",'Deelnemers en Scores'!H30)</f>
        <v>221</v>
      </c>
      <c r="H14" s="82" t="str">
        <f>IF('Deelnemers en Scores'!H31=0,"",'Deelnemers en Scores'!H31)</f>
        <v/>
      </c>
      <c r="I14" s="28"/>
      <c r="J14" s="82">
        <f>IF('Deelnemers en Scores'!I28=0,"",'Deelnemers en Scores'!I28)</f>
        <v>234</v>
      </c>
      <c r="K14" s="82">
        <f>IF('Deelnemers en Scores'!I29=0,"",'Deelnemers en Scores'!I29)</f>
        <v>225</v>
      </c>
      <c r="L14" s="82">
        <f>IF('Deelnemers en Scores'!I30=0,"",'Deelnemers en Scores'!I30)</f>
        <v>253</v>
      </c>
      <c r="M14" s="82" t="str">
        <f>IF('Deelnemers en Scores'!I31=0,"",'Deelnemers en Scores'!I31)</f>
        <v/>
      </c>
      <c r="N14" s="28"/>
      <c r="O14" s="83">
        <f t="shared" si="0"/>
        <v>476</v>
      </c>
      <c r="P14" s="84">
        <f t="shared" si="1"/>
        <v>475</v>
      </c>
      <c r="Q14" s="84">
        <f t="shared" si="2"/>
        <v>474</v>
      </c>
      <c r="R14" s="85" t="str">
        <f t="shared" si="3"/>
        <v/>
      </c>
      <c r="S14" s="29">
        <f t="shared" si="4"/>
        <v>1425</v>
      </c>
      <c r="T14" s="17"/>
      <c r="U14" s="112"/>
      <c r="V14" s="113">
        <f t="shared" si="5"/>
        <v>1425</v>
      </c>
    </row>
    <row r="15" spans="1:22" ht="19.899999999999999" customHeight="1" x14ac:dyDescent="0.2">
      <c r="A15" s="1">
        <f t="shared" si="6"/>
        <v>5</v>
      </c>
      <c r="B15" s="25">
        <f>IF('Deelnemers en Scores'!B33&gt;0,'Deelnemers en Scores'!B33,"")</f>
        <v>5</v>
      </c>
      <c r="C15" s="26" t="str">
        <f>IF('Deelnemers en Scores'!F33="","",'Deelnemers en Scores'!F33)</f>
        <v/>
      </c>
      <c r="D15" s="27">
        <f>'Deelnemers en Scores'!D33</f>
        <v>0</v>
      </c>
      <c r="E15" s="82" t="str">
        <f>IF('Deelnemers en Scores'!H34=0,"",'Deelnemers en Scores'!H34)</f>
        <v/>
      </c>
      <c r="F15" s="82" t="str">
        <f>IF('Deelnemers en Scores'!H35=0,"",'Deelnemers en Scores'!H35)</f>
        <v/>
      </c>
      <c r="G15" s="82" t="str">
        <f>IF('Deelnemers en Scores'!H36=0,"",'Deelnemers en Scores'!H36)</f>
        <v/>
      </c>
      <c r="H15" s="82" t="str">
        <f>IF('Deelnemers en Scores'!H37=0,"",'Deelnemers en Scores'!H37)</f>
        <v/>
      </c>
      <c r="I15" s="28"/>
      <c r="J15" s="82" t="str">
        <f>IF('Deelnemers en Scores'!I34=0,"",'Deelnemers en Scores'!I34)</f>
        <v/>
      </c>
      <c r="K15" s="82" t="str">
        <f>IF('Deelnemers en Scores'!I35=0,"",'Deelnemers en Scores'!I35)</f>
        <v/>
      </c>
      <c r="L15" s="82" t="str">
        <f>IF('Deelnemers en Scores'!I36=0,"",'Deelnemers en Scores'!I36)</f>
        <v/>
      </c>
      <c r="M15" s="82" t="str">
        <f>IF('Deelnemers en Scores'!I37=0,"",'Deelnemers en Scores'!I37)</f>
        <v/>
      </c>
      <c r="N15" s="28"/>
      <c r="O15" s="83" t="str">
        <f t="shared" si="0"/>
        <v/>
      </c>
      <c r="P15" s="84" t="str">
        <f t="shared" si="1"/>
        <v/>
      </c>
      <c r="Q15" s="84" t="str">
        <f t="shared" si="2"/>
        <v/>
      </c>
      <c r="R15" s="85" t="str">
        <f t="shared" si="3"/>
        <v/>
      </c>
      <c r="S15" s="29">
        <f t="shared" si="4"/>
        <v>0</v>
      </c>
      <c r="T15" s="17"/>
      <c r="U15" s="112"/>
      <c r="V15" s="113">
        <f t="shared" si="5"/>
        <v>0</v>
      </c>
    </row>
    <row r="16" spans="1:22" ht="19.899999999999999" customHeight="1" x14ac:dyDescent="0.2">
      <c r="A16" s="1">
        <f t="shared" si="6"/>
        <v>6</v>
      </c>
      <c r="B16" s="25">
        <f>IF('Deelnemers en Scores'!B39&gt;0,'Deelnemers en Scores'!B39,"")</f>
        <v>6</v>
      </c>
      <c r="C16" s="26" t="str">
        <f>IF('Deelnemers en Scores'!F39="","",'Deelnemers en Scores'!F39)</f>
        <v/>
      </c>
      <c r="D16" s="27">
        <f>'Deelnemers en Scores'!D39</f>
        <v>0</v>
      </c>
      <c r="E16" s="82" t="str">
        <f>IF('Deelnemers en Scores'!H40=0,"",'Deelnemers en Scores'!H40)</f>
        <v/>
      </c>
      <c r="F16" s="82" t="str">
        <f>IF('Deelnemers en Scores'!H41=0,"",'Deelnemers en Scores'!H41)</f>
        <v/>
      </c>
      <c r="G16" s="82" t="str">
        <f>IF('Deelnemers en Scores'!H42=0,"",'Deelnemers en Scores'!H42)</f>
        <v/>
      </c>
      <c r="H16" s="82" t="str">
        <f>IF('Deelnemers en Scores'!H43=0,"",'Deelnemers en Scores'!H43)</f>
        <v/>
      </c>
      <c r="I16" s="28"/>
      <c r="J16" s="82" t="str">
        <f>IF('Deelnemers en Scores'!I40=0,"",'Deelnemers en Scores'!I40)</f>
        <v/>
      </c>
      <c r="K16" s="82" t="str">
        <f>IF('Deelnemers en Scores'!I41=0,"",'Deelnemers en Scores'!I41)</f>
        <v/>
      </c>
      <c r="L16" s="82" t="str">
        <f>IF('Deelnemers en Scores'!I42=0,"",'Deelnemers en Scores'!I42)</f>
        <v/>
      </c>
      <c r="M16" s="82" t="str">
        <f>IF('Deelnemers en Scores'!I43=0,"",'Deelnemers en Scores'!I43)</f>
        <v/>
      </c>
      <c r="N16" s="28"/>
      <c r="O16" s="83" t="str">
        <f t="shared" si="0"/>
        <v/>
      </c>
      <c r="P16" s="84" t="str">
        <f t="shared" si="1"/>
        <v/>
      </c>
      <c r="Q16" s="84" t="str">
        <f t="shared" si="2"/>
        <v/>
      </c>
      <c r="R16" s="85" t="str">
        <f t="shared" si="3"/>
        <v/>
      </c>
      <c r="S16" s="29">
        <f t="shared" si="4"/>
        <v>0</v>
      </c>
      <c r="T16" s="17"/>
      <c r="U16" s="112"/>
      <c r="V16" s="113">
        <f t="shared" si="5"/>
        <v>0</v>
      </c>
    </row>
    <row r="17" spans="1:22" ht="19.899999999999999" customHeight="1" x14ac:dyDescent="0.2">
      <c r="A17" s="1">
        <f t="shared" si="6"/>
        <v>7</v>
      </c>
      <c r="B17" s="25">
        <f>IF('Deelnemers en Scores'!B45&gt;0,'Deelnemers en Scores'!B45,"")</f>
        <v>7</v>
      </c>
      <c r="C17" s="26" t="str">
        <f>IF('Deelnemers en Scores'!F45="","",'Deelnemers en Scores'!F45)</f>
        <v/>
      </c>
      <c r="D17" s="27">
        <f>'Deelnemers en Scores'!D45</f>
        <v>0</v>
      </c>
      <c r="E17" s="82" t="str">
        <f>IF('Deelnemers en Scores'!H46=0,"",'Deelnemers en Scores'!H46)</f>
        <v/>
      </c>
      <c r="F17" s="82" t="str">
        <f>IF('Deelnemers en Scores'!H47=0,"",'Deelnemers en Scores'!H47)</f>
        <v/>
      </c>
      <c r="G17" s="82" t="str">
        <f>IF('Deelnemers en Scores'!H48=0,"",'Deelnemers en Scores'!H48)</f>
        <v/>
      </c>
      <c r="H17" s="82" t="str">
        <f>IF('Deelnemers en Scores'!H49=0,"",'Deelnemers en Scores'!H49)</f>
        <v/>
      </c>
      <c r="I17" s="28"/>
      <c r="J17" s="82" t="str">
        <f>IF('Deelnemers en Scores'!I46=0,"",'Deelnemers en Scores'!I46)</f>
        <v/>
      </c>
      <c r="K17" s="82" t="str">
        <f>IF('Deelnemers en Scores'!I47=0,"",'Deelnemers en Scores'!I47)</f>
        <v/>
      </c>
      <c r="L17" s="82" t="str">
        <f>IF('Deelnemers en Scores'!I48=0,"",'Deelnemers en Scores'!I48)</f>
        <v/>
      </c>
      <c r="M17" s="82" t="str">
        <f>IF('Deelnemers en Scores'!I49=0,"",'Deelnemers en Scores'!I49)</f>
        <v/>
      </c>
      <c r="N17" s="28"/>
      <c r="O17" s="83" t="str">
        <f t="shared" si="0"/>
        <v/>
      </c>
      <c r="P17" s="84" t="str">
        <f t="shared" si="1"/>
        <v/>
      </c>
      <c r="Q17" s="84" t="str">
        <f t="shared" si="2"/>
        <v/>
      </c>
      <c r="R17" s="85" t="str">
        <f t="shared" si="3"/>
        <v/>
      </c>
      <c r="S17" s="29">
        <f t="shared" si="4"/>
        <v>0</v>
      </c>
      <c r="T17" s="17"/>
      <c r="U17" s="112"/>
      <c r="V17" s="113">
        <f t="shared" si="5"/>
        <v>0</v>
      </c>
    </row>
    <row r="18" spans="1:22" ht="19.899999999999999" customHeight="1" x14ac:dyDescent="0.2">
      <c r="A18" s="1">
        <f t="shared" si="6"/>
        <v>8</v>
      </c>
      <c r="B18" s="25">
        <f>IF('Deelnemers en Scores'!B51&gt;0,'Deelnemers en Scores'!B51,"")</f>
        <v>8</v>
      </c>
      <c r="C18" s="26" t="str">
        <f>IF('Deelnemers en Scores'!F51="","",'Deelnemers en Scores'!F51)</f>
        <v/>
      </c>
      <c r="D18" s="27">
        <f>'Deelnemers en Scores'!D51</f>
        <v>0</v>
      </c>
      <c r="E18" s="82" t="str">
        <f>IF('Deelnemers en Scores'!H52=0,"",'Deelnemers en Scores'!H52)</f>
        <v/>
      </c>
      <c r="F18" s="82" t="str">
        <f>IF('Deelnemers en Scores'!H53=0,"",'Deelnemers en Scores'!H53)</f>
        <v/>
      </c>
      <c r="G18" s="82" t="str">
        <f>IF('Deelnemers en Scores'!H54=0,"",'Deelnemers en Scores'!H54)</f>
        <v/>
      </c>
      <c r="H18" s="82" t="str">
        <f>IF('Deelnemers en Scores'!H55=0,"",'Deelnemers en Scores'!H55)</f>
        <v/>
      </c>
      <c r="I18" s="28"/>
      <c r="J18" s="82" t="str">
        <f>IF('Deelnemers en Scores'!I52=0,"",'Deelnemers en Scores'!I52)</f>
        <v/>
      </c>
      <c r="K18" s="82" t="str">
        <f>IF('Deelnemers en Scores'!I53=0,"",'Deelnemers en Scores'!I53)</f>
        <v/>
      </c>
      <c r="L18" s="82" t="str">
        <f>IF('Deelnemers en Scores'!I54=0,"",'Deelnemers en Scores'!I54)</f>
        <v/>
      </c>
      <c r="M18" s="82" t="str">
        <f>IF('Deelnemers en Scores'!I55=0,"",'Deelnemers en Scores'!I55)</f>
        <v/>
      </c>
      <c r="N18" s="28"/>
      <c r="O18" s="83" t="str">
        <f t="shared" si="0"/>
        <v/>
      </c>
      <c r="P18" s="84" t="str">
        <f t="shared" si="1"/>
        <v/>
      </c>
      <c r="Q18" s="84" t="str">
        <f t="shared" si="2"/>
        <v/>
      </c>
      <c r="R18" s="85" t="str">
        <f t="shared" si="3"/>
        <v/>
      </c>
      <c r="S18" s="29">
        <f t="shared" si="4"/>
        <v>0</v>
      </c>
      <c r="T18" s="17"/>
      <c r="U18" s="112"/>
      <c r="V18" s="113">
        <f t="shared" si="5"/>
        <v>0</v>
      </c>
    </row>
    <row r="19" spans="1:22" ht="20.25" customHeight="1" x14ac:dyDescent="0.2">
      <c r="A19" s="1">
        <f t="shared" si="6"/>
        <v>9</v>
      </c>
      <c r="B19" s="25">
        <f>IF('Deelnemers en Scores'!B57&gt;0,'Deelnemers en Scores'!B57,"")</f>
        <v>9</v>
      </c>
      <c r="C19" s="26" t="str">
        <f>IF('Deelnemers en Scores'!F57="","",'Deelnemers en Scores'!F57)</f>
        <v/>
      </c>
      <c r="D19" s="27">
        <f>'Deelnemers en Scores'!D57</f>
        <v>0</v>
      </c>
      <c r="E19" s="82" t="str">
        <f>IF('Deelnemers en Scores'!H58=0,"",'Deelnemers en Scores'!H58)</f>
        <v/>
      </c>
      <c r="F19" s="82" t="str">
        <f>IF('Deelnemers en Scores'!H59=0,"",'Deelnemers en Scores'!H59)</f>
        <v/>
      </c>
      <c r="G19" s="82" t="str">
        <f>IF('Deelnemers en Scores'!H60=0,"",'Deelnemers en Scores'!H60)</f>
        <v/>
      </c>
      <c r="H19" s="82" t="str">
        <f>IF('Deelnemers en Scores'!H61=0,"",'Deelnemers en Scores'!H61)</f>
        <v/>
      </c>
      <c r="I19" s="28"/>
      <c r="J19" s="82" t="str">
        <f>IF('Deelnemers en Scores'!I58=0,"",'Deelnemers en Scores'!I58)</f>
        <v/>
      </c>
      <c r="K19" s="82" t="str">
        <f>IF('Deelnemers en Scores'!I59=0,"",'Deelnemers en Scores'!I59)</f>
        <v/>
      </c>
      <c r="L19" s="82" t="str">
        <f>IF('Deelnemers en Scores'!I60=0,"",'Deelnemers en Scores'!I60)</f>
        <v/>
      </c>
      <c r="M19" s="82" t="str">
        <f>IF('Deelnemers en Scores'!I61=0,"",'Deelnemers en Scores'!I61)</f>
        <v/>
      </c>
      <c r="N19" s="28"/>
      <c r="O19" s="83" t="str">
        <f t="shared" si="0"/>
        <v/>
      </c>
      <c r="P19" s="84" t="str">
        <f t="shared" si="1"/>
        <v/>
      </c>
      <c r="Q19" s="84" t="str">
        <f t="shared" si="2"/>
        <v/>
      </c>
      <c r="R19" s="85" t="str">
        <f t="shared" si="3"/>
        <v/>
      </c>
      <c r="S19" s="29">
        <f t="shared" si="4"/>
        <v>0</v>
      </c>
      <c r="T19" s="17"/>
      <c r="U19" s="112"/>
      <c r="V19" s="113">
        <f t="shared" si="5"/>
        <v>0</v>
      </c>
    </row>
    <row r="20" spans="1:22" ht="20.25" customHeight="1" x14ac:dyDescent="0.2">
      <c r="A20" s="1">
        <f t="shared" si="6"/>
        <v>10</v>
      </c>
      <c r="B20" s="25">
        <f>IF('Deelnemers en Scores'!B63&gt;0,'Deelnemers en Scores'!B63,"")</f>
        <v>10</v>
      </c>
      <c r="C20" s="26" t="str">
        <f>IF('Deelnemers en Scores'!F63="","",'Deelnemers en Scores'!F63)</f>
        <v/>
      </c>
      <c r="D20" s="27">
        <f>'Deelnemers en Scores'!D63</f>
        <v>0</v>
      </c>
      <c r="E20" s="82" t="str">
        <f>IF('Deelnemers en Scores'!H64=0,"",'Deelnemers en Scores'!H64)</f>
        <v/>
      </c>
      <c r="F20" s="82" t="str">
        <f>IF('Deelnemers en Scores'!H65=0,"",'Deelnemers en Scores'!H65)</f>
        <v/>
      </c>
      <c r="G20" s="82" t="str">
        <f>IF('Deelnemers en Scores'!H66=0,"",'Deelnemers en Scores'!H66)</f>
        <v/>
      </c>
      <c r="H20" s="82" t="str">
        <f>IF('Deelnemers en Scores'!H67=0,"",'Deelnemers en Scores'!H67)</f>
        <v/>
      </c>
      <c r="I20" s="28"/>
      <c r="J20" s="82" t="str">
        <f>IF('Deelnemers en Scores'!I64=0,"",'Deelnemers en Scores'!I64)</f>
        <v/>
      </c>
      <c r="K20" s="82" t="str">
        <f>IF('Deelnemers en Scores'!I65=0,"",'Deelnemers en Scores'!I65)</f>
        <v/>
      </c>
      <c r="L20" s="82" t="str">
        <f>IF('Deelnemers en Scores'!I66=0,"",'Deelnemers en Scores'!I66)</f>
        <v/>
      </c>
      <c r="M20" s="82" t="str">
        <f>IF('Deelnemers en Scores'!I67=0,"",'Deelnemers en Scores'!I67)</f>
        <v/>
      </c>
      <c r="N20" s="28"/>
      <c r="O20" s="83" t="str">
        <f t="shared" si="0"/>
        <v/>
      </c>
      <c r="P20" s="84" t="str">
        <f t="shared" si="1"/>
        <v/>
      </c>
      <c r="Q20" s="84" t="str">
        <f t="shared" si="2"/>
        <v/>
      </c>
      <c r="R20" s="85" t="str">
        <f t="shared" si="3"/>
        <v/>
      </c>
      <c r="S20" s="29">
        <f t="shared" si="4"/>
        <v>0</v>
      </c>
      <c r="T20" s="17"/>
      <c r="U20" s="112"/>
      <c r="V20" s="113">
        <f t="shared" si="5"/>
        <v>0</v>
      </c>
    </row>
    <row r="21" spans="1:22" ht="20.25" customHeight="1" x14ac:dyDescent="0.2">
      <c r="A21" s="1">
        <f t="shared" si="6"/>
        <v>11</v>
      </c>
      <c r="B21" s="25">
        <f>IF('Deelnemers en Scores'!B69&gt;0,'Deelnemers en Scores'!B69,"")</f>
        <v>11</v>
      </c>
      <c r="C21" s="26" t="str">
        <f>IF('Deelnemers en Scores'!F69="","",'Deelnemers en Scores'!F69)</f>
        <v/>
      </c>
      <c r="D21" s="27">
        <f>'Deelnemers en Scores'!D69</f>
        <v>0</v>
      </c>
      <c r="E21" s="82" t="str">
        <f>IF('Deelnemers en Scores'!H70=0,"",'Deelnemers en Scores'!H70)</f>
        <v/>
      </c>
      <c r="F21" s="82" t="str">
        <f>IF('Deelnemers en Scores'!H71=0,"",'Deelnemers en Scores'!H71)</f>
        <v/>
      </c>
      <c r="G21" s="82" t="str">
        <f>IF('Deelnemers en Scores'!H72=0,"",'Deelnemers en Scores'!H72)</f>
        <v/>
      </c>
      <c r="H21" s="82" t="str">
        <f>IF('Deelnemers en Scores'!H73=0,"",'Deelnemers en Scores'!H73)</f>
        <v/>
      </c>
      <c r="I21" s="28"/>
      <c r="J21" s="82" t="str">
        <f>IF('Deelnemers en Scores'!I70=0,"",'Deelnemers en Scores'!I70)</f>
        <v/>
      </c>
      <c r="K21" s="82" t="str">
        <f>IF('Deelnemers en Scores'!I71=0,"",'Deelnemers en Scores'!I71)</f>
        <v/>
      </c>
      <c r="L21" s="82" t="str">
        <f>IF('Deelnemers en Scores'!I72=0,"",'Deelnemers en Scores'!I72)</f>
        <v/>
      </c>
      <c r="M21" s="82" t="str">
        <f>IF('Deelnemers en Scores'!I73=0,"",'Deelnemers en Scores'!I73)</f>
        <v/>
      </c>
      <c r="N21" s="28"/>
      <c r="O21" s="83" t="str">
        <f t="shared" si="0"/>
        <v/>
      </c>
      <c r="P21" s="84" t="str">
        <f t="shared" si="1"/>
        <v/>
      </c>
      <c r="Q21" s="84" t="str">
        <f t="shared" si="2"/>
        <v/>
      </c>
      <c r="R21" s="85" t="str">
        <f t="shared" si="3"/>
        <v/>
      </c>
      <c r="S21" s="29">
        <f t="shared" si="4"/>
        <v>0</v>
      </c>
      <c r="T21" s="17"/>
      <c r="U21" s="112"/>
      <c r="V21" s="113">
        <f t="shared" si="5"/>
        <v>0</v>
      </c>
    </row>
    <row r="22" spans="1:22" ht="20.25" customHeight="1" x14ac:dyDescent="0.2">
      <c r="A22" s="1">
        <f t="shared" si="6"/>
        <v>12</v>
      </c>
      <c r="B22" s="25">
        <f>IF('Deelnemers en Scores'!B75&gt;0,'Deelnemers en Scores'!B75,"")</f>
        <v>12</v>
      </c>
      <c r="C22" s="26" t="str">
        <f>IF('Deelnemers en Scores'!F75="","",'Deelnemers en Scores'!F75)</f>
        <v/>
      </c>
      <c r="D22" s="27">
        <f>'Deelnemers en Scores'!D75</f>
        <v>0</v>
      </c>
      <c r="E22" s="82" t="str">
        <f>IF('Deelnemers en Scores'!H76=0,"",'Deelnemers en Scores'!H76)</f>
        <v/>
      </c>
      <c r="F22" s="82" t="str">
        <f>IF('Deelnemers en Scores'!H77=0,"",'Deelnemers en Scores'!H77)</f>
        <v/>
      </c>
      <c r="G22" s="82" t="str">
        <f>IF('Deelnemers en Scores'!H78=0,"",'Deelnemers en Scores'!H78)</f>
        <v/>
      </c>
      <c r="H22" s="82" t="str">
        <f>IF('Deelnemers en Scores'!H79=0,"",'Deelnemers en Scores'!H79)</f>
        <v/>
      </c>
      <c r="I22" s="28"/>
      <c r="J22" s="82" t="str">
        <f>IF('Deelnemers en Scores'!I76=0,"",'Deelnemers en Scores'!I76)</f>
        <v/>
      </c>
      <c r="K22" s="82" t="str">
        <f>IF('Deelnemers en Scores'!I77=0,"",'Deelnemers en Scores'!I77)</f>
        <v/>
      </c>
      <c r="L22" s="82" t="str">
        <f>IF('Deelnemers en Scores'!I78=0,"",'Deelnemers en Scores'!I78)</f>
        <v/>
      </c>
      <c r="M22" s="82" t="str">
        <f>IF('Deelnemers en Scores'!I79=0,"",'Deelnemers en Scores'!I79)</f>
        <v/>
      </c>
      <c r="N22" s="28"/>
      <c r="O22" s="83" t="str">
        <f t="shared" si="0"/>
        <v/>
      </c>
      <c r="P22" s="84" t="str">
        <f t="shared" si="1"/>
        <v/>
      </c>
      <c r="Q22" s="84" t="str">
        <f t="shared" si="2"/>
        <v/>
      </c>
      <c r="R22" s="85" t="str">
        <f t="shared" si="3"/>
        <v/>
      </c>
      <c r="S22" s="29">
        <f t="shared" si="4"/>
        <v>0</v>
      </c>
      <c r="T22" s="17"/>
      <c r="U22" s="112"/>
      <c r="V22" s="113">
        <f t="shared" si="5"/>
        <v>0</v>
      </c>
    </row>
  </sheetData>
  <sheetProtection selectLockedCells="1" selectUnlockedCells="1"/>
  <sortState xmlns:xlrd2="http://schemas.microsoft.com/office/spreadsheetml/2017/richdata2" ref="B11:V22">
    <sortCondition ref="B11"/>
  </sortState>
  <mergeCells count="3">
    <mergeCell ref="E7:H7"/>
    <mergeCell ref="J7:M7"/>
    <mergeCell ref="O7:R7"/>
  </mergeCells>
  <phoneticPr fontId="0" type="noConversion"/>
  <pageMargins left="0.19685039370078741" right="0.39370078740157483" top="0.78740157480314965" bottom="0.39370078740157483" header="0.51181102362204722" footer="0.51181102362204722"/>
  <pageSetup paperSize="9" scale="66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Button 8">
              <controlPr locked="0" defaultSize="0" print="0" autoFill="0" autoLine="0" autoPict="0" macro="[0]!SorteerOpResultaat">
                <anchor moveWithCells="1" sizeWithCells="1">
                  <from>
                    <xdr:col>17</xdr:col>
                    <xdr:colOff>152400</xdr:colOff>
                    <xdr:row>0</xdr:row>
                    <xdr:rowOff>400050</xdr:rowOff>
                  </from>
                  <to>
                    <xdr:col>19</xdr:col>
                    <xdr:colOff>133350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locked="0" defaultSize="0" print="0" autoFill="0" autoLine="0" autoPict="0" macro="[0]!SorteerOpBaan">
                <anchor moveWithCells="1" sizeWithCells="1">
                  <from>
                    <xdr:col>2</xdr:col>
                    <xdr:colOff>28575</xdr:colOff>
                    <xdr:row>0</xdr:row>
                    <xdr:rowOff>390525</xdr:rowOff>
                  </from>
                  <to>
                    <xdr:col>2</xdr:col>
                    <xdr:colOff>1390650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A5BE2-A3B7-4D4E-AAA1-4E21D513A6F4}">
  <sheetPr codeName="Blad6">
    <pageSetUpPr fitToPage="1"/>
  </sheetPr>
  <dimension ref="A1:AN36"/>
  <sheetViews>
    <sheetView showGridLines="0" tabSelected="1" topLeftCell="D10" zoomScale="55" zoomScaleNormal="55" zoomScaleSheetLayoutView="40" workbookViewId="0">
      <selection activeCell="S33" sqref="S33"/>
    </sheetView>
  </sheetViews>
  <sheetFormatPr defaultColWidth="9.5546875" defaultRowHeight="15" x14ac:dyDescent="0.2"/>
  <cols>
    <col min="1" max="1" width="4.21875" style="38" customWidth="1"/>
    <col min="2" max="2" width="41.44140625" style="38" customWidth="1"/>
    <col min="3" max="3" width="2" style="38" customWidth="1"/>
    <col min="4" max="4" width="44.109375" style="38" customWidth="1"/>
    <col min="5" max="5" width="1.77734375" style="38" customWidth="1"/>
    <col min="6" max="6" width="9.5546875" style="38" customWidth="1"/>
    <col min="7" max="7" width="2.109375" style="38" customWidth="1"/>
    <col min="8" max="8" width="11.5546875" style="38" bestFit="1" customWidth="1"/>
    <col min="9" max="9" width="11.44140625" style="38" customWidth="1"/>
    <col min="10" max="10" width="44.6640625" style="38" customWidth="1"/>
    <col min="11" max="11" width="1.77734375" style="38" customWidth="1"/>
    <col min="12" max="12" width="9.77734375" style="38" customWidth="1"/>
    <col min="13" max="13" width="1.21875" style="38" customWidth="1"/>
    <col min="14" max="14" width="12.109375" style="38" customWidth="1"/>
    <col min="15" max="15" width="6.88671875" style="38" customWidth="1"/>
    <col min="16" max="16" width="2.88671875" style="38" customWidth="1"/>
    <col min="17" max="17" width="47.77734375" style="38" customWidth="1"/>
    <col min="18" max="18" width="1.77734375" style="38" customWidth="1"/>
    <col min="19" max="19" width="9.77734375" style="38" customWidth="1"/>
    <col min="20" max="20" width="2" style="38" customWidth="1"/>
    <col min="21" max="21" width="11.6640625" style="38" customWidth="1"/>
    <col min="22" max="22" width="21.6640625" style="38" customWidth="1"/>
    <col min="23" max="25" width="11.21875" style="38" hidden="1" customWidth="1"/>
    <col min="26" max="26" width="9.21875" style="38" hidden="1" customWidth="1"/>
    <col min="27" max="27" width="14.109375" style="38" hidden="1" customWidth="1"/>
    <col min="28" max="28" width="8.6640625" style="38" hidden="1" customWidth="1"/>
    <col min="29" max="31" width="11.21875" style="38" hidden="1" customWidth="1"/>
    <col min="32" max="32" width="9.21875" style="38" hidden="1" customWidth="1"/>
    <col min="33" max="33" width="11.21875" style="38" hidden="1" customWidth="1"/>
    <col min="34" max="34" width="9.5546875" style="38" hidden="1" customWidth="1"/>
    <col min="35" max="36" width="11.21875" style="38" hidden="1" customWidth="1"/>
    <col min="37" max="38" width="9.5546875" style="38" hidden="1" customWidth="1"/>
    <col min="39" max="39" width="11.21875" style="38" hidden="1" customWidth="1"/>
    <col min="40" max="40" width="2" style="38" hidden="1" customWidth="1"/>
  </cols>
  <sheetData>
    <row r="1" spans="1:40" ht="16.5" customHeight="1" x14ac:dyDescent="0.2"/>
    <row r="2" spans="1:40" ht="19.5" customHeight="1" x14ac:dyDescent="0.2"/>
    <row r="3" spans="1:40" ht="19.5" customHeight="1" x14ac:dyDescent="0.2"/>
    <row r="4" spans="1:4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5"/>
      <c r="O4" s="134"/>
      <c r="P4" s="134"/>
      <c r="Q4" s="137"/>
      <c r="R4" s="134"/>
      <c r="S4" s="138"/>
      <c r="T4" s="138"/>
      <c r="U4" s="139"/>
      <c r="V4"/>
      <c r="W4"/>
      <c r="X4"/>
      <c r="Y4"/>
      <c r="Z4"/>
      <c r="AA4"/>
      <c r="AB4"/>
      <c r="AF4"/>
      <c r="AG4"/>
      <c r="AH4"/>
      <c r="AI4"/>
      <c r="AJ4"/>
      <c r="AK4"/>
      <c r="AL4"/>
      <c r="AM4"/>
      <c r="AN4"/>
    </row>
    <row r="5" spans="1:40" ht="21" customHeight="1" x14ac:dyDescent="0.2">
      <c r="AF5"/>
      <c r="AG5"/>
      <c r="AH5"/>
      <c r="AI5"/>
      <c r="AJ5"/>
      <c r="AK5"/>
      <c r="AL5"/>
      <c r="AM5"/>
      <c r="AN5"/>
    </row>
    <row r="6" spans="1:40" ht="42" customHeight="1" x14ac:dyDescent="0.5">
      <c r="B6" s="40" t="str">
        <f>'Deelnemers en Scores'!B4</f>
        <v>Klasse: Recurve klasse ERE</v>
      </c>
      <c r="K6" s="131" t="str">
        <f>'Deelnemers en Scores'!D3</f>
        <v>yyyy-mm-dd</v>
      </c>
    </row>
    <row r="7" spans="1:40" ht="19.5" customHeight="1" x14ac:dyDescent="0.2"/>
    <row r="8" spans="1:40" ht="34.5" customHeight="1" x14ac:dyDescent="0.4">
      <c r="B8" s="140" t="s">
        <v>79</v>
      </c>
      <c r="C8" s="141"/>
      <c r="D8" s="141"/>
      <c r="E8" s="141"/>
      <c r="F8" s="141"/>
      <c r="G8" s="141"/>
      <c r="H8" s="142"/>
      <c r="V8" s="41"/>
      <c r="W8" s="92" t="s">
        <v>82</v>
      </c>
      <c r="X8" s="41"/>
      <c r="Y8" s="41"/>
      <c r="Z8" s="41"/>
      <c r="AA8" s="41"/>
      <c r="AB8" s="41"/>
      <c r="AC8" s="92" t="s">
        <v>80</v>
      </c>
      <c r="AD8" s="41"/>
      <c r="AE8" s="41"/>
      <c r="AF8" s="41"/>
      <c r="AG8" s="41"/>
      <c r="AH8" s="41"/>
      <c r="AI8" s="92" t="s">
        <v>81</v>
      </c>
    </row>
    <row r="10" spans="1:40" ht="30" customHeight="1" x14ac:dyDescent="0.4">
      <c r="J10" s="140" t="s">
        <v>2</v>
      </c>
      <c r="K10" s="141"/>
      <c r="L10" s="141"/>
      <c r="M10" s="141"/>
      <c r="N10" s="142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</row>
    <row r="11" spans="1:40" ht="32.25" customHeight="1" x14ac:dyDescent="0.2">
      <c r="F11" s="99" t="s">
        <v>54</v>
      </c>
      <c r="H11" s="99" t="s">
        <v>55</v>
      </c>
      <c r="P11" s="41"/>
      <c r="Q11" s="41"/>
      <c r="R11" s="41"/>
      <c r="S11" s="41"/>
      <c r="T11" s="41"/>
      <c r="U11" s="41"/>
      <c r="V11" s="41"/>
      <c r="W11" s="101" t="s">
        <v>84</v>
      </c>
      <c r="X11" s="101" t="s">
        <v>83</v>
      </c>
      <c r="Y11" s="114" t="s">
        <v>85</v>
      </c>
      <c r="Z11" s="101" t="s">
        <v>86</v>
      </c>
      <c r="AA11" s="101" t="s">
        <v>87</v>
      </c>
      <c r="AB11" s="41"/>
      <c r="AH11" s="41"/>
      <c r="AI11" s="41"/>
      <c r="AJ11" s="41"/>
    </row>
    <row r="12" spans="1:40" ht="30" customHeight="1" x14ac:dyDescent="0.2">
      <c r="A12" s="1">
        <v>1</v>
      </c>
      <c r="B12" s="18" t="str">
        <f>Uitslag!$C$11</f>
        <v>rk-4121-4-R2</v>
      </c>
      <c r="C12" s="19"/>
      <c r="D12" s="18" t="str">
        <f>Uitslag!$D$11</f>
        <v>[4121] Club 4121</v>
      </c>
      <c r="E12" s="154"/>
      <c r="F12" s="159">
        <v>6</v>
      </c>
      <c r="G12" s="155"/>
      <c r="H12" s="158"/>
      <c r="I12" s="39"/>
      <c r="P12" s="47"/>
      <c r="W12" s="32"/>
      <c r="X12" s="93"/>
      <c r="Y12" s="93"/>
      <c r="Z12" s="93">
        <f>F12+H12</f>
        <v>6</v>
      </c>
      <c r="AA12" s="93" t="b">
        <f>AND(Y13=TRUE,Z12&gt;Z14)</f>
        <v>1</v>
      </c>
    </row>
    <row r="13" spans="1:40" ht="30" customHeight="1" x14ac:dyDescent="0.4">
      <c r="A13" s="1"/>
      <c r="B13" s="16"/>
      <c r="C13" s="16"/>
      <c r="D13" s="16"/>
      <c r="E13"/>
      <c r="F13" s="31"/>
      <c r="G13" s="32"/>
      <c r="H13" s="156" t="str">
        <f>IF(X13=TRUE,"SO","")</f>
        <v/>
      </c>
      <c r="I13" s="39"/>
      <c r="J13" s="41"/>
      <c r="L13" s="99" t="s">
        <v>54</v>
      </c>
      <c r="M13" s="100"/>
      <c r="N13" s="99" t="s">
        <v>55</v>
      </c>
      <c r="P13" s="45"/>
      <c r="W13" s="93" t="b">
        <f>AND(F12&lt;&gt;"",F14&lt;&gt;"")</f>
        <v>1</v>
      </c>
      <c r="X13" s="93" t="b">
        <f>AND(W13=TRUE,F12=F14)</f>
        <v>0</v>
      </c>
      <c r="Y13" s="93" t="b">
        <f>IF(W13=FALSE,FALSE,OR(X13=FALSE,AND(H12&lt;&gt;"",H14&lt;&gt;"")))</f>
        <v>1</v>
      </c>
      <c r="Z13" s="44"/>
      <c r="AA13" s="44"/>
      <c r="AC13" s="101" t="s">
        <v>84</v>
      </c>
      <c r="AD13" s="101" t="s">
        <v>83</v>
      </c>
      <c r="AE13" s="114" t="s">
        <v>85</v>
      </c>
      <c r="AF13" s="101" t="s">
        <v>86</v>
      </c>
      <c r="AG13" s="101" t="s">
        <v>57</v>
      </c>
    </row>
    <row r="14" spans="1:40" ht="30" customHeight="1" x14ac:dyDescent="0.2">
      <c r="A14" s="1">
        <v>8</v>
      </c>
      <c r="B14" s="18" t="str">
        <f>Uitslag!$C$18</f>
        <v/>
      </c>
      <c r="C14" s="19"/>
      <c r="D14" s="18">
        <f>Uitslag!$D$18</f>
        <v>0</v>
      </c>
      <c r="E14" s="154"/>
      <c r="F14" s="159">
        <v>0</v>
      </c>
      <c r="G14" s="155"/>
      <c r="H14" s="158"/>
      <c r="I14" s="39"/>
      <c r="J14" s="18" t="str">
        <f>IF(AA12=TRUE,B12,IF(AA14=TRUE,B14,""))</f>
        <v>rk-4121-4-R2</v>
      </c>
      <c r="K14" s="102"/>
      <c r="L14" s="159">
        <v>6</v>
      </c>
      <c r="M14" s="32"/>
      <c r="N14" s="158"/>
      <c r="P14" s="47"/>
      <c r="Q14" s="143" t="s">
        <v>3</v>
      </c>
      <c r="R14" s="144"/>
      <c r="S14" s="144"/>
      <c r="T14" s="144"/>
      <c r="U14" s="145"/>
      <c r="W14" s="32"/>
      <c r="X14" s="93"/>
      <c r="Y14" s="93"/>
      <c r="Z14" s="93">
        <f>F14+H14</f>
        <v>0</v>
      </c>
      <c r="AA14" s="93" t="b">
        <f>AND(Y13=TRUE,Z14&gt;Z12)</f>
        <v>0</v>
      </c>
      <c r="AB14" s="99"/>
      <c r="AC14" s="32"/>
      <c r="AD14" s="93"/>
      <c r="AE14" s="93"/>
      <c r="AF14" s="93">
        <f>L14+N14</f>
        <v>6</v>
      </c>
      <c r="AG14" s="93" t="b">
        <f>AND(AE15=TRUE,AF14&gt;AF16)</f>
        <v>1</v>
      </c>
      <c r="AH14" s="99"/>
      <c r="AI14" s="92" t="s">
        <v>61</v>
      </c>
      <c r="AJ14" s="92" t="s">
        <v>59</v>
      </c>
      <c r="AK14" s="96" t="s">
        <v>60</v>
      </c>
      <c r="AL14" s="97" t="s">
        <v>62</v>
      </c>
      <c r="AM14" s="97" t="s">
        <v>78</v>
      </c>
    </row>
    <row r="15" spans="1:40" ht="30" customHeight="1" x14ac:dyDescent="0.2">
      <c r="A15" s="1"/>
      <c r="B15" s="20"/>
      <c r="C15" s="20"/>
      <c r="D15" s="20"/>
      <c r="E15"/>
      <c r="F15" s="31"/>
      <c r="G15" s="32"/>
      <c r="H15" s="157"/>
      <c r="I15" s="39"/>
      <c r="J15" s="42"/>
      <c r="L15" s="43"/>
      <c r="M15" s="44"/>
      <c r="N15" s="44" t="str">
        <f>IF(AD15=TRUE,"SO","")</f>
        <v/>
      </c>
      <c r="W15" s="47"/>
      <c r="X15" s="47"/>
      <c r="Y15" s="47"/>
      <c r="Z15" s="47"/>
      <c r="AA15" s="47"/>
      <c r="AB15" s="47"/>
      <c r="AC15" s="93" t="b">
        <f>AND(L14&lt;&gt;"",L16&lt;&gt;"")</f>
        <v>1</v>
      </c>
      <c r="AD15" s="93" t="b">
        <f>AND(AC15=TRUE,L14=L16)</f>
        <v>0</v>
      </c>
      <c r="AE15" s="93" t="b">
        <f>IF(AC15=FALSE,FALSE,OR(AD15=FALSE,AND(N14&lt;&gt;"",N16&lt;&gt;"")))</f>
        <v>1</v>
      </c>
      <c r="AF15" s="44"/>
      <c r="AG15" s="44"/>
      <c r="AH15" s="41"/>
      <c r="AK15" s="93">
        <f>S18+U18</f>
        <v>7</v>
      </c>
      <c r="AM15" s="93" t="b">
        <f>AK15&gt;AK17</f>
        <v>1</v>
      </c>
    </row>
    <row r="16" spans="1:40" ht="30" customHeight="1" x14ac:dyDescent="0.2">
      <c r="A16" s="1">
        <v>5</v>
      </c>
      <c r="B16" s="18" t="str">
        <f>Uitslag!$C$15</f>
        <v/>
      </c>
      <c r="C16" s="19"/>
      <c r="D16" s="18">
        <f>Uitslag!$D$15</f>
        <v>0</v>
      </c>
      <c r="E16" s="154"/>
      <c r="F16" s="159">
        <v>0</v>
      </c>
      <c r="G16" s="155"/>
      <c r="H16" s="158"/>
      <c r="I16" s="39"/>
      <c r="J16" s="18" t="str">
        <f>IF(AA16=TRUE,B16,IF(AA18=TRUE,B18,""))</f>
        <v>rk-4121-7-R2</v>
      </c>
      <c r="K16" s="102"/>
      <c r="L16" s="159">
        <v>4</v>
      </c>
      <c r="M16" s="32"/>
      <c r="N16" s="158"/>
      <c r="W16" s="32"/>
      <c r="X16" s="93"/>
      <c r="Y16" s="93"/>
      <c r="Z16" s="93">
        <f>F16+H16</f>
        <v>0</v>
      </c>
      <c r="AA16" s="93" t="b">
        <f>AND(Y17=TRUE,Z16&gt;Z18)</f>
        <v>0</v>
      </c>
      <c r="AB16" s="41"/>
      <c r="AC16" s="32"/>
      <c r="AD16" s="93"/>
      <c r="AE16" s="93"/>
      <c r="AF16" s="93">
        <f>L16+N16</f>
        <v>4</v>
      </c>
      <c r="AG16" s="93" t="b">
        <f>AND(AE15=TRUE,AF16&gt;AF14)</f>
        <v>0</v>
      </c>
      <c r="AH16" s="41"/>
      <c r="AI16" s="93" t="b">
        <f>AND(S18&lt;&gt;"",S20&lt;&gt;"")</f>
        <v>1</v>
      </c>
      <c r="AJ16" s="93" t="b">
        <f>AND(AI16=TRUE,S18=S20)</f>
        <v>0</v>
      </c>
      <c r="AK16" s="98"/>
      <c r="AL16" s="93" t="b">
        <f>OR(AND(U18&lt;&gt;"",U20&lt;&gt;""),AJ16=FALSE)</f>
        <v>1</v>
      </c>
      <c r="AM16" s="98"/>
    </row>
    <row r="17" spans="1:39" ht="30" customHeight="1" x14ac:dyDescent="0.2">
      <c r="A17" s="1"/>
      <c r="B17" s="16"/>
      <c r="C17" s="16"/>
      <c r="D17" s="16"/>
      <c r="E17"/>
      <c r="F17" s="31"/>
      <c r="G17" s="32"/>
      <c r="H17" s="156" t="str">
        <f>IF(X17=TRUE,"SO","")</f>
        <v/>
      </c>
      <c r="I17" s="39"/>
      <c r="Q17" s="41"/>
      <c r="R17" s="41"/>
      <c r="S17" s="99" t="s">
        <v>54</v>
      </c>
      <c r="T17" s="99"/>
      <c r="U17" s="99" t="s">
        <v>55</v>
      </c>
      <c r="V17" s="99"/>
      <c r="W17" s="93" t="b">
        <f>AND(F16&lt;&gt;"",F18&lt;&gt;"")</f>
        <v>1</v>
      </c>
      <c r="X17" s="93" t="b">
        <f>AND(W17=TRUE,F16=F18)</f>
        <v>0</v>
      </c>
      <c r="Y17" s="93" t="b">
        <f>IF(W17=FALSE,FALSE,OR(X17=FALSE,AND(H16&lt;&gt;"",H18&lt;&gt;"")))</f>
        <v>1</v>
      </c>
      <c r="Z17" s="44"/>
      <c r="AA17" s="44"/>
      <c r="AB17" s="47"/>
      <c r="AH17" s="41"/>
      <c r="AI17" s="47" t="str">
        <f>IF(R20&lt;1,"",IF(R20+S20&gt;R18+S18,"--&gt;&gt;",IF(R20+S20&lt;R18+S18,"  2e","")))</f>
        <v/>
      </c>
      <c r="AJ17" s="47"/>
      <c r="AK17" s="93">
        <f>S20+U20</f>
        <v>3</v>
      </c>
      <c r="AL17" s="93"/>
      <c r="AM17" s="93" t="b">
        <f>AK17&gt;AK15</f>
        <v>0</v>
      </c>
    </row>
    <row r="18" spans="1:39" ht="30" customHeight="1" x14ac:dyDescent="0.25">
      <c r="A18" s="1">
        <v>4</v>
      </c>
      <c r="B18" s="18" t="str">
        <f>Uitslag!$C$14</f>
        <v>rk-4121-7-R2</v>
      </c>
      <c r="C18" s="19"/>
      <c r="D18" s="18" t="str">
        <f>Uitslag!$D$14</f>
        <v>[4121] Club 4121</v>
      </c>
      <c r="E18" s="154"/>
      <c r="F18" s="159">
        <v>6</v>
      </c>
      <c r="G18" s="155"/>
      <c r="H18" s="158"/>
      <c r="I18" s="39"/>
      <c r="P18" s="47"/>
      <c r="Q18" s="18" t="str">
        <f>IF(AG14=TRUE,J14,IF(AG16=TRUE,J16,""))</f>
        <v>rk-4121-4-R2</v>
      </c>
      <c r="R18" s="102"/>
      <c r="S18" s="30">
        <v>7</v>
      </c>
      <c r="T18" s="102"/>
      <c r="U18" s="30"/>
      <c r="V18" s="47" t="str">
        <f>IF(OR(AI16=FALSE,AL16=FALSE),"",IF(AM15=TRUE,"WINNAAR","2e"))</f>
        <v>WINNAAR</v>
      </c>
      <c r="W18" s="32"/>
      <c r="X18" s="93"/>
      <c r="Y18" s="93"/>
      <c r="Z18" s="93">
        <f>F18+H18</f>
        <v>6</v>
      </c>
      <c r="AA18" s="93" t="b">
        <f>AND(Y17=TRUE,Z18&gt;Z16)</f>
        <v>1</v>
      </c>
      <c r="AK18" s="48"/>
    </row>
    <row r="19" spans="1:39" ht="27" customHeight="1" x14ac:dyDescent="0.4">
      <c r="A19"/>
      <c r="B19" s="15"/>
      <c r="C19" s="15"/>
      <c r="D19" s="15"/>
      <c r="E19"/>
      <c r="F19"/>
      <c r="G19"/>
      <c r="H19" s="3"/>
      <c r="I19" s="39"/>
      <c r="Q19" s="46"/>
      <c r="R19" s="41"/>
      <c r="S19" s="132"/>
      <c r="T19" s="132"/>
      <c r="U19" s="44" t="str">
        <f>IF(AJ16=TRUE,"SO","")</f>
        <v/>
      </c>
      <c r="V19" s="41"/>
      <c r="W19" s="47"/>
      <c r="X19" s="47"/>
      <c r="Y19" s="47"/>
      <c r="Z19" s="47"/>
      <c r="AA19" s="47"/>
    </row>
    <row r="20" spans="1:39" ht="27" customHeight="1" x14ac:dyDescent="0.2">
      <c r="A20" s="1">
        <v>3</v>
      </c>
      <c r="B20" s="18" t="str">
        <f>Uitslag!$C$13</f>
        <v>rk-4121-6-R2</v>
      </c>
      <c r="C20" s="19"/>
      <c r="D20" s="18" t="str">
        <f>Uitslag!$D$13</f>
        <v>[4121] Club 4121</v>
      </c>
      <c r="E20" s="154"/>
      <c r="F20" s="159">
        <v>6</v>
      </c>
      <c r="G20" s="155"/>
      <c r="H20" s="158"/>
      <c r="I20" s="39"/>
      <c r="P20" s="47"/>
      <c r="Q20" s="18" t="str">
        <f>IF(AG22=TRUE,J22,IF(AG24=TRUE,J24,""))</f>
        <v>rk-4121-5-R2</v>
      </c>
      <c r="R20" s="102"/>
      <c r="S20" s="30">
        <v>3</v>
      </c>
      <c r="T20" s="102"/>
      <c r="U20" s="30"/>
      <c r="V20" s="47" t="str">
        <f>IF(OR(AI16=FALSE,AL16=FALSE),"",IF(AM17=TRUE,"WINNAAR","2e"))</f>
        <v>2e</v>
      </c>
      <c r="W20" s="32"/>
      <c r="X20" s="93"/>
      <c r="Y20" s="93"/>
      <c r="Z20" s="93">
        <f>F20+H20</f>
        <v>6</v>
      </c>
      <c r="AA20" s="93" t="b">
        <f>AND(Y21=TRUE,Z20&gt;Z22)</f>
        <v>1</v>
      </c>
    </row>
    <row r="21" spans="1:39" ht="27.75" x14ac:dyDescent="0.2">
      <c r="A21" s="1"/>
      <c r="B21" s="16"/>
      <c r="C21" s="16"/>
      <c r="D21" s="16"/>
      <c r="E21"/>
      <c r="F21" s="31"/>
      <c r="G21" s="32"/>
      <c r="H21" s="156" t="str">
        <f>IF(X21=TRUE,"SO","")</f>
        <v/>
      </c>
      <c r="J21" s="46"/>
      <c r="L21" s="99" t="s">
        <v>54</v>
      </c>
      <c r="M21" s="100"/>
      <c r="N21" s="99" t="s">
        <v>55</v>
      </c>
      <c r="W21" s="93" t="b">
        <f>AND(F20&lt;&gt;"",F22&lt;&gt;"")</f>
        <v>1</v>
      </c>
      <c r="X21" s="93" t="b">
        <f>AND(W21=TRUE,F20=F22)</f>
        <v>0</v>
      </c>
      <c r="Y21" s="93" t="b">
        <f>IF(W21=FALSE,FALSE,OR(X21=FALSE,AND(H20&lt;&gt;"",H22&lt;&gt;"")))</f>
        <v>1</v>
      </c>
      <c r="Z21" s="44"/>
      <c r="AA21" s="44"/>
      <c r="AC21" s="101" t="s">
        <v>63</v>
      </c>
      <c r="AD21" s="101" t="s">
        <v>58</v>
      </c>
      <c r="AE21" s="44"/>
      <c r="AF21" s="44"/>
      <c r="AG21" s="44"/>
    </row>
    <row r="22" spans="1:39" ht="27.75" x14ac:dyDescent="0.2">
      <c r="A22" s="1">
        <v>6</v>
      </c>
      <c r="B22" s="18" t="str">
        <f>Uitslag!$C$16</f>
        <v/>
      </c>
      <c r="C22" s="19"/>
      <c r="D22" s="18">
        <f>Uitslag!$D$16</f>
        <v>0</v>
      </c>
      <c r="E22" s="154"/>
      <c r="F22" s="159">
        <v>0</v>
      </c>
      <c r="G22" s="155"/>
      <c r="H22" s="158"/>
      <c r="J22" s="18" t="str">
        <f>IF(AA20=TRUE,B20,IF(AA22=TRUE,B22,""))</f>
        <v>rk-4121-6-R2</v>
      </c>
      <c r="K22" s="102"/>
      <c r="L22" s="159">
        <v>5</v>
      </c>
      <c r="M22" s="32"/>
      <c r="N22" s="158">
        <v>25</v>
      </c>
      <c r="W22" s="32"/>
      <c r="X22" s="93"/>
      <c r="Y22" s="93"/>
      <c r="Z22" s="93">
        <f>F22+H22</f>
        <v>0</v>
      </c>
      <c r="AA22" s="93" t="b">
        <f>AND(Y21=TRUE,Z22&gt;Z20)</f>
        <v>0</v>
      </c>
      <c r="AC22" s="32"/>
      <c r="AD22" s="93"/>
      <c r="AE22" s="93"/>
      <c r="AF22" s="93">
        <f>L22+N22</f>
        <v>30</v>
      </c>
      <c r="AG22" s="93" t="b">
        <f>AND(AE23=TRUE,AF22&gt;AF24)</f>
        <v>0</v>
      </c>
    </row>
    <row r="23" spans="1:39" ht="30" x14ac:dyDescent="0.2">
      <c r="A23" s="1"/>
      <c r="B23" s="20"/>
      <c r="C23" s="20"/>
      <c r="D23" s="20"/>
      <c r="E23"/>
      <c r="F23" s="31"/>
      <c r="G23" s="32"/>
      <c r="H23" s="157"/>
      <c r="J23" s="42"/>
      <c r="L23" s="43"/>
      <c r="M23" s="44"/>
      <c r="N23" s="44" t="str">
        <f>IF(AD23=TRUE,"SO","")</f>
        <v>SO</v>
      </c>
      <c r="W23" s="47"/>
      <c r="X23" s="47"/>
      <c r="Y23" s="47"/>
      <c r="Z23" s="47"/>
      <c r="AA23" s="47"/>
      <c r="AC23" s="93" t="b">
        <f>AND(L22&lt;&gt;"",L24&lt;&gt;"")</f>
        <v>1</v>
      </c>
      <c r="AD23" s="93" t="b">
        <f>AND(AC23=TRUE,L22=L24)</f>
        <v>1</v>
      </c>
      <c r="AE23" s="93" t="b">
        <f>IF(AC23=FALSE,FALSE,OR(AD23=FALSE,AND(N22&lt;&gt;"",N24&lt;&gt;"")))</f>
        <v>1</v>
      </c>
      <c r="AF23" s="44"/>
      <c r="AG23" s="44"/>
    </row>
    <row r="24" spans="1:39" ht="27.75" x14ac:dyDescent="0.2">
      <c r="A24" s="1">
        <v>7</v>
      </c>
      <c r="B24" s="18" t="str">
        <f>Uitslag!$C$17</f>
        <v/>
      </c>
      <c r="C24" s="19"/>
      <c r="D24" s="18">
        <f>Uitslag!$D$17</f>
        <v>0</v>
      </c>
      <c r="E24" s="154"/>
      <c r="F24" s="159">
        <v>0</v>
      </c>
      <c r="G24" s="155"/>
      <c r="H24" s="158"/>
      <c r="J24" s="18" t="str">
        <f>IF(AA24=TRUE,B24,IF(AA26=TRUE,B26,""))</f>
        <v>rk-4121-5-R2</v>
      </c>
      <c r="K24" s="102"/>
      <c r="L24" s="159">
        <v>5</v>
      </c>
      <c r="M24" s="32"/>
      <c r="N24" s="158">
        <v>30</v>
      </c>
      <c r="W24" s="32"/>
      <c r="X24" s="93"/>
      <c r="Y24" s="93"/>
      <c r="Z24" s="93">
        <f>F24+H24</f>
        <v>0</v>
      </c>
      <c r="AA24" s="93" t="b">
        <f>AND(Y25=TRUE,Z24&gt;Z26)</f>
        <v>0</v>
      </c>
      <c r="AC24" s="32"/>
      <c r="AD24" s="93"/>
      <c r="AE24" s="93"/>
      <c r="AF24" s="93">
        <f>L24+N24</f>
        <v>35</v>
      </c>
      <c r="AG24" s="93" t="b">
        <f>AND(AE23=TRUE,AF24&gt;AF22)</f>
        <v>1</v>
      </c>
    </row>
    <row r="25" spans="1:39" ht="27.75" x14ac:dyDescent="0.2">
      <c r="A25" s="1"/>
      <c r="B25" s="16"/>
      <c r="C25" s="16"/>
      <c r="D25" s="16"/>
      <c r="E25"/>
      <c r="F25" s="31"/>
      <c r="G25" s="32"/>
      <c r="H25" s="156" t="str">
        <f>IF(X25=TRUE,"SO","")</f>
        <v/>
      </c>
      <c r="V25" s="41"/>
      <c r="W25" s="93" t="b">
        <f>AND(F24&lt;&gt;"",F26&lt;&gt;"")</f>
        <v>1</v>
      </c>
      <c r="X25" s="93" t="b">
        <f>AND(W25=TRUE,F24=F26)</f>
        <v>0</v>
      </c>
      <c r="Y25" s="93" t="b">
        <f>IF(W25=FALSE,FALSE,OR(X25=FALSE,AND(H24&lt;&gt;"",H26&lt;&gt;"")))</f>
        <v>1</v>
      </c>
      <c r="Z25" s="44"/>
      <c r="AA25" s="44"/>
      <c r="AB25" s="41"/>
      <c r="AC25" s="41"/>
      <c r="AD25" s="41"/>
      <c r="AE25" s="41"/>
      <c r="AF25" s="41"/>
      <c r="AG25" s="41"/>
      <c r="AH25" s="41"/>
    </row>
    <row r="26" spans="1:39" ht="30" x14ac:dyDescent="0.2">
      <c r="A26" s="1">
        <v>2</v>
      </c>
      <c r="B26" s="18" t="str">
        <f>Uitslag!$C$12</f>
        <v>rk-4121-5-R2</v>
      </c>
      <c r="C26" s="19"/>
      <c r="D26" s="18" t="str">
        <f>Uitslag!$D$12</f>
        <v>[4121] Club 4121</v>
      </c>
      <c r="E26" s="154"/>
      <c r="F26" s="159">
        <v>6</v>
      </c>
      <c r="G26" s="155"/>
      <c r="H26" s="158"/>
      <c r="Q26" s="143" t="s">
        <v>70</v>
      </c>
      <c r="R26" s="144"/>
      <c r="S26" s="144"/>
      <c r="T26" s="144"/>
      <c r="U26" s="145"/>
      <c r="W26" s="32"/>
      <c r="X26" s="93"/>
      <c r="Y26" s="93"/>
      <c r="Z26" s="93">
        <f>F26+H26</f>
        <v>6</v>
      </c>
      <c r="AA26" s="93" t="b">
        <f>AND(Y25=TRUE,Z26&gt;Z24)</f>
        <v>1</v>
      </c>
    </row>
    <row r="27" spans="1:39" ht="30" x14ac:dyDescent="0.2">
      <c r="W27" s="47"/>
      <c r="X27" s="47"/>
      <c r="Y27" s="47"/>
      <c r="Z27" s="47"/>
      <c r="AA27" s="47"/>
    </row>
    <row r="29" spans="1:39" ht="20.25" x14ac:dyDescent="0.2">
      <c r="Q29" s="41"/>
      <c r="R29" s="41"/>
      <c r="S29" s="99" t="s">
        <v>54</v>
      </c>
      <c r="T29" s="99"/>
      <c r="U29" s="99" t="s">
        <v>55</v>
      </c>
      <c r="V29" s="99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2" t="s">
        <v>61</v>
      </c>
      <c r="AJ29" s="92" t="s">
        <v>59</v>
      </c>
      <c r="AK29" s="96" t="s">
        <v>60</v>
      </c>
      <c r="AL29" s="97" t="s">
        <v>62</v>
      </c>
      <c r="AM29" s="97" t="s">
        <v>78</v>
      </c>
    </row>
    <row r="30" spans="1:39" ht="30" x14ac:dyDescent="0.2">
      <c r="Q30" s="18" t="str">
        <f>IF(AG14=TRUE,J16,IF(AG16=TRUE,J14,""))</f>
        <v>rk-4121-7-R2</v>
      </c>
      <c r="R30" s="102"/>
      <c r="S30" s="30">
        <v>4</v>
      </c>
      <c r="T30" s="102"/>
      <c r="U30" s="30"/>
      <c r="V30" s="47" t="str">
        <f>IF(OR(AI31=FALSE,AL31=FALSE),"",IF(AM30=TRUE,"3e","4e"))</f>
        <v>4e</v>
      </c>
      <c r="W30" s="47"/>
      <c r="X30" s="47"/>
      <c r="Y30" s="47"/>
      <c r="Z30" s="47"/>
      <c r="AA30" s="47"/>
      <c r="AB30" s="47"/>
      <c r="AC30" s="47"/>
      <c r="AD30" s="47"/>
      <c r="AE30" s="41"/>
      <c r="AF30" s="41"/>
      <c r="AG30" s="41"/>
      <c r="AH30" s="41"/>
      <c r="AK30" s="93">
        <f>S30+U30</f>
        <v>4</v>
      </c>
      <c r="AM30" s="93" t="b">
        <f>AK30&gt;AK32</f>
        <v>0</v>
      </c>
    </row>
    <row r="31" spans="1:39" ht="25.5" x14ac:dyDescent="0.2">
      <c r="Q31" s="46"/>
      <c r="R31" s="41"/>
      <c r="S31" s="132"/>
      <c r="T31" s="132"/>
      <c r="U31" s="44" t="str">
        <f>IF(AJ31=TRUE,"SO","")</f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93" t="b">
        <f>AND(S30&lt;&gt;"",S32&lt;&gt;"")</f>
        <v>1</v>
      </c>
      <c r="AJ31" s="93" t="b">
        <f>AND(AI31=TRUE,S30=S32)</f>
        <v>0</v>
      </c>
      <c r="AK31" s="98"/>
      <c r="AL31" s="93" t="b">
        <f>OR(AND(U30&lt;&gt;"",U32&lt;&gt;""),AJ31=FALSE)</f>
        <v>1</v>
      </c>
      <c r="AM31" s="98"/>
    </row>
    <row r="32" spans="1:39" ht="30" x14ac:dyDescent="0.2">
      <c r="Q32" s="18" t="str">
        <f>IF(AG22=TRUE,J24,IF(AG24=TRUE,J22,""))</f>
        <v>rk-4121-6-R2</v>
      </c>
      <c r="R32" s="102"/>
      <c r="S32" s="30">
        <v>6</v>
      </c>
      <c r="T32" s="102"/>
      <c r="U32" s="30"/>
      <c r="V32" s="47" t="str">
        <f>IF(OR(AI31=FALSE,AL31=FALSE),"",IF(AM32=TRUE,"3e","4e"))</f>
        <v>3e</v>
      </c>
      <c r="W32" s="47"/>
      <c r="X32" s="47"/>
      <c r="Y32" s="47"/>
      <c r="Z32" s="47"/>
      <c r="AA32" s="47"/>
      <c r="AB32" s="47"/>
      <c r="AC32" s="47"/>
      <c r="AD32" s="47"/>
      <c r="AE32" s="41"/>
      <c r="AF32" s="41"/>
      <c r="AG32" s="41"/>
      <c r="AH32" s="41"/>
      <c r="AI32" s="47" t="str">
        <f>IF(R32&lt;1,"",IF(R32+S32&gt;R30+S30,"--&gt;&gt;",IF(R32+S32&lt;R30+S30,"  2e","")))</f>
        <v/>
      </c>
      <c r="AJ32" s="47"/>
      <c r="AK32" s="93">
        <f>S32+U32</f>
        <v>6</v>
      </c>
      <c r="AL32" s="93"/>
      <c r="AM32" s="93" t="b">
        <f>AK32&gt;AK30</f>
        <v>1</v>
      </c>
    </row>
    <row r="36" spans="22:30" x14ac:dyDescent="0.2">
      <c r="V36" s="95"/>
      <c r="W36" s="95"/>
      <c r="X36" s="95"/>
      <c r="Y36" s="95"/>
      <c r="Z36" s="95"/>
      <c r="AA36" s="95"/>
      <c r="AB36" s="95"/>
      <c r="AC36" s="95"/>
      <c r="AD36" s="95"/>
    </row>
  </sheetData>
  <conditionalFormatting sqref="U18 U20">
    <cfRule type="expression" dxfId="11" priority="6">
      <formula>AJ$16=FALSE</formula>
    </cfRule>
  </conditionalFormatting>
  <conditionalFormatting sqref="U30 U32">
    <cfRule type="expression" dxfId="10" priority="5">
      <formula>AJ$31=FALSE</formula>
    </cfRule>
  </conditionalFormatting>
  <conditionalFormatting sqref="N22 N14">
    <cfRule type="expression" dxfId="9" priority="7">
      <formula>AD15=FALSE</formula>
    </cfRule>
  </conditionalFormatting>
  <conditionalFormatting sqref="N24 N16">
    <cfRule type="expression" dxfId="8" priority="8">
      <formula>AD15=FALSE</formula>
    </cfRule>
  </conditionalFormatting>
  <conditionalFormatting sqref="H12 H14">
    <cfRule type="expression" dxfId="7" priority="4">
      <formula>X$13=FALSE</formula>
    </cfRule>
  </conditionalFormatting>
  <conditionalFormatting sqref="H16 H18">
    <cfRule type="expression" dxfId="6" priority="3">
      <formula>X$17=FALSE</formula>
    </cfRule>
  </conditionalFormatting>
  <conditionalFormatting sqref="H20 H22">
    <cfRule type="expression" dxfId="5" priority="2">
      <formula>X$21=FALSE</formula>
    </cfRule>
  </conditionalFormatting>
  <conditionalFormatting sqref="H24 H26">
    <cfRule type="expression" dxfId="4" priority="1">
      <formula>X$25=FALSE</formula>
    </cfRule>
  </conditionalFormatting>
  <pageMargins left="0.75" right="0.75" top="1" bottom="1" header="0.5" footer="0.5"/>
  <pageSetup paperSize="9" scale="3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>
    <pageSetUpPr fitToPage="1"/>
  </sheetPr>
  <dimension ref="A1:AD36"/>
  <sheetViews>
    <sheetView showGridLines="0" topLeftCell="D10" zoomScale="70" zoomScaleNormal="70" zoomScaleSheetLayoutView="40" workbookViewId="0">
      <selection activeCell="O32" sqref="O32"/>
    </sheetView>
  </sheetViews>
  <sheetFormatPr defaultColWidth="9.5546875" defaultRowHeight="15" x14ac:dyDescent="0.2"/>
  <cols>
    <col min="1" max="1" width="4" style="38" customWidth="1"/>
    <col min="2" max="2" width="44.6640625" style="38" customWidth="1"/>
    <col min="3" max="3" width="2" style="38" customWidth="1"/>
    <col min="4" max="4" width="45" style="38" customWidth="1"/>
    <col min="5" max="5" width="1.77734375" style="38" customWidth="1"/>
    <col min="6" max="6" width="9.77734375" style="38" customWidth="1"/>
    <col min="7" max="7" width="1.21875" style="38" customWidth="1"/>
    <col min="8" max="8" width="12.109375" style="38" customWidth="1"/>
    <col min="9" max="9" width="6.88671875" style="38" customWidth="1"/>
    <col min="10" max="10" width="4.88671875" style="95" bestFit="1" customWidth="1"/>
    <col min="11" max="11" width="6.109375" style="38" customWidth="1"/>
    <col min="12" max="12" width="2.88671875" style="38" customWidth="1"/>
    <col min="13" max="13" width="47.77734375" style="38" customWidth="1"/>
    <col min="14" max="14" width="1.77734375" style="38" customWidth="1"/>
    <col min="15" max="15" width="9.77734375" style="38" customWidth="1"/>
    <col min="16" max="16" width="2" style="38" customWidth="1"/>
    <col min="17" max="17" width="11.6640625" style="38" customWidth="1"/>
    <col min="18" max="18" width="21.6640625" style="38" customWidth="1"/>
    <col min="19" max="29" width="9.5546875" style="38" hidden="1" customWidth="1"/>
    <col min="30" max="30" width="1.33203125" style="38" hidden="1" customWidth="1"/>
    <col min="31" max="31" width="0" style="38" hidden="1" customWidth="1"/>
    <col min="32" max="16384" width="9.5546875" style="38"/>
  </cols>
  <sheetData>
    <row r="1" spans="1:30" ht="16.5" customHeight="1" x14ac:dyDescent="0.2"/>
    <row r="2" spans="1:30" ht="19.5" customHeight="1" x14ac:dyDescent="0.2"/>
    <row r="3" spans="1:30" ht="19.5" customHeight="1" x14ac:dyDescent="0.2"/>
    <row r="4" spans="1:30" ht="40.5" customHeight="1" x14ac:dyDescent="0.4">
      <c r="B4" s="133" t="str">
        <f>'Deelnemers en Scores'!B1</f>
        <v>Rayon kampioenschappen Indoor Teams   Rayon 3</v>
      </c>
      <c r="C4" s="134"/>
      <c r="D4" s="134"/>
      <c r="E4" s="134"/>
      <c r="F4" s="134"/>
      <c r="G4" s="134"/>
      <c r="H4" s="135"/>
      <c r="I4" s="134"/>
      <c r="J4" s="136"/>
      <c r="K4" s="134"/>
      <c r="L4" s="134"/>
      <c r="M4" s="137"/>
      <c r="N4" s="134"/>
      <c r="O4" s="138"/>
      <c r="P4" s="138"/>
      <c r="Q4" s="139"/>
      <c r="R4"/>
      <c r="V4"/>
      <c r="W4"/>
      <c r="X4"/>
      <c r="Y4"/>
      <c r="Z4"/>
      <c r="AA4"/>
      <c r="AB4"/>
      <c r="AC4"/>
      <c r="AD4"/>
    </row>
    <row r="5" spans="1:30" ht="21" customHeight="1" x14ac:dyDescent="0.2">
      <c r="V5"/>
      <c r="W5"/>
      <c r="X5"/>
      <c r="Y5"/>
      <c r="Z5"/>
      <c r="AA5"/>
      <c r="AB5"/>
      <c r="AC5"/>
      <c r="AD5"/>
    </row>
    <row r="6" spans="1:30" ht="42" customHeight="1" x14ac:dyDescent="0.5">
      <c r="B6" s="40" t="str">
        <f>'Deelnemers en Scores'!B4</f>
        <v>Klasse: Recurve klasse ERE</v>
      </c>
      <c r="L6" s="130" t="s">
        <v>10</v>
      </c>
      <c r="M6" s="131" t="str">
        <f>'Deelnemers en Scores'!D3</f>
        <v>yyyy-mm-dd</v>
      </c>
    </row>
    <row r="7" spans="1:30" ht="19.5" customHeight="1" x14ac:dyDescent="0.2"/>
    <row r="8" spans="1:30" ht="34.5" customHeight="1" x14ac:dyDescent="0.4">
      <c r="B8" s="140" t="s">
        <v>2</v>
      </c>
      <c r="C8" s="141"/>
      <c r="D8" s="141"/>
      <c r="E8" s="141"/>
      <c r="F8" s="141"/>
      <c r="G8" s="141"/>
      <c r="H8" s="142"/>
      <c r="R8" s="41"/>
      <c r="S8" s="41"/>
      <c r="T8" s="41"/>
      <c r="U8" s="41"/>
      <c r="V8" s="41"/>
      <c r="W8" s="41"/>
      <c r="X8" s="41"/>
      <c r="Y8" s="41"/>
    </row>
    <row r="10" spans="1:30" ht="30" customHeight="1" x14ac:dyDescent="0.2">
      <c r="B10" s="41"/>
      <c r="C10" s="41"/>
      <c r="D10" s="41"/>
      <c r="F10" s="41"/>
      <c r="G10" s="41"/>
      <c r="H10" s="41"/>
      <c r="I10" s="41"/>
      <c r="J10" s="92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</row>
    <row r="11" spans="1:30" ht="32.25" customHeight="1" x14ac:dyDescent="0.2">
      <c r="B11" s="41"/>
      <c r="C11" s="41"/>
      <c r="D11" s="41"/>
      <c r="F11" s="99" t="s">
        <v>54</v>
      </c>
      <c r="G11" s="100"/>
      <c r="H11" s="99" t="s">
        <v>55</v>
      </c>
      <c r="J11" s="92"/>
      <c r="K11" s="41"/>
      <c r="L11" s="41"/>
      <c r="R11" s="41"/>
      <c r="S11" s="101" t="s">
        <v>63</v>
      </c>
      <c r="T11" s="101" t="s">
        <v>58</v>
      </c>
      <c r="U11" s="114" t="s">
        <v>62</v>
      </c>
      <c r="V11" s="101" t="s">
        <v>56</v>
      </c>
      <c r="W11" s="101" t="s">
        <v>57</v>
      </c>
      <c r="X11" s="41"/>
      <c r="Y11" s="41"/>
      <c r="Z11" s="41"/>
    </row>
    <row r="12" spans="1:30" ht="30" customHeight="1" x14ac:dyDescent="0.2">
      <c r="A12" s="39">
        <v>1</v>
      </c>
      <c r="B12" s="18" t="str">
        <f>Uitslag!$C$11</f>
        <v>rk-4121-4-R2</v>
      </c>
      <c r="C12" s="19"/>
      <c r="D12" s="18" t="str">
        <f>Uitslag!$D$11</f>
        <v>[4121] Club 4121</v>
      </c>
      <c r="E12" s="102"/>
      <c r="F12" s="30"/>
      <c r="G12" s="32"/>
      <c r="H12" s="94"/>
      <c r="J12" s="32"/>
      <c r="K12" s="47" t="str">
        <f>IF(W12=TRUE,"--&gt;&gt;","")</f>
        <v/>
      </c>
      <c r="L12" s="47"/>
      <c r="M12" s="143" t="s">
        <v>3</v>
      </c>
      <c r="N12" s="144"/>
      <c r="O12" s="144"/>
      <c r="P12" s="144"/>
      <c r="Q12" s="145"/>
      <c r="S12" s="32"/>
      <c r="T12" s="93"/>
      <c r="U12" s="93"/>
      <c r="V12" s="93">
        <f>F12+H12</f>
        <v>0</v>
      </c>
      <c r="W12" s="93" t="b">
        <f>AND(U13=TRUE,V12&gt;V14)</f>
        <v>0</v>
      </c>
    </row>
    <row r="13" spans="1:30" ht="30" customHeight="1" x14ac:dyDescent="0.4">
      <c r="A13" s="39"/>
      <c r="B13" s="42"/>
      <c r="C13" s="42"/>
      <c r="D13" s="42"/>
      <c r="F13" s="43"/>
      <c r="G13" s="44"/>
      <c r="H13" s="44" t="str">
        <f>IF(T13=TRUE,"SO","")</f>
        <v/>
      </c>
      <c r="J13" s="44"/>
      <c r="K13" s="45"/>
      <c r="L13" s="45"/>
      <c r="S13" s="93" t="b">
        <f>AND(F12&lt;&gt;"",F14&lt;&gt;"")</f>
        <v>0</v>
      </c>
      <c r="T13" s="93" t="b">
        <f>AND(S13=TRUE,F12=F14)</f>
        <v>0</v>
      </c>
      <c r="U13" s="93" t="b">
        <f>IF(S13=FALSE,FALSE,OR(T13=FALSE,AND(H12&lt;&gt;"",H14&lt;&gt;"")))</f>
        <v>0</v>
      </c>
      <c r="V13" s="44"/>
      <c r="W13" s="44"/>
    </row>
    <row r="14" spans="1:30" ht="30" customHeight="1" x14ac:dyDescent="0.2">
      <c r="A14" s="39">
        <v>4</v>
      </c>
      <c r="B14" s="18" t="str">
        <f>Uitslag!$C$14</f>
        <v>rk-4121-7-R2</v>
      </c>
      <c r="C14" s="19"/>
      <c r="D14" s="18" t="str">
        <f>Uitslag!$D$14</f>
        <v>[4121] Club 4121</v>
      </c>
      <c r="E14" s="102"/>
      <c r="F14" s="30"/>
      <c r="G14" s="32"/>
      <c r="H14" s="94"/>
      <c r="J14" s="32"/>
      <c r="K14" s="47"/>
      <c r="L14" s="47"/>
      <c r="M14" s="41"/>
      <c r="N14" s="41"/>
      <c r="O14" s="99" t="s">
        <v>54</v>
      </c>
      <c r="P14" s="99"/>
      <c r="Q14" s="99" t="s">
        <v>55</v>
      </c>
      <c r="R14" s="99"/>
      <c r="S14" s="32"/>
      <c r="T14" s="93"/>
      <c r="U14" s="93"/>
      <c r="V14" s="93">
        <f>F14+H14</f>
        <v>0</v>
      </c>
      <c r="W14" s="93" t="b">
        <f>AND(U13=TRUE,V14&gt;V12)</f>
        <v>0</v>
      </c>
      <c r="X14" s="99"/>
      <c r="Y14" s="92" t="s">
        <v>61</v>
      </c>
      <c r="Z14" s="92" t="s">
        <v>59</v>
      </c>
      <c r="AA14" s="96" t="s">
        <v>60</v>
      </c>
      <c r="AB14" s="97" t="s">
        <v>62</v>
      </c>
      <c r="AC14" s="97" t="s">
        <v>78</v>
      </c>
    </row>
    <row r="15" spans="1:30" ht="30" customHeight="1" x14ac:dyDescent="0.2">
      <c r="A15" s="39"/>
      <c r="B15" s="46"/>
      <c r="C15" s="46"/>
      <c r="D15" s="46"/>
      <c r="F15" s="43"/>
      <c r="G15" s="44"/>
      <c r="H15" s="44"/>
      <c r="J15" s="44"/>
      <c r="M15" s="18" t="str">
        <f>IF(W12=TRUE,B12,IF(W14=TRUE,B14,""))</f>
        <v/>
      </c>
      <c r="N15" s="102"/>
      <c r="O15" s="30"/>
      <c r="P15" s="102"/>
      <c r="Q15" s="30"/>
      <c r="R15" s="47" t="str">
        <f>IF(OR(Y16=FALSE,AB16=FALSE),"",IF(AC15=TRUE,"WINNAAR","2e"))</f>
        <v/>
      </c>
      <c r="S15" s="44"/>
      <c r="T15" s="93"/>
      <c r="U15" s="44"/>
      <c r="V15" s="44"/>
      <c r="W15" s="44"/>
      <c r="X15" s="41"/>
      <c r="AA15" s="93">
        <f>O15+Q15</f>
        <v>0</v>
      </c>
      <c r="AC15" s="93" t="b">
        <f>AA15&gt;AA17</f>
        <v>0</v>
      </c>
    </row>
    <row r="16" spans="1:30" ht="30" customHeight="1" x14ac:dyDescent="0.2">
      <c r="A16" s="39"/>
      <c r="B16" s="46"/>
      <c r="C16" s="46"/>
      <c r="D16" s="46"/>
      <c r="F16" s="43"/>
      <c r="G16" s="44"/>
      <c r="H16" s="44"/>
      <c r="J16" s="44"/>
      <c r="M16" s="46"/>
      <c r="N16" s="41"/>
      <c r="O16" s="132"/>
      <c r="P16" s="132"/>
      <c r="Q16" s="44" t="str">
        <f>IF(Z16=TRUE,"SO","")</f>
        <v/>
      </c>
      <c r="R16" s="41"/>
      <c r="S16" s="44"/>
      <c r="T16" s="93"/>
      <c r="U16" s="44"/>
      <c r="V16" s="44"/>
      <c r="W16" s="44"/>
      <c r="X16" s="41"/>
      <c r="Y16" s="93" t="b">
        <f>AND(O15&lt;&gt;"",O17&lt;&gt;"")</f>
        <v>0</v>
      </c>
      <c r="Z16" s="93" t="b">
        <f>AND(Y16=TRUE,O15=O17)</f>
        <v>0</v>
      </c>
      <c r="AA16" s="98"/>
      <c r="AB16" s="93" t="b">
        <f>OR(AND(Q15&lt;&gt;"",Q17&lt;&gt;""),Z16=FALSE)</f>
        <v>1</v>
      </c>
      <c r="AC16" s="98"/>
    </row>
    <row r="17" spans="1:29" ht="30" customHeight="1" x14ac:dyDescent="0.2">
      <c r="A17" s="39"/>
      <c r="B17" s="46"/>
      <c r="C17" s="46"/>
      <c r="D17" s="46"/>
      <c r="F17" s="99" t="s">
        <v>54</v>
      </c>
      <c r="G17" s="100"/>
      <c r="H17" s="99" t="s">
        <v>55</v>
      </c>
      <c r="J17" s="44"/>
      <c r="M17" s="18" t="str">
        <f>IF(W18=TRUE,B18,IF(W20=TRUE,B20,""))</f>
        <v/>
      </c>
      <c r="N17" s="102"/>
      <c r="O17" s="30"/>
      <c r="P17" s="102"/>
      <c r="Q17" s="30"/>
      <c r="R17" s="47" t="str">
        <f>IF(OR(Y16=FALSE,AB16=FALSE),"",IF(AC17=TRUE,"WINNAAR","2e"))</f>
        <v/>
      </c>
      <c r="S17" s="101" t="s">
        <v>63</v>
      </c>
      <c r="T17" s="101" t="s">
        <v>58</v>
      </c>
      <c r="U17" s="44"/>
      <c r="V17" s="44"/>
      <c r="W17" s="44"/>
      <c r="X17" s="41"/>
      <c r="Y17" s="47" t="str">
        <f>IF(N17&lt;1,"",IF(N17+O17&gt;N15+O15,"--&gt;&gt;",IF(N17+O17&lt;N15+O15,"  2e","")))</f>
        <v/>
      </c>
      <c r="Z17" s="47"/>
      <c r="AA17" s="93">
        <f>O17+Q17</f>
        <v>0</v>
      </c>
      <c r="AB17" s="93"/>
      <c r="AC17" s="93" t="b">
        <f>AA17&gt;AA15</f>
        <v>0</v>
      </c>
    </row>
    <row r="18" spans="1:29" ht="30" customHeight="1" x14ac:dyDescent="0.25">
      <c r="A18" s="39">
        <v>3</v>
      </c>
      <c r="B18" s="18" t="str">
        <f>Uitslag!$C$13</f>
        <v>rk-4121-6-R2</v>
      </c>
      <c r="C18" s="19"/>
      <c r="D18" s="18" t="str">
        <f>Uitslag!$D$13</f>
        <v>[4121] Club 4121</v>
      </c>
      <c r="E18" s="102"/>
      <c r="F18" s="30"/>
      <c r="G18" s="32"/>
      <c r="H18" s="94"/>
      <c r="J18" s="32"/>
      <c r="K18" s="47" t="str">
        <f>IF(W18=TRUE,"--&gt;&gt;","")</f>
        <v/>
      </c>
      <c r="L18" s="47"/>
      <c r="S18" s="32"/>
      <c r="T18" s="93"/>
      <c r="U18" s="93"/>
      <c r="V18" s="93">
        <f>F18+H18</f>
        <v>0</v>
      </c>
      <c r="W18" s="93" t="b">
        <f>AND(U19=TRUE,V18&gt;V20)</f>
        <v>0</v>
      </c>
      <c r="AA18" s="48"/>
    </row>
    <row r="19" spans="1:29" ht="27" customHeight="1" x14ac:dyDescent="0.2">
      <c r="A19" s="39"/>
      <c r="B19" s="42"/>
      <c r="C19" s="42"/>
      <c r="D19" s="42"/>
      <c r="F19" s="43"/>
      <c r="G19" s="44"/>
      <c r="H19" s="44" t="str">
        <f>IF(T19=TRUE,"SO","")</f>
        <v/>
      </c>
      <c r="J19" s="44"/>
      <c r="S19" s="93" t="b">
        <f>AND(F18&lt;&gt;"",F20&lt;&gt;"")</f>
        <v>0</v>
      </c>
      <c r="T19" s="93" t="b">
        <f>AND(S19=TRUE,F18=F20)</f>
        <v>0</v>
      </c>
      <c r="U19" s="93" t="b">
        <f>IF(S19=FALSE,FALSE,OR(T19=FALSE,AND(H18&lt;&gt;"",H20&lt;&gt;"")))</f>
        <v>0</v>
      </c>
      <c r="V19" s="44"/>
      <c r="W19" s="44"/>
    </row>
    <row r="20" spans="1:29" ht="27" customHeight="1" x14ac:dyDescent="0.2">
      <c r="A20" s="39">
        <v>2</v>
      </c>
      <c r="B20" s="18" t="str">
        <f>Uitslag!$C$12</f>
        <v>rk-4121-5-R2</v>
      </c>
      <c r="C20" s="19"/>
      <c r="D20" s="18" t="str">
        <f>Uitslag!$D$12</f>
        <v>[4121] Club 4121</v>
      </c>
      <c r="E20" s="102"/>
      <c r="F20" s="30"/>
      <c r="G20" s="32"/>
      <c r="H20" s="94"/>
      <c r="J20" s="32"/>
      <c r="K20" s="47"/>
      <c r="L20" s="47"/>
      <c r="S20" s="32"/>
      <c r="T20" s="93"/>
      <c r="U20" s="93"/>
      <c r="V20" s="93">
        <f>F20+H20</f>
        <v>0</v>
      </c>
      <c r="W20" s="93" t="b">
        <f>AND(U19=TRUE,V20&gt;V18)</f>
        <v>0</v>
      </c>
    </row>
    <row r="25" spans="1:29" ht="30" x14ac:dyDescent="0.2">
      <c r="M25" s="143" t="s">
        <v>70</v>
      </c>
      <c r="N25" s="144"/>
      <c r="O25" s="144"/>
      <c r="P25" s="144"/>
      <c r="Q25" s="145"/>
      <c r="R25" s="41"/>
      <c r="S25" s="41"/>
      <c r="T25" s="41"/>
      <c r="U25" s="41"/>
      <c r="V25" s="41"/>
      <c r="W25" s="41"/>
      <c r="X25" s="41"/>
    </row>
    <row r="29" spans="1:29" ht="20.25" x14ac:dyDescent="0.2">
      <c r="M29" s="41"/>
      <c r="N29" s="41"/>
      <c r="O29" s="99" t="s">
        <v>54</v>
      </c>
      <c r="P29" s="99"/>
      <c r="Q29" s="99" t="s">
        <v>55</v>
      </c>
      <c r="R29" s="99"/>
      <c r="S29" s="99"/>
      <c r="T29" s="99"/>
      <c r="U29" s="99"/>
      <c r="V29" s="99"/>
      <c r="W29" s="99"/>
      <c r="X29" s="99"/>
      <c r="Y29" s="92" t="s">
        <v>61</v>
      </c>
      <c r="Z29" s="92" t="s">
        <v>59</v>
      </c>
      <c r="AA29" s="96" t="s">
        <v>60</v>
      </c>
      <c r="AB29" s="97" t="s">
        <v>62</v>
      </c>
      <c r="AC29" s="97" t="s">
        <v>78</v>
      </c>
    </row>
    <row r="30" spans="1:29" ht="30" x14ac:dyDescent="0.2">
      <c r="M30" s="18" t="str">
        <f>IF(W12=TRUE,B14,IF(W14=TRUE,B12,""))</f>
        <v/>
      </c>
      <c r="N30" s="102"/>
      <c r="O30" s="30"/>
      <c r="P30" s="102"/>
      <c r="Q30" s="30"/>
      <c r="R30" s="47" t="str">
        <f>IF(OR(Y31=FALSE,AB31=FALSE),"",IF(AC30=TRUE,"3e","4e"))</f>
        <v/>
      </c>
      <c r="S30" s="47"/>
      <c r="T30" s="47"/>
      <c r="U30" s="41"/>
      <c r="V30" s="41"/>
      <c r="W30" s="41"/>
      <c r="X30" s="41"/>
      <c r="AA30" s="93">
        <f>O30+Q30</f>
        <v>0</v>
      </c>
      <c r="AC30" s="93" t="b">
        <f>AA30&gt;AA32</f>
        <v>0</v>
      </c>
    </row>
    <row r="31" spans="1:29" ht="25.5" x14ac:dyDescent="0.2">
      <c r="M31" s="46"/>
      <c r="N31" s="41"/>
      <c r="O31" s="132"/>
      <c r="P31" s="132"/>
      <c r="Q31" s="44" t="str">
        <f>IF(Z31=TRUE,"SO","")</f>
        <v/>
      </c>
      <c r="R31" s="41"/>
      <c r="S31" s="41"/>
      <c r="T31" s="41"/>
      <c r="U31" s="41"/>
      <c r="V31" s="41"/>
      <c r="W31" s="41"/>
      <c r="X31" s="41"/>
      <c r="Y31" s="93" t="b">
        <f>AND(O30&lt;&gt;"",O32&lt;&gt;"")</f>
        <v>0</v>
      </c>
      <c r="Z31" s="93" t="b">
        <f>AND(Y31=TRUE,O30=O32)</f>
        <v>0</v>
      </c>
      <c r="AA31" s="98"/>
      <c r="AB31" s="93" t="b">
        <f>OR(AND(Q30&lt;&gt;"",Q32&lt;&gt;""),Z31=FALSE)</f>
        <v>1</v>
      </c>
      <c r="AC31" s="98"/>
    </row>
    <row r="32" spans="1:29" ht="30" x14ac:dyDescent="0.2">
      <c r="M32" s="18" t="str">
        <f>IF(W18=TRUE,B20,IF(W20=TRUE,B18,""))</f>
        <v/>
      </c>
      <c r="N32" s="102"/>
      <c r="O32" s="30"/>
      <c r="P32" s="102"/>
      <c r="Q32" s="30"/>
      <c r="R32" s="47" t="str">
        <f>IF(OR(Y31=FALSE,AB31=FALSE),"",IF(AC32=TRUE,"3e","4e"))</f>
        <v/>
      </c>
      <c r="S32" s="47"/>
      <c r="T32" s="47"/>
      <c r="U32" s="41"/>
      <c r="V32" s="41"/>
      <c r="W32" s="41"/>
      <c r="X32" s="41"/>
      <c r="Y32" s="47" t="str">
        <f>IF(N32&lt;1,"",IF(N32+O32&gt;N30+O30,"--&gt;&gt;",IF(N32+O32&lt;N30+O30,"  2e","")))</f>
        <v/>
      </c>
      <c r="Z32" s="47"/>
      <c r="AA32" s="93">
        <f>O32+Q32</f>
        <v>0</v>
      </c>
      <c r="AB32" s="93"/>
      <c r="AC32" s="93" t="b">
        <f>AA32&gt;AA30</f>
        <v>0</v>
      </c>
    </row>
    <row r="36" spans="18:20" x14ac:dyDescent="0.2">
      <c r="R36" s="95"/>
      <c r="S36" s="95"/>
      <c r="T36" s="95"/>
    </row>
  </sheetData>
  <phoneticPr fontId="18" type="noConversion"/>
  <conditionalFormatting sqref="Q15 Q17">
    <cfRule type="expression" dxfId="3" priority="11">
      <formula>Z$16=FALSE</formula>
    </cfRule>
  </conditionalFormatting>
  <conditionalFormatting sqref="Q30 Q32">
    <cfRule type="expression" dxfId="2" priority="1">
      <formula>Z$31=FALSE</formula>
    </cfRule>
  </conditionalFormatting>
  <conditionalFormatting sqref="H12 H18">
    <cfRule type="expression" dxfId="1" priority="12">
      <formula>T13=FALSE</formula>
    </cfRule>
  </conditionalFormatting>
  <conditionalFormatting sqref="H14 H20">
    <cfRule type="expression" dxfId="0" priority="13">
      <formula>T13=FALSE</formula>
    </cfRule>
  </conditionalFormatting>
  <pageMargins left="0.75" right="0.75" top="1" bottom="1" header="0.5" footer="0.5"/>
  <pageSetup paperSize="9" scale="46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Uitleg</vt:lpstr>
      <vt:lpstr>Toegestane deelnemers</vt:lpstr>
      <vt:lpstr>Deelnemers en Scores</vt:lpstr>
      <vt:lpstr>Uitslag</vt:lpstr>
      <vt:lpstr>Finales 8 teams</vt:lpstr>
      <vt:lpstr>Finales 4 teams</vt:lpstr>
      <vt:lpstr>'Deelnemers en Scores'!Print_Area</vt:lpstr>
      <vt:lpstr>'Finales 4 teams'!Print_Area</vt:lpstr>
      <vt:lpstr>'Finales 8 teams'!Print_Area</vt:lpstr>
      <vt:lpstr>Uitslag!Print_Area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Brouns</dc:creator>
  <cp:lastModifiedBy>Ramon</cp:lastModifiedBy>
  <cp:lastPrinted>2021-12-24T21:26:23Z</cp:lastPrinted>
  <dcterms:created xsi:type="dcterms:W3CDTF">1998-02-10T19:58:49Z</dcterms:created>
  <dcterms:modified xsi:type="dcterms:W3CDTF">2023-01-29T14:44:46Z</dcterms:modified>
</cp:coreProperties>
</file>