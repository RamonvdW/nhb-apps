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7FA95A5C-07DF-463C-BD7E-3C35BCD55BC2}" xr6:coauthVersionLast="47" xr6:coauthVersionMax="47" xr10:uidLastSave="{00000000-0000-0000-0000-000000000000}"/>
  <bookViews>
    <workbookView xWindow="-120" yWindow="-120" windowWidth="29040" windowHeight="15840"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workbook>
</file>

<file path=xl/calcChain.xml><?xml version="1.0" encoding="utf-8"?>
<calcChain xmlns="http://schemas.openxmlformats.org/spreadsheetml/2006/main">
  <c r="L22" i="4" l="1"/>
  <c r="L21" i="4"/>
  <c r="L20" i="4"/>
  <c r="L19" i="4"/>
  <c r="L18" i="4"/>
  <c r="L17" i="4"/>
  <c r="L16" i="4"/>
  <c r="L15" i="4"/>
  <c r="L14" i="4"/>
  <c r="L7" i="4"/>
  <c r="L8" i="4"/>
  <c r="L9" i="4"/>
  <c r="L10" i="4"/>
  <c r="L11" i="4"/>
  <c r="L12" i="4"/>
  <c r="L13" i="4"/>
  <c r="K33" i="5"/>
  <c r="K29" i="5"/>
  <c r="K25" i="5"/>
  <c r="K18" i="5"/>
  <c r="K14" i="5"/>
  <c r="K6" i="5"/>
  <c r="S32" i="4"/>
  <c r="S31" i="4"/>
  <c r="S30" i="4"/>
  <c r="S29" i="4"/>
  <c r="S28" i="4"/>
  <c r="S27" i="4"/>
  <c r="S26" i="4"/>
  <c r="S25" i="4"/>
  <c r="S24" i="4"/>
  <c r="S23" i="4"/>
  <c r="S19" i="4"/>
  <c r="S7" i="4"/>
  <c r="S8" i="4"/>
  <c r="S9" i="4"/>
  <c r="S10" i="4"/>
  <c r="S11" i="4"/>
  <c r="S12" i="4"/>
  <c r="S13" i="4"/>
  <c r="S15" i="4"/>
  <c r="S14" i="4"/>
  <c r="S16" i="4"/>
  <c r="S17" i="4"/>
  <c r="S18" i="4"/>
  <c r="S20" i="4"/>
  <c r="S21" i="4"/>
  <c r="B1" i="5"/>
  <c r="S22" i="4"/>
  <c r="AD31" i="5"/>
  <c r="L6" i="5"/>
  <c r="AD12" i="5"/>
  <c r="AC12" i="5"/>
  <c r="AJ31" i="5"/>
  <c r="AD22" i="5" s="1"/>
  <c r="AE22" i="5" s="1"/>
  <c r="AJ12" i="5"/>
  <c r="AA8" i="5"/>
  <c r="I38" i="5"/>
  <c r="R37" i="5"/>
  <c r="I36" i="5"/>
  <c r="L37" i="5" s="1"/>
  <c r="AA35" i="5"/>
  <c r="I34" i="5"/>
  <c r="R33" i="5"/>
  <c r="L33" i="5"/>
  <c r="E33" i="5"/>
  <c r="I32" i="5"/>
  <c r="I30" i="5"/>
  <c r="R29" i="5"/>
  <c r="L29" i="5"/>
  <c r="E29" i="5"/>
  <c r="I28" i="5"/>
  <c r="AA27" i="5"/>
  <c r="L25" i="5"/>
  <c r="U27" i="5"/>
  <c r="T27" i="5"/>
  <c r="N27" i="5"/>
  <c r="I26" i="5"/>
  <c r="R25" i="5"/>
  <c r="E25" i="5"/>
  <c r="I24" i="5"/>
  <c r="I5" i="5"/>
  <c r="E6" i="5"/>
  <c r="R6" i="5"/>
  <c r="N8" i="5" s="1"/>
  <c r="I7" i="5"/>
  <c r="I9" i="5"/>
  <c r="R10" i="5"/>
  <c r="T8" i="5" s="1"/>
  <c r="I11" i="5"/>
  <c r="E10" i="5" s="1"/>
  <c r="W12" i="5"/>
  <c r="I13" i="5"/>
  <c r="E14" i="5"/>
  <c r="L14" i="5"/>
  <c r="R14" i="5"/>
  <c r="I15" i="5"/>
  <c r="N16" i="5"/>
  <c r="T16" i="5"/>
  <c r="L18" i="5"/>
  <c r="U16" i="5"/>
  <c r="AA16" i="5"/>
  <c r="I17" i="5"/>
  <c r="E18" i="5"/>
  <c r="R18" i="5"/>
  <c r="I19" i="5"/>
  <c r="AC22" i="5" l="1"/>
  <c r="AC31" i="5"/>
  <c r="W31" i="5"/>
  <c r="T35" i="5"/>
  <c r="U35" i="5"/>
  <c r="N35" i="5"/>
  <c r="U8" i="5"/>
  <c r="K37" i="5"/>
  <c r="E37" i="5"/>
  <c r="K10" i="5"/>
  <c r="L10" i="5"/>
</calcChain>
</file>

<file path=xl/sharedStrings.xml><?xml version="1.0" encoding="utf-8"?>
<sst xmlns="http://schemas.openxmlformats.org/spreadsheetml/2006/main" count="116" uniqueCount="58">
  <si>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</si>
  <si>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</si>
  <si>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</si>
  <si>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</si>
  <si>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</si>
  <si>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</si>
  <si>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</si>
  <si>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</si>
  <si>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</si>
  <si>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</si>
  <si>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</si>
  <si>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</si>
  <si>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</si>
  <si>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</si>
  <si>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</si>
  <si>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</si>
  <si>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</si>
  <si>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</si>
  <si>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</si>
  <si>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</si>
  <si>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</si>
  <si>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</si>
  <si>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</si>
  <si>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</si>
  <si>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</si>
  <si>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</si>
  <si>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</si>
  <si>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</si>
  <si>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</si>
  <si>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</si>
  <si>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</si>
  <si>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</si>
  <si>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</si>
  <si>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</si>
  <si>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</si>
  <si>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</si>
  <si>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</si>
  <si>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</si>
  <si>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</si>
  <si>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</si>
  <si>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</si>
  <si>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</si>
  <si>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Notities</t>
  </si>
  <si>
    <r>
      <t xml:space="preserve">Het excel werkboek voor de Rayonkampioenschappen Indoor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</si>
  <si>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r>
      <t xml:space="preserve">E-mail </t>
    </r>
    <r>
      <rPr>
        <sz val="10"/>
        <color rgb="FFFF0000"/>
        <rFont val="Arial"/>
        <family val="2"/>
      </rPr>
      <t>opsturen ingevuld bestand</t>
    </r>
    <r>
      <rPr>
        <sz val="10"/>
        <rFont val="Arial"/>
        <family val="2"/>
      </rPr>
      <t>: nhb-apps-support@handboogsport.nl</t>
    </r>
  </si>
  <si>
    <t>E-mail vragen RK: info@handboogsport.nl</t>
  </si>
  <si>
    <t>Rayonkampioenschappen 25m 1pijl competitie 2021/2022, Rayon 3, Recurve klasse 6</t>
  </si>
  <si>
    <t>Vet60</t>
  </si>
  <si>
    <t>?</t>
  </si>
  <si>
    <t>Van andere klasse</t>
  </si>
  <si>
    <t>Ook compound</t>
  </si>
  <si>
    <t>Kamp.</t>
  </si>
  <si>
    <t>Ook compound (afgemeld)</t>
  </si>
  <si>
    <t>Garbage</t>
  </si>
  <si>
    <t>Geen scores</t>
  </si>
  <si>
    <t>Nul scores</t>
  </si>
  <si>
    <t>Geen getallen</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</si>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</sst>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7">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1" fontId="1" fillId="0" borderId="0" xfId="0" applyNumberFormat="1" applyFont="1" applyAlignment="1">
      <alignment vertical="top"/>
    </xf>
    <xf numFmtId="1" fontId="0" fillId="0" borderId="0" xfId="0" applyNumberFormat="1" applyAlignment="1">
      <alignment vertical="top"/>
    </xf>
    <xf numFmtId="1" fontId="0" fillId="0" borderId="0" xfId="0" applyNumberFormat="1"/>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Protection="1">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xf numFmtId="1" fontId="1" fillId="0" borderId="0" xfId="0" quotePrefix="1" applyNumberFormat="1" applyFont="1" applyAlignment="1">
      <alignment horizontal="right" vertical="top"/>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9"/>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4"/>
    </row>
    <row r="4" spans="1:1" x14ac:dyDescent="0.2">
      <c r="A4" s="2" t="s">
        <v>26</v>
      </c>
    </row>
    <row r="5" spans="1:1" ht="51" x14ac:dyDescent="0.2">
      <c r="A5" s="34" t="s">
        <v>29</v>
      </c>
    </row>
    <row r="6" spans="1:1" ht="51" x14ac:dyDescent="0.2">
      <c r="A6" s="34" t="s">
        <v>36</v>
      </c>
    </row>
    <row r="7" spans="1:1" x14ac:dyDescent="0.2">
      <c r="A7" s="3"/>
    </row>
    <row r="8" spans="1:1" x14ac:dyDescent="0.2">
      <c r="A8" s="2" t="s">
        <v>27</v>
      </c>
    </row>
    <row r="9" spans="1:1" ht="40.5" customHeight="1" x14ac:dyDescent="0.2">
      <c r="A9" s="3" t="s">
        <v>28</v>
      </c>
    </row>
    <row r="10" spans="1:1" x14ac:dyDescent="0.2">
      <c r="A10" s="3"/>
    </row>
    <row r="11" spans="1:1" x14ac:dyDescent="0.2">
      <c r="A11" s="2" t="s">
        <v>41</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44</v>
      </c>
    </row>
    <row r="19" spans="1:1" x14ac:dyDescent="0.2">
      <c r="A19" s="35" t="s">
        <v>45</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tabSelected="1" zoomScaleNormal="100" workbookViewId="0">
      <selection activeCell="J25" sqref="J25:K25"/>
    </sheetView>
  </sheetViews>
  <sheetFormatPr defaultColWidth="9.140625"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cols>
  <sheetData>
    <row r="1" spans="1:22" ht="33" customHeight="1" thickBot="1" x14ac:dyDescent="0.25">
      <c r="C1" s="1"/>
      <c r="I1" s="76" t="s">
        <v>0</v>
      </c>
      <c r="J1" s="77"/>
      <c r="K1" s="82" t="s">
        <v>18</v>
      </c>
      <c r="L1" s="83"/>
      <c r="M1" s="83"/>
      <c r="N1" s="83"/>
      <c r="O1" s="83"/>
      <c r="P1" s="83"/>
      <c r="Q1" s="84"/>
      <c r="R1" s="47">
        <v>16</v>
      </c>
    </row>
    <row r="2" spans="1:22" ht="12.75" customHeight="1" x14ac:dyDescent="0.2">
      <c r="A2" s="8"/>
      <c r="B2" s="85" t="s">
        <v>0</v>
      </c>
      <c r="C2" s="86"/>
      <c r="D2" s="87"/>
      <c r="E2" s="85" t="s">
        <v>1</v>
      </c>
      <c r="F2" s="9" t="s">
        <v>2</v>
      </c>
      <c r="G2" s="10" t="s">
        <v>3</v>
      </c>
      <c r="I2" s="78"/>
      <c r="J2" s="79"/>
      <c r="K2" s="91"/>
      <c r="L2" s="92"/>
      <c r="M2" s="92"/>
      <c r="N2" s="92"/>
      <c r="O2" s="92"/>
      <c r="P2" s="92"/>
      <c r="Q2" s="93"/>
      <c r="R2" s="48"/>
    </row>
    <row r="3" spans="1:22" ht="13.5" thickBot="1" x14ac:dyDescent="0.25">
      <c r="A3" s="8"/>
      <c r="B3" s="88"/>
      <c r="C3" s="89"/>
      <c r="D3" s="90"/>
      <c r="E3" s="88"/>
      <c r="F3" s="11" t="s">
        <v>20</v>
      </c>
      <c r="G3" s="12" t="s">
        <v>4</v>
      </c>
      <c r="I3" s="80"/>
      <c r="J3" s="81"/>
      <c r="K3" s="94"/>
      <c r="L3" s="95"/>
      <c r="M3" s="95"/>
      <c r="N3" s="95"/>
      <c r="O3" s="95"/>
      <c r="P3" s="95"/>
      <c r="Q3" s="96"/>
      <c r="R3" s="49"/>
    </row>
    <row r="4" spans="1:22" ht="18" x14ac:dyDescent="0.25">
      <c r="C4" s="99" t="s">
        <v>46</v>
      </c>
      <c r="D4" s="100"/>
      <c r="E4" s="100"/>
      <c r="F4" s="100"/>
      <c r="G4" s="100"/>
      <c r="H4" s="100"/>
      <c r="I4" s="100"/>
      <c r="J4" s="26"/>
      <c r="K4" s="26"/>
      <c r="L4" s="26"/>
      <c r="M4" s="26"/>
      <c r="N4" s="26"/>
      <c r="O4" s="26"/>
      <c r="P4" s="26"/>
      <c r="Q4" s="26"/>
      <c r="R4" s="50"/>
    </row>
    <row r="5" spans="1:22" ht="14.25" x14ac:dyDescent="0.2">
      <c r="C5" s="1"/>
      <c r="D5" s="97" t="s">
        <v>32</v>
      </c>
      <c r="E5" s="97"/>
      <c r="F5" s="40" t="s">
        <v>33</v>
      </c>
      <c r="G5" s="39" t="s">
        <v>34</v>
      </c>
      <c r="H5" s="98" t="s">
        <v>35</v>
      </c>
      <c r="I5" s="98"/>
      <c r="K5" s="41"/>
      <c r="L5" s="41"/>
      <c r="M5" s="41"/>
      <c r="N5" s="41"/>
      <c r="O5" s="41"/>
      <c r="P5" s="41"/>
      <c r="R5" s="51"/>
    </row>
    <row r="6" spans="1:22" x14ac:dyDescent="0.2">
      <c r="A6" s="75" t="s">
        <v>31</v>
      </c>
      <c r="B6" s="75"/>
      <c r="C6" s="14">
        <v>0</v>
      </c>
      <c r="D6" s="15" t="s">
        <v>5</v>
      </c>
      <c r="E6" s="16" t="s">
        <v>12</v>
      </c>
      <c r="F6" s="16" t="s">
        <v>13</v>
      </c>
      <c r="G6" s="13" t="s">
        <v>19</v>
      </c>
      <c r="H6" s="16" t="s">
        <v>30</v>
      </c>
      <c r="I6" s="30" t="s">
        <v>21</v>
      </c>
      <c r="J6" s="46" t="s">
        <v>37</v>
      </c>
      <c r="K6" s="46" t="s">
        <v>38</v>
      </c>
      <c r="L6" s="13" t="s">
        <v>6</v>
      </c>
      <c r="M6" s="75" t="s">
        <v>7</v>
      </c>
      <c r="N6" s="75"/>
      <c r="O6" s="75"/>
      <c r="P6" s="75"/>
      <c r="Q6" s="16" t="s">
        <v>22</v>
      </c>
      <c r="R6" s="52" t="s">
        <v>42</v>
      </c>
    </row>
    <row r="7" spans="1:22" s="62" customFormat="1" x14ac:dyDescent="0.2">
      <c r="A7" s="54"/>
      <c r="B7" s="54"/>
      <c r="C7" s="55"/>
      <c r="D7" s="56">
        <v>301946</v>
      </c>
      <c r="E7" s="55" t="s">
        <v>52</v>
      </c>
      <c r="F7" s="57">
        <v>4091</v>
      </c>
      <c r="G7" s="58" t="s">
        <v>48</v>
      </c>
      <c r="H7" s="55" t="s">
        <v>4</v>
      </c>
      <c r="I7" s="59">
        <v>7.0750000000000002</v>
      </c>
      <c r="J7" s="55">
        <v>213</v>
      </c>
      <c r="K7" s="55">
        <v>246</v>
      </c>
      <c r="L7" s="55">
        <f t="shared" ref="L7" si="0">IF(K7&lt;&gt;"",J7+K7,IF(J7&lt;&gt;"",J7,""))</f>
        <v>459</v>
      </c>
      <c r="M7" s="55"/>
      <c r="N7" s="55"/>
      <c r="O7" s="55"/>
      <c r="P7" s="55"/>
      <c r="Q7" s="55"/>
      <c r="R7" s="60"/>
      <c r="S7" s="61">
        <f t="shared" ref="S7:S22" si="1">M7/100+N7/10000+O7/1000000+P7/100000000</f>
        <v>0</v>
      </c>
      <c r="T7" s="61"/>
      <c r="U7" s="61"/>
      <c r="V7" s="61"/>
    </row>
    <row r="8" spans="1:22" s="62" customFormat="1" x14ac:dyDescent="0.2">
      <c r="A8" s="54"/>
      <c r="B8" s="54"/>
      <c r="C8" s="55"/>
      <c r="D8" s="56">
        <v>301960</v>
      </c>
      <c r="E8" s="55"/>
      <c r="F8" s="57">
        <v>4091</v>
      </c>
      <c r="G8" s="58" t="s">
        <v>48</v>
      </c>
      <c r="H8" s="55" t="s">
        <v>4</v>
      </c>
      <c r="I8" s="59">
        <v>7.0750000000000002</v>
      </c>
      <c r="J8" s="55">
        <v>213</v>
      </c>
      <c r="K8" s="55">
        <v>246</v>
      </c>
      <c r="L8" s="55">
        <f t="shared" ref="L8:L13" si="2">IF(K8&lt;&gt;"",J8+K8,IF(J8&lt;&gt;"",J8,""))</f>
        <v>459</v>
      </c>
      <c r="M8" s="55"/>
      <c r="N8" s="55"/>
      <c r="O8" s="55"/>
      <c r="P8" s="55"/>
      <c r="Q8" s="55"/>
      <c r="R8" s="60"/>
      <c r="S8" s="61">
        <f t="shared" si="1"/>
        <v>0</v>
      </c>
      <c r="T8" s="61"/>
      <c r="U8" s="61"/>
      <c r="V8" s="61"/>
    </row>
    <row r="9" spans="1:22" s="62" customFormat="1" x14ac:dyDescent="0.2">
      <c r="A9" s="54"/>
      <c r="B9" s="54"/>
      <c r="C9" s="55"/>
      <c r="D9" s="56">
        <v>301962</v>
      </c>
      <c r="E9" s="55"/>
      <c r="F9" s="57">
        <v>4091</v>
      </c>
      <c r="G9" s="58" t="s">
        <v>48</v>
      </c>
      <c r="H9" s="55" t="s">
        <v>4</v>
      </c>
      <c r="I9" s="59">
        <v>7.125</v>
      </c>
      <c r="J9" s="55">
        <v>212</v>
      </c>
      <c r="K9" s="55">
        <v>244</v>
      </c>
      <c r="L9" s="55">
        <f t="shared" si="2"/>
        <v>456</v>
      </c>
      <c r="M9" s="55"/>
      <c r="N9" s="55"/>
      <c r="O9" s="55"/>
      <c r="P9" s="55"/>
      <c r="Q9" s="55"/>
      <c r="R9" s="60"/>
      <c r="S9" s="61">
        <f t="shared" si="1"/>
        <v>0</v>
      </c>
      <c r="T9" s="61"/>
      <c r="U9" s="61"/>
      <c r="V9" s="61"/>
    </row>
    <row r="10" spans="1:22" s="62" customFormat="1" x14ac:dyDescent="0.2">
      <c r="A10" s="54"/>
      <c r="B10" s="54"/>
      <c r="C10" s="55"/>
      <c r="D10" s="56">
        <v>301964</v>
      </c>
      <c r="E10" s="55"/>
      <c r="F10" s="57">
        <v>4091</v>
      </c>
      <c r="G10" s="58" t="s">
        <v>48</v>
      </c>
      <c r="H10" s="55" t="s">
        <v>4</v>
      </c>
      <c r="I10" s="59">
        <v>7.125</v>
      </c>
      <c r="J10" s="55">
        <v>211</v>
      </c>
      <c r="K10" s="55">
        <v>242</v>
      </c>
      <c r="L10" s="55">
        <f t="shared" si="2"/>
        <v>453</v>
      </c>
      <c r="M10" s="55"/>
      <c r="N10" s="55"/>
      <c r="O10" s="55"/>
      <c r="P10" s="55"/>
      <c r="Q10" s="55"/>
      <c r="R10" s="60"/>
      <c r="S10" s="61">
        <f t="shared" si="1"/>
        <v>0</v>
      </c>
      <c r="T10" s="61"/>
      <c r="U10" s="61"/>
      <c r="V10" s="61"/>
    </row>
    <row r="11" spans="1:22" s="62" customFormat="1" x14ac:dyDescent="0.2">
      <c r="A11" s="54"/>
      <c r="B11" s="54"/>
      <c r="C11" s="55"/>
      <c r="D11" s="56">
        <v>301948</v>
      </c>
      <c r="E11" s="55"/>
      <c r="F11" s="57">
        <v>4091</v>
      </c>
      <c r="G11" s="58" t="s">
        <v>48</v>
      </c>
      <c r="H11" s="55" t="s">
        <v>4</v>
      </c>
      <c r="I11" s="59">
        <v>8.7910000000000004</v>
      </c>
      <c r="J11" s="55">
        <v>210</v>
      </c>
      <c r="K11" s="55">
        <v>240</v>
      </c>
      <c r="L11" s="55">
        <f t="shared" si="2"/>
        <v>450</v>
      </c>
      <c r="M11" s="55"/>
      <c r="N11" s="55"/>
      <c r="O11" s="55"/>
      <c r="P11" s="55"/>
      <c r="Q11" s="55"/>
      <c r="R11" s="60"/>
      <c r="S11" s="61">
        <f t="shared" si="1"/>
        <v>0</v>
      </c>
      <c r="T11" s="61"/>
      <c r="U11" s="61"/>
      <c r="V11" s="61"/>
    </row>
    <row r="12" spans="1:22" s="62" customFormat="1" x14ac:dyDescent="0.2">
      <c r="A12" s="54"/>
      <c r="B12" s="54"/>
      <c r="C12" s="55"/>
      <c r="D12" s="56">
        <v>301965</v>
      </c>
      <c r="E12" s="55"/>
      <c r="F12" s="57">
        <v>4091</v>
      </c>
      <c r="G12" s="58" t="s">
        <v>48</v>
      </c>
      <c r="H12" s="55" t="s">
        <v>4</v>
      </c>
      <c r="I12" s="59">
        <v>7.2</v>
      </c>
      <c r="J12" s="55">
        <v>209</v>
      </c>
      <c r="K12" s="55">
        <v>238</v>
      </c>
      <c r="L12" s="55">
        <f t="shared" si="2"/>
        <v>447</v>
      </c>
      <c r="M12" s="55"/>
      <c r="N12" s="55"/>
      <c r="O12" s="55"/>
      <c r="P12" s="55"/>
      <c r="Q12" s="55"/>
      <c r="R12" s="60"/>
      <c r="S12" s="61">
        <f t="shared" si="1"/>
        <v>0</v>
      </c>
      <c r="T12" s="61"/>
      <c r="U12" s="61"/>
      <c r="V12" s="61"/>
    </row>
    <row r="13" spans="1:22" s="62" customFormat="1" x14ac:dyDescent="0.2">
      <c r="A13" s="54"/>
      <c r="B13" s="54"/>
      <c r="C13" s="55"/>
      <c r="D13" s="56">
        <v>301967</v>
      </c>
      <c r="E13" s="55"/>
      <c r="F13" s="57">
        <v>4091</v>
      </c>
      <c r="G13" s="58" t="s">
        <v>48</v>
      </c>
      <c r="H13" s="55" t="s">
        <v>4</v>
      </c>
      <c r="I13" s="59">
        <v>7.25</v>
      </c>
      <c r="J13" s="55">
        <v>208</v>
      </c>
      <c r="K13" s="55">
        <v>236</v>
      </c>
      <c r="L13" s="55">
        <f t="shared" si="2"/>
        <v>444</v>
      </c>
      <c r="M13" s="55"/>
      <c r="N13" s="55"/>
      <c r="O13" s="55"/>
      <c r="P13" s="55"/>
      <c r="Q13" s="55"/>
      <c r="R13" s="60"/>
      <c r="S13" s="61">
        <f t="shared" si="1"/>
        <v>0</v>
      </c>
      <c r="T13" s="61"/>
      <c r="U13" s="61"/>
      <c r="V13" s="61"/>
    </row>
    <row r="14" spans="1:22" s="62" customFormat="1" x14ac:dyDescent="0.2">
      <c r="A14" s="54"/>
      <c r="B14" s="54"/>
      <c r="C14" s="55"/>
      <c r="D14" s="56">
        <v>301970</v>
      </c>
      <c r="E14" s="55"/>
      <c r="F14" s="57">
        <v>4091</v>
      </c>
      <c r="G14" s="58" t="s">
        <v>48</v>
      </c>
      <c r="H14" s="55" t="s">
        <v>4</v>
      </c>
      <c r="I14" s="59">
        <v>7.3250000000000002</v>
      </c>
      <c r="J14" s="55">
        <v>206</v>
      </c>
      <c r="K14" s="55">
        <v>232</v>
      </c>
      <c r="L14" s="55">
        <f t="shared" ref="L14:L22" si="3">IF(K14&lt;&gt;"",J14+K14,IF(J14&lt;&gt;"",J14,""))</f>
        <v>438</v>
      </c>
      <c r="M14" s="55">
        <v>9</v>
      </c>
      <c r="N14" s="55"/>
      <c r="O14" s="55"/>
      <c r="P14" s="55"/>
      <c r="Q14" s="55"/>
      <c r="R14" s="60"/>
      <c r="S14" s="61">
        <f t="shared" si="1"/>
        <v>0.09</v>
      </c>
      <c r="T14" s="61"/>
      <c r="U14" s="61"/>
      <c r="V14" s="61"/>
    </row>
    <row r="15" spans="1:22" s="62" customFormat="1" x14ac:dyDescent="0.2">
      <c r="A15" s="54"/>
      <c r="B15" s="54"/>
      <c r="C15" s="55"/>
      <c r="D15" s="56">
        <v>301969</v>
      </c>
      <c r="E15" s="55"/>
      <c r="F15" s="57">
        <v>4091</v>
      </c>
      <c r="G15" s="58" t="s">
        <v>48</v>
      </c>
      <c r="H15" s="55" t="s">
        <v>4</v>
      </c>
      <c r="I15" s="59">
        <v>7.3</v>
      </c>
      <c r="J15" s="55">
        <v>206</v>
      </c>
      <c r="K15" s="55">
        <v>232</v>
      </c>
      <c r="L15" s="55">
        <f t="shared" si="3"/>
        <v>438</v>
      </c>
      <c r="M15" s="55">
        <v>8</v>
      </c>
      <c r="N15" s="55"/>
      <c r="O15" s="55"/>
      <c r="P15" s="55"/>
      <c r="Q15" s="55"/>
      <c r="R15" s="60"/>
      <c r="S15" s="61">
        <f t="shared" si="1"/>
        <v>0.08</v>
      </c>
      <c r="T15" s="61"/>
      <c r="U15" s="61"/>
      <c r="V15" s="61"/>
    </row>
    <row r="16" spans="1:22" s="62" customFormat="1" x14ac:dyDescent="0.2">
      <c r="A16" s="54"/>
      <c r="B16" s="54"/>
      <c r="C16" s="55"/>
      <c r="D16" s="56">
        <v>301980</v>
      </c>
      <c r="E16" s="55"/>
      <c r="F16" s="57">
        <v>4091</v>
      </c>
      <c r="G16" s="58" t="s">
        <v>48</v>
      </c>
      <c r="H16" s="55" t="s">
        <v>4</v>
      </c>
      <c r="I16" s="59">
        <v>7.55</v>
      </c>
      <c r="J16" s="55">
        <v>205</v>
      </c>
      <c r="K16" s="55">
        <v>230</v>
      </c>
      <c r="L16" s="55">
        <f t="shared" si="3"/>
        <v>435</v>
      </c>
      <c r="M16" s="55"/>
      <c r="N16" s="55"/>
      <c r="O16" s="55"/>
      <c r="P16" s="55"/>
      <c r="Q16" s="55"/>
      <c r="R16" s="60"/>
      <c r="S16" s="61">
        <f t="shared" si="1"/>
        <v>0</v>
      </c>
      <c r="T16" s="61"/>
      <c r="U16" s="61"/>
      <c r="V16" s="61"/>
    </row>
    <row r="17" spans="1:22" s="62" customFormat="1" x14ac:dyDescent="0.2">
      <c r="A17" s="54"/>
      <c r="B17" s="54"/>
      <c r="C17" s="55"/>
      <c r="D17" s="56">
        <v>301954</v>
      </c>
      <c r="E17" s="55"/>
      <c r="F17" s="57">
        <v>4091</v>
      </c>
      <c r="G17" s="58" t="s">
        <v>48</v>
      </c>
      <c r="H17" s="55" t="s">
        <v>4</v>
      </c>
      <c r="I17" s="59">
        <v>8.9160000000000004</v>
      </c>
      <c r="J17" s="55">
        <v>204</v>
      </c>
      <c r="K17" s="55">
        <v>228</v>
      </c>
      <c r="L17" s="55">
        <f t="shared" si="3"/>
        <v>432</v>
      </c>
      <c r="M17" s="55"/>
      <c r="N17" s="55"/>
      <c r="O17" s="55"/>
      <c r="P17" s="55"/>
      <c r="Q17" s="55" t="s">
        <v>51</v>
      </c>
      <c r="R17" s="60"/>
      <c r="S17" s="61">
        <f t="shared" si="1"/>
        <v>0</v>
      </c>
      <c r="T17" s="61"/>
      <c r="U17" s="61"/>
      <c r="V17" s="61"/>
    </row>
    <row r="18" spans="1:22" s="62" customFormat="1" x14ac:dyDescent="0.2">
      <c r="A18" s="54"/>
      <c r="B18" s="54"/>
      <c r="C18" s="55"/>
      <c r="D18" s="56">
        <v>301973</v>
      </c>
      <c r="E18" s="55"/>
      <c r="F18" s="57">
        <v>4091</v>
      </c>
      <c r="G18" s="58" t="s">
        <v>48</v>
      </c>
      <c r="H18" s="55" t="s">
        <v>4</v>
      </c>
      <c r="I18" s="59">
        <v>7.375</v>
      </c>
      <c r="J18" s="55">
        <v>203</v>
      </c>
      <c r="K18" s="55">
        <v>226</v>
      </c>
      <c r="L18" s="55">
        <f t="shared" si="3"/>
        <v>429</v>
      </c>
      <c r="M18" s="55"/>
      <c r="N18" s="55"/>
      <c r="O18" s="55"/>
      <c r="P18" s="55"/>
      <c r="Q18" s="55"/>
      <c r="R18" s="60"/>
      <c r="S18" s="61">
        <f t="shared" si="1"/>
        <v>0</v>
      </c>
      <c r="T18" s="61"/>
      <c r="U18" s="61"/>
      <c r="V18" s="61"/>
    </row>
    <row r="19" spans="1:22" s="62" customFormat="1" x14ac:dyDescent="0.2">
      <c r="A19" s="54"/>
      <c r="B19" s="54"/>
      <c r="C19" s="55"/>
      <c r="D19" s="56">
        <v>301938</v>
      </c>
      <c r="E19" s="55" t="s">
        <v>49</v>
      </c>
      <c r="F19" s="57">
        <v>4091</v>
      </c>
      <c r="G19" s="58" t="s">
        <v>48</v>
      </c>
      <c r="H19" s="55" t="s">
        <v>4</v>
      </c>
      <c r="I19" s="59">
        <v>1.234</v>
      </c>
      <c r="J19" s="55">
        <v>214</v>
      </c>
      <c r="K19" s="55">
        <v>214</v>
      </c>
      <c r="L19" s="55">
        <f t="shared" si="3"/>
        <v>428</v>
      </c>
      <c r="M19" s="55"/>
      <c r="N19" s="55"/>
      <c r="O19" s="55"/>
      <c r="P19" s="55"/>
      <c r="Q19" s="55"/>
      <c r="R19" s="60"/>
      <c r="S19" s="61">
        <f t="shared" si="1"/>
        <v>0</v>
      </c>
      <c r="T19" s="61"/>
      <c r="U19" s="61"/>
      <c r="V19" s="61"/>
    </row>
    <row r="20" spans="1:22" s="62" customFormat="1" x14ac:dyDescent="0.2">
      <c r="A20" s="54"/>
      <c r="B20" s="54"/>
      <c r="C20" s="55"/>
      <c r="D20" s="56">
        <v>301951</v>
      </c>
      <c r="E20" s="55"/>
      <c r="F20" s="57">
        <v>4091</v>
      </c>
      <c r="G20" s="58" t="s">
        <v>48</v>
      </c>
      <c r="H20" s="55" t="s">
        <v>4</v>
      </c>
      <c r="I20" s="59">
        <v>8.8409999999999993</v>
      </c>
      <c r="J20" s="55">
        <v>202</v>
      </c>
      <c r="K20" s="55">
        <v>224</v>
      </c>
      <c r="L20" s="55">
        <f t="shared" si="3"/>
        <v>426</v>
      </c>
      <c r="M20" s="55"/>
      <c r="N20" s="55"/>
      <c r="O20" s="55"/>
      <c r="P20" s="55"/>
      <c r="Q20" s="55"/>
      <c r="R20" s="60"/>
      <c r="S20" s="61">
        <f t="shared" si="1"/>
        <v>0</v>
      </c>
      <c r="T20" s="61"/>
      <c r="U20" s="61"/>
      <c r="V20" s="61"/>
    </row>
    <row r="21" spans="1:22" s="62" customFormat="1" x14ac:dyDescent="0.2">
      <c r="A21" s="54"/>
      <c r="B21" s="54"/>
      <c r="C21" s="55"/>
      <c r="D21" s="56">
        <v>301957</v>
      </c>
      <c r="E21" s="55"/>
      <c r="F21" s="57">
        <v>4091</v>
      </c>
      <c r="G21" s="58" t="s">
        <v>48</v>
      </c>
      <c r="H21" s="55" t="s">
        <v>4</v>
      </c>
      <c r="I21" s="59">
        <v>8.9909999999999997</v>
      </c>
      <c r="J21" s="55">
        <v>201</v>
      </c>
      <c r="K21" s="55">
        <v>222</v>
      </c>
      <c r="L21" s="55">
        <f t="shared" si="3"/>
        <v>423</v>
      </c>
      <c r="M21" s="55"/>
      <c r="N21" s="55"/>
      <c r="O21" s="55"/>
      <c r="P21" s="55"/>
      <c r="Q21" s="55"/>
      <c r="R21" s="60"/>
      <c r="S21" s="61">
        <f t="shared" si="1"/>
        <v>0</v>
      </c>
      <c r="T21" s="61"/>
      <c r="U21" s="61"/>
      <c r="V21" s="61"/>
    </row>
    <row r="22" spans="1:22" s="62" customFormat="1" x14ac:dyDescent="0.2">
      <c r="A22" s="54"/>
      <c r="B22" s="54"/>
      <c r="C22" s="55"/>
      <c r="D22" s="56">
        <v>301975</v>
      </c>
      <c r="E22" s="55" t="s">
        <v>55</v>
      </c>
      <c r="F22" s="57">
        <v>4091</v>
      </c>
      <c r="G22" s="58" t="s">
        <v>48</v>
      </c>
      <c r="H22" s="55" t="s">
        <v>3</v>
      </c>
      <c r="I22" s="59">
        <v>7.4249999999999998</v>
      </c>
      <c r="J22" s="55">
        <v>0</v>
      </c>
      <c r="K22" s="55">
        <v>0</v>
      </c>
      <c r="L22" s="55">
        <f t="shared" si="3"/>
        <v>0</v>
      </c>
      <c r="M22" s="55"/>
      <c r="N22" s="55"/>
      <c r="O22" s="55"/>
      <c r="P22" s="55"/>
      <c r="Q22" s="55"/>
      <c r="R22" s="60"/>
      <c r="S22" s="61">
        <f t="shared" si="1"/>
        <v>0</v>
      </c>
      <c r="T22" s="61"/>
      <c r="U22" s="61"/>
      <c r="V22" s="61"/>
    </row>
    <row r="23" spans="1:22" s="62" customFormat="1" x14ac:dyDescent="0.2">
      <c r="A23" s="54"/>
      <c r="B23" s="54"/>
      <c r="C23" s="55"/>
      <c r="D23" s="56">
        <v>123456</v>
      </c>
      <c r="E23" s="55" t="s">
        <v>53</v>
      </c>
      <c r="F23" s="57"/>
      <c r="G23" s="58"/>
      <c r="H23" s="55"/>
      <c r="I23" s="59"/>
      <c r="J23" s="55"/>
      <c r="K23" s="55"/>
      <c r="L23" s="55"/>
      <c r="M23" s="55"/>
      <c r="N23" s="55"/>
      <c r="O23" s="55"/>
      <c r="P23" s="55"/>
      <c r="Q23" s="55"/>
      <c r="R23" s="60"/>
      <c r="S23" s="61">
        <f t="shared" ref="S23:S32" si="4">M23/100+N23/10000+O23/1000000+P23/100000000</f>
        <v>0</v>
      </c>
      <c r="T23" s="61"/>
      <c r="U23" s="61"/>
      <c r="V23" s="61"/>
    </row>
    <row r="24" spans="1:22" s="62" customFormat="1" x14ac:dyDescent="0.2">
      <c r="A24" s="63"/>
      <c r="B24" s="63"/>
      <c r="C24" s="55"/>
      <c r="D24" s="56">
        <v>301975</v>
      </c>
      <c r="E24" s="55" t="s">
        <v>54</v>
      </c>
      <c r="F24" s="57">
        <v>4091</v>
      </c>
      <c r="G24" s="58" t="s">
        <v>48</v>
      </c>
      <c r="H24" s="55" t="s">
        <v>3</v>
      </c>
      <c r="I24" s="59">
        <v>7.4249999999999998</v>
      </c>
      <c r="J24" s="73"/>
      <c r="K24" s="73"/>
      <c r="L24" s="72"/>
      <c r="M24" s="61"/>
      <c r="N24" s="61"/>
      <c r="O24" s="61"/>
      <c r="P24" s="61"/>
      <c r="Q24" s="61"/>
      <c r="R24" s="60"/>
      <c r="S24" s="61">
        <f t="shared" si="4"/>
        <v>0</v>
      </c>
      <c r="T24" s="61"/>
      <c r="U24" s="61"/>
      <c r="V24" s="61"/>
    </row>
    <row r="25" spans="1:22" s="62" customFormat="1" x14ac:dyDescent="0.2">
      <c r="A25" s="63"/>
      <c r="B25" s="63"/>
      <c r="C25" s="55"/>
      <c r="D25" s="56">
        <v>301975</v>
      </c>
      <c r="E25" s="55" t="s">
        <v>56</v>
      </c>
      <c r="F25" s="57">
        <v>4091</v>
      </c>
      <c r="G25" s="58" t="s">
        <v>48</v>
      </c>
      <c r="H25" s="55" t="s">
        <v>3</v>
      </c>
      <c r="I25" s="59">
        <v>7.4249999999999998</v>
      </c>
      <c r="J25" s="106" t="s">
        <v>57</v>
      </c>
      <c r="K25" s="106" t="s">
        <v>57</v>
      </c>
      <c r="L25" s="72"/>
      <c r="M25" s="61"/>
      <c r="N25" s="61"/>
      <c r="O25" s="61"/>
      <c r="P25" s="61"/>
      <c r="Q25" s="61"/>
      <c r="R25" s="60"/>
      <c r="S25" s="61">
        <f t="shared" si="4"/>
        <v>0</v>
      </c>
      <c r="T25" s="61"/>
      <c r="U25" s="61"/>
      <c r="V25" s="61"/>
    </row>
    <row r="26" spans="1:22" s="62" customFormat="1" x14ac:dyDescent="0.2">
      <c r="A26" s="63"/>
      <c r="B26" s="63"/>
      <c r="C26" s="55"/>
      <c r="D26" s="64"/>
      <c r="E26" s="61"/>
      <c r="F26" s="61"/>
      <c r="G26" s="65"/>
      <c r="H26" s="61"/>
      <c r="I26" s="66"/>
      <c r="J26" s="73"/>
      <c r="K26" s="73"/>
      <c r="L26" s="72"/>
      <c r="M26" s="61"/>
      <c r="N26" s="61"/>
      <c r="O26" s="61"/>
      <c r="P26" s="61"/>
      <c r="Q26" s="61"/>
      <c r="R26" s="60"/>
      <c r="S26" s="61">
        <f t="shared" si="4"/>
        <v>0</v>
      </c>
      <c r="T26" s="61"/>
      <c r="U26" s="61"/>
      <c r="V26" s="61"/>
    </row>
    <row r="27" spans="1:22" s="62" customFormat="1" x14ac:dyDescent="0.2">
      <c r="A27" s="63"/>
      <c r="B27" s="63"/>
      <c r="C27" s="55"/>
      <c r="D27" s="64"/>
      <c r="E27" s="61"/>
      <c r="F27" s="61"/>
      <c r="G27" s="65"/>
      <c r="H27" s="61"/>
      <c r="I27" s="66"/>
      <c r="J27" s="73"/>
      <c r="K27" s="73"/>
      <c r="L27" s="72"/>
      <c r="M27" s="61"/>
      <c r="N27" s="61"/>
      <c r="O27" s="61"/>
      <c r="P27" s="61"/>
      <c r="Q27" s="61"/>
      <c r="R27" s="60"/>
      <c r="S27" s="61">
        <f t="shared" si="4"/>
        <v>0</v>
      </c>
      <c r="T27" s="61"/>
      <c r="U27" s="61"/>
      <c r="V27" s="61"/>
    </row>
    <row r="28" spans="1:22" s="62" customFormat="1" x14ac:dyDescent="0.2">
      <c r="A28" s="63"/>
      <c r="B28" s="63"/>
      <c r="C28" s="55"/>
      <c r="D28" s="64"/>
      <c r="E28" s="61"/>
      <c r="F28" s="61"/>
      <c r="G28" s="65"/>
      <c r="H28" s="61"/>
      <c r="I28" s="66"/>
      <c r="J28" s="73"/>
      <c r="K28" s="73"/>
      <c r="L28" s="72"/>
      <c r="M28" s="61"/>
      <c r="N28" s="61"/>
      <c r="O28" s="61"/>
      <c r="P28" s="61"/>
      <c r="Q28" s="61"/>
      <c r="R28" s="60"/>
      <c r="S28" s="61">
        <f t="shared" si="4"/>
        <v>0</v>
      </c>
      <c r="T28" s="61"/>
      <c r="U28" s="61"/>
      <c r="V28" s="61"/>
    </row>
    <row r="29" spans="1:22" s="62" customFormat="1" x14ac:dyDescent="0.2">
      <c r="A29" s="63"/>
      <c r="B29" s="63"/>
      <c r="C29" s="55"/>
      <c r="D29" s="64"/>
      <c r="E29" s="61"/>
      <c r="F29" s="61"/>
      <c r="G29" s="65"/>
      <c r="H29" s="61"/>
      <c r="I29" s="66"/>
      <c r="J29" s="73"/>
      <c r="K29" s="73"/>
      <c r="L29" s="72"/>
      <c r="M29" s="61"/>
      <c r="N29" s="61"/>
      <c r="O29" s="61"/>
      <c r="P29" s="61"/>
      <c r="Q29" s="61"/>
      <c r="R29" s="60"/>
      <c r="S29" s="61">
        <f t="shared" si="4"/>
        <v>0</v>
      </c>
      <c r="T29" s="61"/>
      <c r="U29" s="61"/>
      <c r="V29" s="61"/>
    </row>
    <row r="30" spans="1:22" s="62" customFormat="1" x14ac:dyDescent="0.2">
      <c r="A30" s="63"/>
      <c r="B30" s="63"/>
      <c r="C30" s="55"/>
      <c r="D30" s="64"/>
      <c r="E30" s="61"/>
      <c r="F30" s="61"/>
      <c r="G30" s="65"/>
      <c r="H30" s="61"/>
      <c r="I30" s="66"/>
      <c r="J30" s="73"/>
      <c r="K30" s="73"/>
      <c r="L30" s="72"/>
      <c r="M30" s="61"/>
      <c r="N30" s="61"/>
      <c r="O30" s="61"/>
      <c r="P30" s="61"/>
      <c r="Q30" s="61"/>
      <c r="R30" s="60"/>
      <c r="S30" s="61">
        <f t="shared" si="4"/>
        <v>0</v>
      </c>
      <c r="T30" s="61"/>
      <c r="U30" s="61"/>
      <c r="V30" s="61"/>
    </row>
    <row r="31" spans="1:22" s="62" customFormat="1" x14ac:dyDescent="0.2">
      <c r="A31" s="63"/>
      <c r="B31" s="63"/>
      <c r="C31" s="55"/>
      <c r="D31" s="64"/>
      <c r="E31" s="61"/>
      <c r="F31" s="61"/>
      <c r="G31" s="65"/>
      <c r="H31" s="61"/>
      <c r="I31" s="66"/>
      <c r="J31" s="73"/>
      <c r="K31" s="73"/>
      <c r="L31" s="72"/>
      <c r="M31" s="61"/>
      <c r="N31" s="61"/>
      <c r="O31" s="61"/>
      <c r="P31" s="61"/>
      <c r="Q31" s="61"/>
      <c r="R31" s="60"/>
      <c r="S31" s="61">
        <f t="shared" si="4"/>
        <v>0</v>
      </c>
      <c r="T31" s="61"/>
      <c r="U31" s="61"/>
      <c r="V31" s="61"/>
    </row>
    <row r="32" spans="1:22" x14ac:dyDescent="0.2">
      <c r="A32" s="42" t="s">
        <v>39</v>
      </c>
      <c r="C32"/>
      <c r="D32" s="37"/>
      <c r="E32"/>
      <c r="F32"/>
      <c r="G32" s="38"/>
      <c r="H32"/>
      <c r="I32" s="31"/>
      <c r="J32" s="74"/>
      <c r="K32" s="74"/>
      <c r="L32" s="35"/>
      <c r="M32"/>
      <c r="N32"/>
      <c r="O32"/>
      <c r="P32"/>
      <c r="Q32"/>
      <c r="R32" s="3"/>
      <c r="S32">
        <f t="shared" si="4"/>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40</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30</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22">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topLeftCell="A4" zoomScale="115" zoomScaleNormal="115" workbookViewId="0">
      <selection activeCell="B2" sqref="B2"/>
    </sheetView>
  </sheetViews>
  <sheetFormatPr defaultColWidth="0" defaultRowHeight="12.75" x14ac:dyDescent="0.2"/>
  <cols>
    <col min="1" max="1" width="4" style="1" customWidth="1"/>
    <col min="2" max="2" width="7" style="1" customWidth="1"/>
    <col min="3" max="3" width="16.5703125" style="1" bestFit="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99" t="str">
        <f>"Finales "&amp;Voorronde!C4</f>
        <v>Finales Rayonkampioenschappen 25m 1pijl competitie 2021/2022, Rayon 3, Recurve klasse 6</v>
      </c>
      <c r="C1" s="9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101" t="s">
        <v>16</v>
      </c>
      <c r="D3" s="101"/>
      <c r="E3" s="101"/>
      <c r="F3" s="101"/>
      <c r="G3" s="101"/>
      <c r="H3" s="101"/>
      <c r="I3" s="101"/>
      <c r="J3" s="7"/>
      <c r="K3" s="7"/>
      <c r="L3" s="101" t="s">
        <v>8</v>
      </c>
      <c r="M3" s="101"/>
      <c r="N3" s="101"/>
      <c r="O3" s="101"/>
      <c r="P3" s="101"/>
      <c r="Q3" s="101"/>
      <c r="R3" s="7"/>
      <c r="S3" s="7"/>
      <c r="T3" s="7"/>
      <c r="U3" s="101" t="s">
        <v>17</v>
      </c>
      <c r="V3" s="101"/>
      <c r="W3" s="101"/>
      <c r="X3" s="101"/>
      <c r="Y3" s="101"/>
      <c r="Z3" s="101"/>
      <c r="AA3" s="7"/>
      <c r="AB3" s="7"/>
      <c r="AC3" s="7"/>
      <c r="AD3" s="101" t="s">
        <v>9</v>
      </c>
      <c r="AE3" s="101"/>
    </row>
    <row r="4" spans="1:38" x14ac:dyDescent="0.2">
      <c r="D4" s="1" t="s">
        <v>10</v>
      </c>
      <c r="E4" s="104" t="s">
        <v>7</v>
      </c>
      <c r="F4" s="104"/>
      <c r="G4" s="104"/>
      <c r="H4" s="104"/>
      <c r="I4" s="104"/>
      <c r="J4" s="6"/>
      <c r="S4" s="6"/>
      <c r="AB4" s="6"/>
      <c r="AF4" s="105"/>
      <c r="AG4" s="105"/>
      <c r="AH4" s="105"/>
      <c r="AI4" s="105"/>
      <c r="AJ4" s="105"/>
    </row>
    <row r="5" spans="1:38" x14ac:dyDescent="0.2">
      <c r="A5" s="1">
        <v>1</v>
      </c>
      <c r="B5" s="18">
        <v>301960</v>
      </c>
      <c r="C5" s="19"/>
      <c r="D5" s="20">
        <v>6</v>
      </c>
      <c r="F5" s="17"/>
      <c r="G5" s="17"/>
      <c r="H5" s="17"/>
      <c r="I5" s="21">
        <f>E5/100+F5/10000+G5/1000000+H5/100000000</f>
        <v>0</v>
      </c>
      <c r="J5" s="45"/>
      <c r="M5" s="1" t="s">
        <v>10</v>
      </c>
      <c r="N5" s="105" t="s">
        <v>11</v>
      </c>
      <c r="O5" s="105"/>
      <c r="P5" s="105"/>
      <c r="Q5" s="105"/>
      <c r="R5" s="105"/>
    </row>
    <row r="6" spans="1:38" x14ac:dyDescent="0.2">
      <c r="B6" s="4"/>
      <c r="E6" s="103" t="str">
        <f>IF(AND(D5=D7,D5&lt;&gt;""),IF(I5&lt;&gt;I7,"","Shoot off"),"")</f>
        <v/>
      </c>
      <c r="F6" s="103"/>
      <c r="G6" s="103"/>
      <c r="H6" s="103"/>
      <c r="I6" s="103"/>
      <c r="J6" s="43"/>
      <c r="K6" s="22">
        <f>IF(D7&lt;&gt;"",IF((D5+I5)&gt;(D7+I7),B5,B7),"")</f>
        <v>301960</v>
      </c>
      <c r="L6" s="23">
        <f>IF(D7&lt;&gt;"",IF((D5+I5)&gt;(D7+I7),C5,C7),"")</f>
        <v>0</v>
      </c>
      <c r="M6" s="20">
        <v>5</v>
      </c>
      <c r="N6" s="20">
        <v>8</v>
      </c>
      <c r="O6" s="20"/>
      <c r="P6" s="20"/>
      <c r="Q6" s="20"/>
      <c r="R6" s="24">
        <f>N6/100+O6/10000+P6/1000000+Q6/100000000</f>
        <v>0.08</v>
      </c>
      <c r="S6" s="45"/>
    </row>
    <row r="7" spans="1:38" x14ac:dyDescent="0.2">
      <c r="A7" s="1">
        <v>16</v>
      </c>
      <c r="B7" s="25">
        <v>301975</v>
      </c>
      <c r="C7" s="20" t="s">
        <v>47</v>
      </c>
      <c r="D7" s="20">
        <v>4</v>
      </c>
      <c r="E7" s="17"/>
      <c r="F7" s="17"/>
      <c r="G7" s="17"/>
      <c r="H7" s="17"/>
      <c r="I7" s="21">
        <f>E7/100+F7/10000+G7/1000000+H7/100000000</f>
        <v>0</v>
      </c>
      <c r="J7" s="45"/>
      <c r="S7" s="44"/>
      <c r="V7" s="1" t="s">
        <v>10</v>
      </c>
      <c r="W7" s="104" t="s">
        <v>11</v>
      </c>
      <c r="X7" s="104"/>
      <c r="Y7" s="104"/>
      <c r="Z7" s="104"/>
      <c r="AA7" s="104"/>
    </row>
    <row r="8" spans="1:38" x14ac:dyDescent="0.2">
      <c r="B8" s="4"/>
      <c r="N8" s="102" t="str">
        <f>IF(AND(M6=M10,M6&lt;&gt;""),IF(R6&lt;&gt;R10,"","Shoot off"),"")</f>
        <v/>
      </c>
      <c r="O8" s="102"/>
      <c r="P8" s="102"/>
      <c r="Q8" s="102"/>
      <c r="R8" s="102"/>
      <c r="S8" s="43"/>
      <c r="T8" s="22">
        <f>IF(M10&lt;&gt;"",IF((M6+R6)&gt;(M10+R10),K6,K10),"")</f>
        <v>301969</v>
      </c>
      <c r="U8" s="23">
        <f>IF(M10&lt;&gt;"",IF((M6+R6)&gt;(M10+R10),L6,L10),"")</f>
        <v>0</v>
      </c>
      <c r="V8" s="20">
        <v>7</v>
      </c>
      <c r="W8" s="20"/>
      <c r="X8" s="20"/>
      <c r="Y8" s="20"/>
      <c r="Z8" s="20"/>
      <c r="AA8" s="24">
        <f>W8/100+X8/10000+Y8/1000000+Z8/100000000</f>
        <v>0</v>
      </c>
      <c r="AB8" s="45"/>
    </row>
    <row r="9" spans="1:38" x14ac:dyDescent="0.2">
      <c r="A9" s="1">
        <v>9</v>
      </c>
      <c r="B9" s="18">
        <v>301969</v>
      </c>
      <c r="C9" s="19"/>
      <c r="D9" s="20">
        <v>5</v>
      </c>
      <c r="E9" s="20">
        <v>9</v>
      </c>
      <c r="F9" s="20"/>
      <c r="G9" s="20"/>
      <c r="H9" s="20"/>
      <c r="I9" s="24">
        <f>E9/100+F9/10000+G9/1000000+H9/100000000</f>
        <v>0.09</v>
      </c>
      <c r="J9" s="45"/>
      <c r="S9" s="44"/>
      <c r="AB9" s="44"/>
    </row>
    <row r="10" spans="1:38" x14ac:dyDescent="0.2">
      <c r="B10" s="4"/>
      <c r="E10" s="103" t="str">
        <f>IF(AND(D9=D11,D9&lt;&gt;""),IF(I9&lt;&gt;I11,"","Shoot off"),"")</f>
        <v/>
      </c>
      <c r="F10" s="103"/>
      <c r="G10" s="103"/>
      <c r="H10" s="103"/>
      <c r="I10" s="103"/>
      <c r="J10" s="43"/>
      <c r="K10" s="22">
        <f>IF(D11&lt;&gt;"",IF((D9+I9)&gt;(D11+I11),B9,B11),"")</f>
        <v>301969</v>
      </c>
      <c r="L10" s="23">
        <f>IF(D11&lt;&gt;"",IF((D9+I9)&gt;(D11+I11),C9,C11),"")</f>
        <v>0</v>
      </c>
      <c r="M10" s="20">
        <v>5</v>
      </c>
      <c r="N10" s="20">
        <v>10</v>
      </c>
      <c r="O10" s="20"/>
      <c r="P10" s="20"/>
      <c r="Q10" s="20"/>
      <c r="R10" s="24">
        <f>N10/100+O10/10000+P10/1000000+Q10/100000000</f>
        <v>0.1</v>
      </c>
      <c r="S10" s="45"/>
      <c r="AB10" s="44"/>
    </row>
    <row r="11" spans="1:38" x14ac:dyDescent="0.2">
      <c r="A11" s="1">
        <v>8</v>
      </c>
      <c r="B11" s="18">
        <v>301970</v>
      </c>
      <c r="C11" s="19"/>
      <c r="D11" s="20">
        <v>5</v>
      </c>
      <c r="E11" s="17">
        <v>8</v>
      </c>
      <c r="F11" s="17"/>
      <c r="G11" s="17"/>
      <c r="H11" s="17"/>
      <c r="I11" s="21">
        <f>E11/100+F11/10000+G11/1000000+H11/100000000</f>
        <v>0.08</v>
      </c>
      <c r="J11" s="45"/>
      <c r="AB11" s="44"/>
      <c r="AE11" s="1" t="s">
        <v>10</v>
      </c>
      <c r="AF11" s="105" t="s">
        <v>11</v>
      </c>
      <c r="AG11" s="105"/>
      <c r="AH11" s="105"/>
      <c r="AI11" s="105"/>
      <c r="AJ11" s="105"/>
    </row>
    <row r="12" spans="1:38" x14ac:dyDescent="0.2">
      <c r="W12" s="102" t="str">
        <f>IF(AND(V8=V16,V8&lt;&gt;""),IF(AA8&lt;&gt;AA16,"","Shoot off"),"")</f>
        <v/>
      </c>
      <c r="X12" s="102"/>
      <c r="Y12" s="102"/>
      <c r="Z12" s="102"/>
      <c r="AA12" s="102"/>
      <c r="AB12" s="43"/>
      <c r="AC12" s="22">
        <f>IF(V8&lt;&gt;"",IF((V8+AA8)&gt;(V16+AA16),T8,T16),"")</f>
        <v>301969</v>
      </c>
      <c r="AD12" s="23">
        <f>IF(V16&lt;&gt;"",IF((V8+AA8)&gt;(V16+AA16),U8,U16),"")</f>
        <v>0</v>
      </c>
      <c r="AE12" s="20">
        <v>5</v>
      </c>
      <c r="AF12" s="20">
        <v>8</v>
      </c>
      <c r="AG12" s="20"/>
      <c r="AH12" s="20"/>
      <c r="AI12" s="20"/>
      <c r="AJ12" s="24">
        <f>AF12/100+AG12/10000+AH12/1000000+AI12/100000000</f>
        <v>0.08</v>
      </c>
      <c r="AK12" s="44"/>
    </row>
    <row r="13" spans="1:38" x14ac:dyDescent="0.2">
      <c r="A13" s="1">
        <v>5</v>
      </c>
      <c r="B13" s="18">
        <v>301965</v>
      </c>
      <c r="C13" s="19"/>
      <c r="D13" s="20">
        <v>3</v>
      </c>
      <c r="E13" s="20"/>
      <c r="F13" s="20"/>
      <c r="G13" s="20"/>
      <c r="H13" s="20"/>
      <c r="I13" s="24">
        <f>E13/100+F13/10000+G13/1000000+H13/100000000</f>
        <v>0</v>
      </c>
      <c r="J13" s="45"/>
      <c r="AB13" s="44"/>
      <c r="AK13" s="44"/>
    </row>
    <row r="14" spans="1:38" x14ac:dyDescent="0.2">
      <c r="E14" s="103" t="str">
        <f>IF(AND(D13=D15,D13&lt;&gt;""),IF(I13&lt;&gt;I15,"","Shoot off"),"")</f>
        <v/>
      </c>
      <c r="F14" s="103"/>
      <c r="G14" s="103"/>
      <c r="H14" s="103"/>
      <c r="I14" s="103"/>
      <c r="J14" s="43"/>
      <c r="K14" s="22">
        <f>IF(D15&lt;&gt;"",IF((D13+I13)&gt;(D15+I15),B13,B15),"")</f>
        <v>301973</v>
      </c>
      <c r="L14" s="23">
        <f>IF(D15&lt;&gt;"",IF((D13+I13)&gt;(D15+I15),C13,C15),"")</f>
        <v>0</v>
      </c>
      <c r="M14" s="20">
        <v>3</v>
      </c>
      <c r="N14" s="20"/>
      <c r="O14" s="20"/>
      <c r="P14" s="20"/>
      <c r="Q14" s="20"/>
      <c r="R14" s="24">
        <f>N14/100+O14/10000+P14/1000000+Q14/100000000</f>
        <v>0</v>
      </c>
      <c r="S14" s="45"/>
      <c r="AB14" s="44"/>
      <c r="AK14" s="44"/>
    </row>
    <row r="15" spans="1:38" x14ac:dyDescent="0.2">
      <c r="A15" s="1">
        <v>12</v>
      </c>
      <c r="B15" s="25">
        <v>301973</v>
      </c>
      <c r="C15" s="20"/>
      <c r="D15" s="20">
        <v>7</v>
      </c>
      <c r="E15" s="17"/>
      <c r="F15" s="17"/>
      <c r="G15" s="17"/>
      <c r="H15" s="17"/>
      <c r="I15" s="21">
        <f>E15/100+F15/10000+G15/1000000+H15/100000000</f>
        <v>0</v>
      </c>
      <c r="J15" s="45"/>
      <c r="S15" s="44"/>
      <c r="AB15" s="44"/>
      <c r="AK15" s="44"/>
    </row>
    <row r="16" spans="1:38" x14ac:dyDescent="0.2">
      <c r="N16" s="102" t="str">
        <f>IF(AND(M14=M18,M14&lt;&gt;""),IF(R14&lt;&gt;R18,"","Shoot off"),"")</f>
        <v/>
      </c>
      <c r="O16" s="102"/>
      <c r="P16" s="102"/>
      <c r="Q16" s="102"/>
      <c r="R16" s="102"/>
      <c r="S16" s="43"/>
      <c r="T16" s="22">
        <f>IF(M18&lt;&gt;"",IF((M14+R14)&gt;(M18+R18),K14,K18),"")</f>
        <v>301948</v>
      </c>
      <c r="U16" s="23">
        <f>IF(M18&lt;&gt;"",IF((M14+R14)&gt;(M18+R18),L14,L18),"")</f>
        <v>0</v>
      </c>
      <c r="V16" s="20">
        <v>3</v>
      </c>
      <c r="W16" s="20"/>
      <c r="X16" s="20"/>
      <c r="Y16" s="20"/>
      <c r="Z16" s="20"/>
      <c r="AA16" s="24">
        <f>W16/100+X16/10000+Y16/1000000+Z16/100000000</f>
        <v>0</v>
      </c>
      <c r="AB16" s="45"/>
      <c r="AK16" s="44"/>
    </row>
    <row r="17" spans="1:37" x14ac:dyDescent="0.2">
      <c r="A17" s="1">
        <v>13</v>
      </c>
      <c r="B17" s="25">
        <v>301938</v>
      </c>
      <c r="C17" s="20" t="s">
        <v>49</v>
      </c>
      <c r="D17" s="20">
        <v>0</v>
      </c>
      <c r="E17" s="20"/>
      <c r="F17" s="20"/>
      <c r="G17" s="20"/>
      <c r="H17" s="20"/>
      <c r="I17" s="24">
        <f>E17/100+F17/10000+G17/1000000+H17/100000000</f>
        <v>0</v>
      </c>
      <c r="J17" s="45"/>
      <c r="S17" s="44"/>
      <c r="AK17" s="44"/>
    </row>
    <row r="18" spans="1:37" x14ac:dyDescent="0.2">
      <c r="E18" s="103" t="str">
        <f>IF(AND(D17=D19,D17&lt;&gt;""),IF(I17&lt;&gt;I19,"","Shoot off"),"")</f>
        <v/>
      </c>
      <c r="F18" s="103"/>
      <c r="G18" s="103"/>
      <c r="H18" s="103"/>
      <c r="I18" s="103"/>
      <c r="J18" s="43"/>
      <c r="K18" s="22">
        <f>IF(D19&lt;&gt;"",IF((D17+I17)&gt;(D19+I19),B17,B19),"")</f>
        <v>301948</v>
      </c>
      <c r="L18" s="23">
        <f>IF(D19&lt;&gt;"",IF((D17+I17)&gt;(D19+I19),C17,C19),"")</f>
        <v>0</v>
      </c>
      <c r="M18" s="20">
        <v>7</v>
      </c>
      <c r="N18" s="20"/>
      <c r="O18" s="20"/>
      <c r="P18" s="20"/>
      <c r="Q18" s="20"/>
      <c r="R18" s="24">
        <f>N18/100+O18/10000+P18/1000000+Q18/100000000</f>
        <v>0</v>
      </c>
      <c r="S18" s="45"/>
      <c r="AK18" s="44"/>
    </row>
    <row r="19" spans="1:37" x14ac:dyDescent="0.2">
      <c r="A19" s="1">
        <v>4</v>
      </c>
      <c r="B19" s="18">
        <v>301948</v>
      </c>
      <c r="C19" s="19"/>
      <c r="D19" s="20">
        <v>6</v>
      </c>
      <c r="E19" s="17"/>
      <c r="F19" s="17"/>
      <c r="G19" s="17"/>
      <c r="H19" s="17"/>
      <c r="I19" s="21">
        <f>E19/100+F19/10000+G19/1000000+H19/100000000</f>
        <v>0</v>
      </c>
      <c r="J19" s="45"/>
      <c r="AK19" s="44"/>
    </row>
    <row r="20" spans="1:37" x14ac:dyDescent="0.2">
      <c r="AK20" s="44"/>
    </row>
    <row r="21" spans="1:37" x14ac:dyDescent="0.2">
      <c r="AK21" s="44"/>
    </row>
    <row r="22" spans="1:37" x14ac:dyDescent="0.2">
      <c r="AC22" s="22">
        <f>IF(AE12&lt;&gt;"",IF((AE12+AJ12)&gt;(AE31+AJ31),AC12,AC31),"")</f>
        <v>301954</v>
      </c>
      <c r="AD22" s="23">
        <f>IF(AE12&lt;&gt;"",IF((AE12+AJ12)&gt;(AE31+AJ31),AD12,AD31),"")</f>
        <v>0</v>
      </c>
      <c r="AE22" s="20" t="str">
        <f>IF(AD22 &lt;&gt; "", "WINNAAR", "")</f>
        <v>WINNAAR</v>
      </c>
      <c r="AF22" s="20"/>
      <c r="AG22" s="20"/>
      <c r="AH22" s="20"/>
      <c r="AI22" s="20"/>
      <c r="AJ22" s="28"/>
      <c r="AK22" s="44"/>
    </row>
    <row r="23" spans="1:37" x14ac:dyDescent="0.2">
      <c r="D23" s="1" t="s">
        <v>10</v>
      </c>
      <c r="E23" s="104" t="s">
        <v>7</v>
      </c>
      <c r="F23" s="104"/>
      <c r="G23" s="104"/>
      <c r="H23" s="104"/>
      <c r="I23" s="104"/>
      <c r="W23" s="105"/>
      <c r="X23" s="105"/>
      <c r="Y23" s="105"/>
      <c r="Z23" s="105"/>
      <c r="AA23" s="105"/>
      <c r="AK23" s="44"/>
    </row>
    <row r="24" spans="1:37" x14ac:dyDescent="0.2">
      <c r="A24" s="1">
        <v>3</v>
      </c>
      <c r="B24" s="18">
        <v>301964</v>
      </c>
      <c r="C24" s="19"/>
      <c r="D24" s="20">
        <v>7</v>
      </c>
      <c r="E24" s="17"/>
      <c r="F24" s="17"/>
      <c r="G24" s="17"/>
      <c r="H24" s="17"/>
      <c r="I24" s="21">
        <f>E24/100+F24/10000+G24/1000000+H24/100000000</f>
        <v>0</v>
      </c>
      <c r="J24" s="45"/>
      <c r="M24" s="1" t="s">
        <v>10</v>
      </c>
      <c r="N24" s="105" t="s">
        <v>11</v>
      </c>
      <c r="O24" s="105"/>
      <c r="P24" s="105"/>
      <c r="Q24" s="105"/>
      <c r="R24" s="105"/>
      <c r="AK24" s="44"/>
    </row>
    <row r="25" spans="1:37" x14ac:dyDescent="0.2">
      <c r="B25" s="4"/>
      <c r="E25" s="103" t="str">
        <f>IF(AND(D24=D26,D24&lt;&gt;""),IF(I24&lt;&gt;I26,"","Shoot off"),"")</f>
        <v/>
      </c>
      <c r="F25" s="103"/>
      <c r="G25" s="103"/>
      <c r="H25" s="103"/>
      <c r="I25" s="103"/>
      <c r="J25" s="43"/>
      <c r="K25" s="22">
        <f>IF(D26&lt;&gt;"",IF((D24+I24)&gt;(D26+I26),B24,B26),"")</f>
        <v>301964</v>
      </c>
      <c r="L25" s="23">
        <f>IF(D26&lt;&gt;"",IF((D24+I24)&gt;(D26+I26),C24,C26),"")</f>
        <v>0</v>
      </c>
      <c r="M25" s="20">
        <v>4</v>
      </c>
      <c r="N25" s="20"/>
      <c r="O25" s="20"/>
      <c r="P25" s="20"/>
      <c r="Q25" s="20"/>
      <c r="R25" s="24">
        <f>N25/100+O25/10000+P25/1000000+Q25/100000000</f>
        <v>0</v>
      </c>
      <c r="S25" s="45"/>
      <c r="AK25" s="44"/>
    </row>
    <row r="26" spans="1:37" x14ac:dyDescent="0.2">
      <c r="A26" s="1">
        <v>14</v>
      </c>
      <c r="B26" s="25">
        <v>301951</v>
      </c>
      <c r="C26" s="20"/>
      <c r="D26" s="20">
        <v>3</v>
      </c>
      <c r="E26" s="17"/>
      <c r="F26" s="17"/>
      <c r="G26" s="17"/>
      <c r="H26" s="17"/>
      <c r="I26" s="21">
        <f>E26/100+F26/10000+G26/1000000+H26/100000000</f>
        <v>0</v>
      </c>
      <c r="J26" s="45"/>
      <c r="S26" s="44"/>
      <c r="V26" s="1" t="s">
        <v>10</v>
      </c>
      <c r="W26" s="105" t="s">
        <v>11</v>
      </c>
      <c r="X26" s="105"/>
      <c r="Y26" s="105"/>
      <c r="Z26" s="105"/>
      <c r="AA26" s="105"/>
      <c r="AK26" s="44"/>
    </row>
    <row r="27" spans="1:37" x14ac:dyDescent="0.2">
      <c r="B27" s="4"/>
      <c r="N27" s="102" t="str">
        <f>IF(AND(M25=M29,M25&lt;&gt;""),IF(R25&lt;&gt;R29,"","Shoot off"),"")</f>
        <v/>
      </c>
      <c r="O27" s="102"/>
      <c r="P27" s="102"/>
      <c r="Q27" s="102"/>
      <c r="R27" s="102"/>
      <c r="S27" s="43"/>
      <c r="T27" s="22">
        <f>IF(M29&lt;&gt;"",IF((M25+R25)&gt;(M29+R29),K25,K29),"")</f>
        <v>301954</v>
      </c>
      <c r="U27" s="23">
        <f>IF(M29&lt;&gt;"",IF((M25+R25)&gt;(M29+R29),L25,L29),"")</f>
        <v>0</v>
      </c>
      <c r="V27" s="20">
        <v>5</v>
      </c>
      <c r="W27" s="20">
        <v>9.1999999999999993</v>
      </c>
      <c r="X27" s="20"/>
      <c r="Y27" s="20"/>
      <c r="Z27" s="20"/>
      <c r="AA27" s="24">
        <f>W27/100+X27/10000+Y27/1000000+Z27/100000000</f>
        <v>9.1999999999999998E-2</v>
      </c>
      <c r="AB27" s="45"/>
      <c r="AK27" s="44"/>
    </row>
    <row r="28" spans="1:37" x14ac:dyDescent="0.2">
      <c r="A28" s="1">
        <v>11</v>
      </c>
      <c r="B28" s="18">
        <v>301954</v>
      </c>
      <c r="C28" s="19"/>
      <c r="D28" s="20">
        <v>6</v>
      </c>
      <c r="E28" s="20"/>
      <c r="F28" s="20"/>
      <c r="G28" s="20"/>
      <c r="H28" s="20"/>
      <c r="I28" s="24">
        <f>E28/100+F28/10000+G28/1000000+H28/100000000</f>
        <v>0</v>
      </c>
      <c r="J28" s="45"/>
      <c r="S28" s="44"/>
      <c r="AB28" s="44"/>
      <c r="AK28" s="44"/>
    </row>
    <row r="29" spans="1:37" x14ac:dyDescent="0.2">
      <c r="B29" s="4"/>
      <c r="E29" s="103" t="str">
        <f>IF(AND(D28=D30,D28&lt;&gt;""),IF(I28&lt;&gt;I30,"","Shoot off"),"")</f>
        <v/>
      </c>
      <c r="F29" s="103"/>
      <c r="G29" s="103"/>
      <c r="H29" s="103"/>
      <c r="I29" s="103"/>
      <c r="J29" s="43"/>
      <c r="K29" s="22">
        <f>IF(D30&lt;&gt;"",IF((D28+I28)&gt;(D30+I30),B28,B30),"")</f>
        <v>301954</v>
      </c>
      <c r="L29" s="23">
        <f>IF(D30&lt;&gt;"",IF((D28+I28)&gt;(D30+I30),C28,C30),"")</f>
        <v>0</v>
      </c>
      <c r="M29" s="20">
        <v>6</v>
      </c>
      <c r="N29" s="20"/>
      <c r="O29" s="20"/>
      <c r="P29" s="20"/>
      <c r="Q29" s="20"/>
      <c r="R29" s="24">
        <f>N29/100+O29/10000+P29/1000000+Q29/100000000</f>
        <v>0</v>
      </c>
      <c r="S29" s="45"/>
      <c r="AB29" s="44"/>
      <c r="AK29" s="44"/>
    </row>
    <row r="30" spans="1:37" x14ac:dyDescent="0.2">
      <c r="A30" s="1">
        <v>6</v>
      </c>
      <c r="B30" s="18">
        <v>301967</v>
      </c>
      <c r="C30" s="19"/>
      <c r="D30" s="20">
        <v>4</v>
      </c>
      <c r="E30" s="17"/>
      <c r="F30" s="17"/>
      <c r="G30" s="17"/>
      <c r="H30" s="17"/>
      <c r="I30" s="21">
        <f>E30/100+F30/10000+G30/1000000+H30/100000000</f>
        <v>0</v>
      </c>
      <c r="J30" s="45"/>
      <c r="AB30" s="44"/>
      <c r="AE30" s="1" t="s">
        <v>10</v>
      </c>
      <c r="AF30" s="105" t="s">
        <v>11</v>
      </c>
      <c r="AG30" s="105"/>
      <c r="AH30" s="105"/>
      <c r="AI30" s="105"/>
      <c r="AJ30" s="105"/>
      <c r="AK30" s="44"/>
    </row>
    <row r="31" spans="1:37" x14ac:dyDescent="0.2">
      <c r="W31" s="102" t="str">
        <f>IF(AND(V27=V35,V27&lt;&gt;""),IF(AA27&lt;&gt;AA35,"","Shoot off"),"")</f>
        <v/>
      </c>
      <c r="X31" s="102"/>
      <c r="Y31" s="102"/>
      <c r="Z31" s="102"/>
      <c r="AA31" s="102"/>
      <c r="AB31" s="43"/>
      <c r="AC31" s="22">
        <f>IF(V35&lt;&gt;"",IF((V27+AA27)&gt;(V35+AA35),T27,T35),"")</f>
        <v>301954</v>
      </c>
      <c r="AD31" s="23">
        <f>IF(V35&lt;&gt;"",IF((V27+AA27)&gt;(V35+AA35),U27,U35),"")</f>
        <v>0</v>
      </c>
      <c r="AE31" s="20">
        <v>5</v>
      </c>
      <c r="AF31" s="20">
        <v>9</v>
      </c>
      <c r="AG31" s="20"/>
      <c r="AH31" s="20"/>
      <c r="AI31" s="20"/>
      <c r="AJ31" s="24">
        <f>AF31/100+AG31/10000+AH31/1000000+AI31/100000000</f>
        <v>0.09</v>
      </c>
      <c r="AK31" s="44"/>
    </row>
    <row r="32" spans="1:37" x14ac:dyDescent="0.2">
      <c r="A32" s="1">
        <v>7</v>
      </c>
      <c r="B32" s="18">
        <v>301946</v>
      </c>
      <c r="C32" s="19" t="s">
        <v>50</v>
      </c>
      <c r="D32" s="20">
        <v>6</v>
      </c>
      <c r="E32" s="20"/>
      <c r="F32" s="20"/>
      <c r="G32" s="20"/>
      <c r="H32" s="20"/>
      <c r="I32" s="24">
        <f>E32/100+F32/10000+G32/1000000+H32/100000000</f>
        <v>0</v>
      </c>
      <c r="J32" s="45"/>
      <c r="AB32" s="44"/>
    </row>
    <row r="33" spans="1:28" x14ac:dyDescent="0.2">
      <c r="E33" s="103" t="str">
        <f>IF(AND(D32=D34,D32&lt;&gt;""),IF(I32&lt;&gt;I34,"","Shoot off"),"")</f>
        <v/>
      </c>
      <c r="F33" s="103"/>
      <c r="G33" s="103"/>
      <c r="H33" s="103"/>
      <c r="I33" s="103"/>
      <c r="J33" s="43"/>
      <c r="K33" s="22">
        <f>IF(D34&lt;&gt;"",IF((D32+I32)&gt;(D34+I34),B32,B34),"")</f>
        <v>301946</v>
      </c>
      <c r="L33" s="23" t="str">
        <f>IF(D34&lt;&gt;"",IF((D32+I32)&gt;(D34+I34),C32,C34),"")</f>
        <v>Ook compound</v>
      </c>
      <c r="M33" s="20">
        <v>5</v>
      </c>
      <c r="N33" s="20">
        <v>10</v>
      </c>
      <c r="O33" s="20"/>
      <c r="P33" s="20"/>
      <c r="Q33" s="20"/>
      <c r="R33" s="24">
        <f>N33/100+O33/10000+P33/1000000+Q33/100000000</f>
        <v>0.1</v>
      </c>
      <c r="S33" s="45"/>
      <c r="AB33" s="44"/>
    </row>
    <row r="34" spans="1:28" x14ac:dyDescent="0.2">
      <c r="A34" s="1">
        <v>10</v>
      </c>
      <c r="B34" s="25">
        <v>301980</v>
      </c>
      <c r="C34" s="20"/>
      <c r="D34" s="20">
        <v>4</v>
      </c>
      <c r="E34" s="17"/>
      <c r="F34" s="17"/>
      <c r="G34" s="17"/>
      <c r="H34" s="17"/>
      <c r="I34" s="21">
        <f>E34/100+F34/10000+G34/1000000+H34/100000000</f>
        <v>0</v>
      </c>
      <c r="J34" s="45"/>
      <c r="S34" s="44"/>
      <c r="AB34" s="44"/>
    </row>
    <row r="35" spans="1:28" x14ac:dyDescent="0.2">
      <c r="N35" s="102" t="str">
        <f>IF(AND(M33=M37,M33&lt;&gt;""),IF(R33&lt;&gt;R37,"","Shoot off"),"")</f>
        <v/>
      </c>
      <c r="O35" s="102"/>
      <c r="P35" s="102"/>
      <c r="Q35" s="102"/>
      <c r="R35" s="102"/>
      <c r="S35" s="43"/>
      <c r="T35" s="22">
        <f>IF(M37&lt;&gt;"",IF((M33+R33)&gt;(M37+R37),K33,K37),"")</f>
        <v>301962</v>
      </c>
      <c r="U35" s="23">
        <f>IF(M37&lt;&gt;"",IF((M33+R33)&gt;(M37+R37),L33,L37),"")</f>
        <v>0</v>
      </c>
      <c r="V35" s="20">
        <v>5</v>
      </c>
      <c r="W35" s="20">
        <v>9.1</v>
      </c>
      <c r="X35" s="20"/>
      <c r="Y35" s="20"/>
      <c r="Z35" s="20"/>
      <c r="AA35" s="24">
        <f>W35/100+X35/10000+Y35/1000000+Z35/100000000</f>
        <v>9.0999999999999998E-2</v>
      </c>
      <c r="AB35" s="45"/>
    </row>
    <row r="36" spans="1:28" x14ac:dyDescent="0.2">
      <c r="A36" s="1">
        <v>15</v>
      </c>
      <c r="B36" s="25">
        <v>301957</v>
      </c>
      <c r="C36" s="20"/>
      <c r="D36" s="20">
        <v>5</v>
      </c>
      <c r="E36" s="20">
        <v>10</v>
      </c>
      <c r="F36" s="20"/>
      <c r="G36" s="20"/>
      <c r="H36" s="20"/>
      <c r="I36" s="24">
        <f>E36/100+F36/10000+G36/1000000+H36/100000000</f>
        <v>0.1</v>
      </c>
      <c r="J36" s="45"/>
      <c r="S36" s="44"/>
    </row>
    <row r="37" spans="1:28" x14ac:dyDescent="0.2">
      <c r="E37" s="103" t="str">
        <f>IF(AND(D36=D38,D36&lt;&gt;""),IF(I36&lt;&gt;I38,"","Shoot off"),"")</f>
        <v/>
      </c>
      <c r="F37" s="103"/>
      <c r="G37" s="103"/>
      <c r="H37" s="103"/>
      <c r="I37" s="103"/>
      <c r="J37" s="43"/>
      <c r="K37" s="22">
        <f>IF(D38&lt;&gt;"",IF((D36+I36)&gt;(D38+I38),B36,B38),"")</f>
        <v>301962</v>
      </c>
      <c r="L37" s="23">
        <f>IF(D38&lt;&gt;"",IF((D36+I36)&gt;(D38+I38),C36,C38),"")</f>
        <v>0</v>
      </c>
      <c r="M37" s="20">
        <v>5</v>
      </c>
      <c r="N37" s="20">
        <v>10.1</v>
      </c>
      <c r="O37" s="20"/>
      <c r="P37" s="20"/>
      <c r="Q37" s="20"/>
      <c r="R37" s="24">
        <f>N37/100+O37/10000+P37/1000000+Q37/100000000</f>
        <v>0.10099999999999999</v>
      </c>
      <c r="S37" s="45"/>
    </row>
    <row r="38" spans="1:28" x14ac:dyDescent="0.2">
      <c r="A38" s="1">
        <v>2</v>
      </c>
      <c r="B38" s="18">
        <v>301962</v>
      </c>
      <c r="C38" s="19"/>
      <c r="D38" s="20">
        <v>5</v>
      </c>
      <c r="E38" s="17">
        <v>10.1</v>
      </c>
      <c r="F38" s="17"/>
      <c r="G38" s="17"/>
      <c r="H38" s="17"/>
      <c r="I38" s="21">
        <f>E38/100+F38/10000+G38/1000000+H38/100000000</f>
        <v>0.10099999999999999</v>
      </c>
      <c r="J38" s="45"/>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7"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2023-01-22T09:38:33Z</cp:lastPrinted>
  <dcterms:created xsi:type="dcterms:W3CDTF">2000-03-31T19:47:32Z</dcterms:created>
  <dcterms:modified xsi:type="dcterms:W3CDTF">2023-01-22T11:43:37Z</dcterms:modified>
</cp:coreProperties>
</file>