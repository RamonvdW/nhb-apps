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10AFD859-D546-44AD-A4DC-DD471D6C8F05}" xr6:coauthVersionLast="47" xr6:coauthVersionMax="47" xr10:uidLastSave="{00000000-0000-0000-0000-000000000000}"/>
  <bookViews>
    <workbookView xWindow="-120" yWindow="-120" windowWidth="29040" windowHeight="15840" activeTab="1" xr2:uid="{00000000-000D-0000-FFFF-FFFF00000000}"/>
  </bookViews>
  <sheets>
    <sheet name="Uitleg" sheetId="1" r:id="rId1"/>
    <sheet name="Wedstrijd" sheetId="2" r:id="rId2"/>
  </sheets>
  <calcPr calcId="191029"/>
</workbook>
</file>

<file path=xl/calcChain.xml><?xml version="1.0" encoding="utf-8"?>
<calcChain xmlns="http://schemas.openxmlformats.org/spreadsheetml/2006/main">
  <c r="L22" i="2" l="1"/>
  <c r="L21" i="2"/>
  <c r="S10" i="2"/>
  <c r="L10" i="2"/>
  <c r="L8" i="2"/>
  <c r="S33" i="2"/>
  <c r="L33" i="2"/>
  <c r="S32" i="2"/>
  <c r="L32" i="2"/>
  <c r="S31" i="2"/>
  <c r="L31" i="2"/>
  <c r="S30" i="2"/>
  <c r="L30" i="2"/>
  <c r="S29" i="2"/>
  <c r="L29" i="2"/>
  <c r="S28" i="2"/>
  <c r="L28" i="2"/>
  <c r="S27" i="2"/>
  <c r="L27" i="2"/>
  <c r="S26" i="2"/>
  <c r="L26" i="2"/>
  <c r="S25" i="2"/>
  <c r="L25" i="2"/>
  <c r="S24" i="2"/>
  <c r="L24" i="2"/>
  <c r="S23" i="2"/>
  <c r="L23" i="2"/>
  <c r="S22" i="2"/>
  <c r="S21" i="2"/>
  <c r="S20" i="2"/>
  <c r="L20" i="2"/>
  <c r="S19" i="2"/>
  <c r="L19" i="2"/>
  <c r="S9" i="2"/>
  <c r="L9" i="2"/>
  <c r="S18" i="2"/>
  <c r="S12" i="2"/>
  <c r="L12" i="2"/>
  <c r="S13" i="2"/>
  <c r="L13" i="2"/>
  <c r="S7" i="2"/>
  <c r="S17" i="2"/>
  <c r="S11" i="2"/>
  <c r="L11" i="2"/>
  <c r="S16" i="2"/>
  <c r="S15" i="2"/>
  <c r="L15" i="2"/>
</calcChain>
</file>

<file path=xl/sharedStrings.xml><?xml version="1.0" encoding="utf-8"?>
<sst xmlns="http://schemas.openxmlformats.org/spreadsheetml/2006/main" count="124" uniqueCount="63">
  <si>
    <t>Algemeen</t>
  </si>
  <si>
    <t>Het excel werkboek is ingevuld opgehaald uit MijnHandboogsport met elke wedstrijdklasse in een apart bestand. Aan het einde van het RK moet het ingevulde bestand naar het bondsbureau gestuurd worden (zie email onderaan).</t>
  </si>
  <si>
    <t>Invoeren</t>
  </si>
  <si>
    <t>Er zijn twee instellingen die gewijzigd kunnen worden voor de sorteervolgorde tijdens het afdrukken van de uitnodigingslijst.</t>
  </si>
  <si>
    <t>Als alle scores zijn ingevoerd druk je op de knop afdrukken (ook na de eerste 25 pijlen) de schutters worden gesorteerd en afgedrukt. Tip : Baannummers kunnen worden gebruikt door in kolom A de nummers en in B de letters in te voeren en op deze kolom te sorteren met de knop &lt;Sorteren op baan&gt;. Deze kolom wordt niet afgedrukt.</t>
  </si>
  <si>
    <t>Bepaal uitslag</t>
  </si>
  <si>
    <t>Als de scores zijn ingevoerd kan er een uitslag vastgesteld worden door op de knop &lt;Bepaal uitslag&gt; te drukken. Als er gelijke totalen zijn dan wordt er gevraagd het aantal tienen, negens en achten te tellen en in te voeren. Hiervan krijg je een melding en de betreffende schutters worden Rood gemaakt. Na invoer in de daarvoor bestemde kolommen kan je opnieuw op de knop drukken.</t>
  </si>
  <si>
    <t>E-mail bondsbureau: info@handboogsport.nl</t>
  </si>
  <si>
    <t>Instellingen</t>
  </si>
  <si>
    <t xml:space="preserve">Uitnodigingslijst sorteren op </t>
  </si>
  <si>
    <t>Vereniging (Ja/Nee)</t>
  </si>
  <si>
    <t>Nee</t>
  </si>
  <si>
    <t>Regio score (Ja/Nee)</t>
  </si>
  <si>
    <t>Ja</t>
  </si>
  <si>
    <t>Rayonkampioenschappen 25m 1pijl competitie 2021/2022, Rayon 2, Compound klasse 2</t>
  </si>
  <si>
    <t>Datum: 2022-04-24</t>
  </si>
  <si>
    <t>Adres:</t>
  </si>
  <si>
    <t>Baan</t>
  </si>
  <si>
    <t>Bondsnr</t>
  </si>
  <si>
    <t>Naam</t>
  </si>
  <si>
    <t>Vereniging</t>
  </si>
  <si>
    <t>Regio</t>
  </si>
  <si>
    <t>Deelname</t>
  </si>
  <si>
    <t>Regio gem.</t>
  </si>
  <si>
    <t>1e</t>
  </si>
  <si>
    <t>2e</t>
  </si>
  <si>
    <t>Tot</t>
  </si>
  <si>
    <t>#10</t>
  </si>
  <si>
    <t>#9</t>
  </si>
  <si>
    <t>#8</t>
  </si>
  <si>
    <t>Rayon Kamp</t>
  </si>
  <si>
    <t>A</t>
  </si>
  <si>
    <t>Onbekend</t>
  </si>
  <si>
    <t>Bevestigd</t>
  </si>
  <si>
    <t>1060 Alliance d'Amitié</t>
  </si>
  <si>
    <t>Deze gegevens zijn opgehaald op 2022-04-25 15:36:17</t>
  </si>
  <si>
    <t>Afgemeld en reserven:</t>
  </si>
  <si>
    <t>Piet Hogerwerf</t>
  </si>
  <si>
    <t>1329 HBC Doelgericht</t>
  </si>
  <si>
    <t>Afgemeld</t>
  </si>
  <si>
    <t>Erwin Lavrijsen</t>
  </si>
  <si>
    <t>1128 Taxandriers</t>
  </si>
  <si>
    <t>Job Kramer</t>
  </si>
  <si>
    <t>1120 Oefening en Uitspanning</t>
  </si>
  <si>
    <t>Rene de Wit</t>
  </si>
  <si>
    <t>Rob van Meetelen</t>
  </si>
  <si>
    <t>Jac van Hoof</t>
  </si>
  <si>
    <t>Kim Vromans</t>
  </si>
  <si>
    <t>1034 Sint Sebastiaan</t>
  </si>
  <si>
    <t>Peter Spooren</t>
  </si>
  <si>
    <t>Ad Hermans</t>
  </si>
  <si>
    <t>Ferdy Lie Kwie</t>
  </si>
  <si>
    <t>1065 HBV Nimrod</t>
  </si>
  <si>
    <t>Sporter test</t>
  </si>
  <si>
    <t>Dorpsstraat 5
Sportdorp</t>
  </si>
  <si>
    <t>Vereniging test</t>
  </si>
  <si>
    <t>B</t>
  </si>
  <si>
    <t>Geen RK deelnemer</t>
  </si>
  <si>
    <t>Sporter test multiboog</t>
  </si>
  <si>
    <t>bad</t>
  </si>
  <si>
    <t>na</t>
  </si>
  <si>
    <t>Twee klasse met Junioren:</t>
  </si>
  <si>
    <t>4091 Vereniging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</si>
</sst>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9" x14ac:knownFonts="1">
    <font>
      <sz val="10"/>
      <name val="Arial"/>
    </font>
    <font>
      <sz val="10"/>
      <name val="Arial"/>
      <family val="2"/>
    </font>
    <font>
      <b/>
      <u/>
      <sz val="10"/>
      <name val="Arial"/>
      <family val="2"/>
    </font>
    <font>
      <sz val="10"/>
      <name val="Arial"/>
      <family val="2"/>
    </font>
    <font>
      <sz val="14"/>
      <name val="Arial"/>
      <family val="2"/>
    </font>
    <font>
      <sz val="10"/>
      <color indexed="22"/>
      <name val="Arial"/>
      <family val="2"/>
    </font>
    <font>
      <b/>
      <sz val="10"/>
      <name val="Arial"/>
      <family val="2"/>
    </font>
    <font>
      <sz val="10"/>
      <color rgb="FF000000"/>
      <name val="Arial"/>
      <family val="2"/>
    </font>
    <font>
      <sz val="11"/>
      <name val="Arial"/>
      <family val="2"/>
    </font>
  </fonts>
  <fills count="3">
    <fill>
      <patternFill patternType="none"/>
    </fill>
    <fill>
      <patternFill patternType="gray125"/>
    </fill>
    <fill>
      <patternFill patternType="solid">
        <fgColor indexed="22"/>
        <bgColor indexed="64"/>
      </patternFill>
    </fill>
  </fills>
  <borders count="11">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8"/>
      </bottom>
      <diagonal/>
    </border>
    <border>
      <left/>
      <right/>
      <top/>
      <bottom style="medium">
        <color indexed="8"/>
      </bottom>
      <diagonal/>
    </border>
    <border>
      <left/>
      <right style="medium">
        <color indexed="64"/>
      </right>
      <top/>
      <bottom style="medium">
        <color indexed="8"/>
      </bottom>
      <diagonal/>
    </border>
    <border>
      <left style="medium">
        <color indexed="64"/>
      </left>
      <right style="medium">
        <color indexed="64"/>
      </right>
      <top style="medium">
        <color indexed="64"/>
      </top>
      <bottom style="medium">
        <color indexed="8"/>
      </bottom>
      <diagonal/>
    </border>
    <border>
      <left style="medium">
        <color indexed="64"/>
      </left>
      <right/>
      <top style="medium">
        <color indexed="64"/>
      </top>
      <bottom style="medium">
        <color indexed="8"/>
      </bottom>
      <diagonal/>
    </border>
  </borders>
  <cellStyleXfs count="1">
    <xf numFmtId="0" fontId="0" fillId="0" borderId="0"/>
  </cellStyleXfs>
  <cellXfs count="55">
    <xf numFmtId="0" fontId="0" fillId="0" borderId="0" xfId="0"/>
    <xf numFmtId="0" fontId="0" fillId="0" borderId="0" xfId="0" applyProtection="1">
      <protection locked="0"/>
    </xf>
    <xf numFmtId="0" fontId="2" fillId="0" borderId="0" xfId="0" applyFont="1" applyAlignment="1">
      <alignment wrapText="1"/>
    </xf>
    <xf numFmtId="0" fontId="0" fillId="0" borderId="0" xfId="0" applyAlignment="1">
      <alignment wrapText="1"/>
    </xf>
    <xf numFmtId="0" fontId="3" fillId="0" borderId="0" xfId="0" applyFont="1" applyProtection="1">
      <protection locked="0"/>
    </xf>
    <xf numFmtId="0" fontId="3" fillId="0" borderId="0" xfId="0" applyFont="1" applyProtection="1">
      <protection hidden="1"/>
    </xf>
    <xf numFmtId="0" fontId="0" fillId="0" borderId="0" xfId="0" applyProtection="1">
      <protection hidden="1"/>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5"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4" fillId="2" borderId="0" xfId="0" applyFont="1" applyFill="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6" fillId="0" borderId="0" xfId="0" applyFont="1" applyAlignment="1">
      <alignment wrapText="1"/>
    </xf>
    <xf numFmtId="0" fontId="6" fillId="0" borderId="0" xfId="0" applyFont="1" applyProtection="1">
      <protection locked="0"/>
    </xf>
    <xf numFmtId="0" fontId="0" fillId="0" borderId="0" xfId="0" applyAlignment="1" applyProtection="1">
      <alignment horizontal="center"/>
      <protection locked="0"/>
    </xf>
    <xf numFmtId="0" fontId="1" fillId="0" borderId="0" xfId="0" applyFont="1" applyAlignment="1">
      <alignment wrapText="1"/>
    </xf>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8" fillId="0" borderId="0" xfId="0" applyFont="1" applyAlignment="1" applyProtection="1">
      <alignment horizontal="right" vertical="center"/>
      <protection locked="0"/>
    </xf>
    <xf numFmtId="0" fontId="8" fillId="0" borderId="0" xfId="0" applyFont="1" applyAlignment="1" applyProtection="1">
      <alignment vertical="center"/>
      <protection locked="0"/>
    </xf>
    <xf numFmtId="164" fontId="8" fillId="0" borderId="0" xfId="0" applyNumberFormat="1" applyFont="1" applyAlignment="1" applyProtection="1">
      <alignment vertical="center" wrapText="1"/>
      <protection locked="0"/>
    </xf>
    <xf numFmtId="0" fontId="1" fillId="0" borderId="0" xfId="0" applyFont="1" applyAlignment="1">
      <alignment horizontal="left"/>
    </xf>
    <xf numFmtId="0" fontId="1" fillId="0" borderId="0" xfId="0" applyFont="1"/>
    <xf numFmtId="0" fontId="1" fillId="0" borderId="0" xfId="0" applyFont="1" applyProtection="1">
      <protection locked="0"/>
    </xf>
    <xf numFmtId="0" fontId="1" fillId="0" borderId="0" xfId="0" applyFont="1" applyAlignment="1">
      <alignment horizontal="center"/>
    </xf>
    <xf numFmtId="164" fontId="1" fillId="0" borderId="0" xfId="0" applyNumberFormat="1" applyFont="1"/>
    <xf numFmtId="0" fontId="1" fillId="2" borderId="0" xfId="0" applyFont="1" applyFill="1" applyAlignment="1" applyProtection="1">
      <alignment horizontal="center"/>
      <protection locked="0"/>
    </xf>
    <xf numFmtId="0" fontId="0" fillId="2" borderId="0" xfId="0" applyFill="1" applyProtection="1">
      <protection locked="0"/>
    </xf>
    <xf numFmtId="0" fontId="0" fillId="2" borderId="0" xfId="0" applyFill="1" applyAlignment="1" applyProtection="1">
      <alignment horizontal="center"/>
      <protection locked="0"/>
    </xf>
    <xf numFmtId="0" fontId="0" fillId="0" borderId="0" xfId="0" applyAlignment="1">
      <alignment horizontal="right"/>
    </xf>
    <xf numFmtId="0" fontId="4" fillId="2" borderId="0" xfId="0" applyFont="1" applyFill="1" applyAlignment="1" applyProtection="1">
      <alignment horizontal="right"/>
      <protection locked="0"/>
    </xf>
    <xf numFmtId="164" fontId="8" fillId="0" borderId="0" xfId="0" applyNumberFormat="1" applyFont="1" applyAlignment="1" applyProtection="1">
      <alignment horizontal="right" vertical="center" wrapText="1"/>
      <protection locked="0"/>
    </xf>
    <xf numFmtId="0" fontId="1" fillId="2" borderId="0" xfId="0" applyFont="1" applyFill="1" applyAlignment="1" applyProtection="1">
      <alignment horizontal="right"/>
      <protection locked="0"/>
    </xf>
    <xf numFmtId="0" fontId="1" fillId="0" borderId="0" xfId="0" applyFont="1" applyAlignment="1">
      <alignment horizontal="right"/>
    </xf>
    <xf numFmtId="0" fontId="0" fillId="0" borderId="0" xfId="0" applyAlignment="1" applyProtection="1">
      <alignment horizontal="right"/>
      <protection locked="0"/>
    </xf>
    <xf numFmtId="164" fontId="3" fillId="0" borderId="0" xfId="0" applyNumberFormat="1" applyFont="1"/>
    <xf numFmtId="0" fontId="0" fillId="2" borderId="0" xfId="0" applyFill="1" applyAlignment="1" applyProtection="1">
      <alignment horizontal="center"/>
      <protection locked="0"/>
    </xf>
    <xf numFmtId="0" fontId="0" fillId="0" borderId="0" xfId="0" applyProtection="1">
      <protection locked="0"/>
    </xf>
    <xf numFmtId="0" fontId="0" fillId="0" borderId="9" xfId="0" applyBorder="1" applyAlignment="1" applyProtection="1">
      <alignment horizontal="center" vertical="center"/>
      <protection locked="0"/>
    </xf>
    <xf numFmtId="0" fontId="0" fillId="0" borderId="1"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Protection="1">
      <protection locked="0"/>
    </xf>
    <xf numFmtId="0" fontId="0" fillId="0" borderId="10" xfId="0" applyBorder="1" applyAlignment="1" applyProtection="1">
      <alignment horizontal="center" vertical="center"/>
      <protection locked="0"/>
    </xf>
    <xf numFmtId="0" fontId="8" fillId="0" borderId="0" xfId="0" applyFont="1" applyAlignment="1" applyProtection="1">
      <alignment horizontal="left" vertical="center"/>
      <protection locked="0"/>
    </xf>
    <xf numFmtId="164" fontId="8" fillId="0" borderId="0" xfId="0" applyNumberFormat="1" applyFont="1" applyAlignment="1" applyProtection="1">
      <alignment horizontal="left" vertical="center" wrapText="1"/>
      <protection locked="0"/>
    </xf>
    <xf numFmtId="0" fontId="4" fillId="2" borderId="0" xfId="0" applyFont="1" applyFill="1" applyAlignment="1" applyProtection="1">
      <alignment horizont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0</xdr:row>
          <xdr:rowOff>66675</xdr:rowOff>
        </xdr:from>
        <xdr:to>
          <xdr:col>12</xdr:col>
          <xdr:colOff>257175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Bepaal uitslag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5"/>
  <dimension ref="A1:A12"/>
  <sheetViews>
    <sheetView workbookViewId="0"/>
  </sheetViews>
  <sheetFormatPr defaultColWidth="0" defaultRowHeight="12.75" zeroHeight="1" x14ac:dyDescent="0.2"/>
  <cols>
    <col min="1" max="1" width="97.140625" style="1" customWidth="1"/>
    <col min="2" max="2" width="9.140625" style="1" hidden="1" customWidth="1"/>
    <col min="3" max="16384" width="9.140625" style="1" hidden="1"/>
  </cols>
  <sheetData>
    <row r="1" spans="1:1" x14ac:dyDescent="0.2">
      <c r="A1" s="2" t="s">
        <v>0</v>
      </c>
    </row>
    <row r="2" spans="1:1" ht="28.5" customHeight="1" x14ac:dyDescent="0.2">
      <c r="A2" s="21" t="s">
        <v>1</v>
      </c>
    </row>
    <row r="3" spans="1:1" x14ac:dyDescent="0.2">
      <c r="A3" s="3"/>
    </row>
    <row r="4" spans="1:1" x14ac:dyDescent="0.2">
      <c r="A4" s="2" t="s">
        <v>2</v>
      </c>
    </row>
    <row r="5" spans="1:1" ht="25.5" customHeight="1" x14ac:dyDescent="0.2">
      <c r="A5" s="21" t="s">
        <v>3</v>
      </c>
    </row>
    <row r="6" spans="1:1" ht="51" customHeight="1" x14ac:dyDescent="0.2">
      <c r="A6" s="21" t="s">
        <v>4</v>
      </c>
    </row>
    <row r="7" spans="1:1" x14ac:dyDescent="0.2">
      <c r="A7" s="3"/>
    </row>
    <row r="8" spans="1:1" x14ac:dyDescent="0.2">
      <c r="A8" s="2" t="s">
        <v>5</v>
      </c>
    </row>
    <row r="9" spans="1:1" ht="51.75" customHeight="1" x14ac:dyDescent="0.2">
      <c r="A9" s="21" t="s">
        <v>6</v>
      </c>
    </row>
    <row r="10" spans="1:1" x14ac:dyDescent="0.2">
      <c r="A10" s="3"/>
    </row>
    <row r="11" spans="1:1" s="19" customFormat="1" x14ac:dyDescent="0.2">
      <c r="A11" s="18"/>
    </row>
    <row r="12" spans="1:1" x14ac:dyDescent="0.2">
      <c r="A12" s="29" t="s">
        <v>7</v>
      </c>
    </row>
  </sheetData>
  <pageMargins left="0.79" right="0.79" top="0.98" bottom="0.98" header="0.5" footer="0.5"/>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pageSetUpPr fitToPage="1"/>
  </sheetPr>
  <dimension ref="A1:V48"/>
  <sheetViews>
    <sheetView tabSelected="1" zoomScaleNormal="100" workbookViewId="0">
      <selection activeCell="F22" sqref="F22"/>
    </sheetView>
  </sheetViews>
  <sheetFormatPr defaultColWidth="0" defaultRowHeight="12.75" x14ac:dyDescent="0.2"/>
  <cols>
    <col min="1" max="1" width="8.5703125" style="1" customWidth="1"/>
    <col min="2" max="2" width="4.28515625" style="1" customWidth="1"/>
    <col min="3" max="3" width="2.140625" style="6" bestFit="1" customWidth="1"/>
    <col min="4" max="4" width="7.85546875" style="22" customWidth="1"/>
    <col min="5" max="5" width="28.42578125" style="1" customWidth="1"/>
    <col min="6" max="6" width="26.5703125" style="1" customWidth="1"/>
    <col min="7" max="7" width="7" style="20" bestFit="1" customWidth="1"/>
    <col min="8" max="8" width="26.85546875" style="1" customWidth="1"/>
    <col min="9" max="9" width="11.5703125" style="15" bestFit="1" customWidth="1"/>
    <col min="10" max="11" width="5" style="1" customWidth="1"/>
    <col min="12" max="12" width="4.7109375" style="1" customWidth="1"/>
    <col min="13" max="13" width="4" style="41" bestFit="1" customWidth="1"/>
    <col min="14" max="14" width="3.85546875" style="41" customWidth="1"/>
    <col min="15" max="15" width="3.7109375" style="41" customWidth="1"/>
    <col min="16" max="16" width="2.140625" style="1" customWidth="1"/>
    <col min="17" max="17" width="15.7109375" style="1" customWidth="1"/>
    <col min="18" max="18" width="5.140625" style="5" hidden="1" customWidth="1"/>
    <col min="19" max="22" width="0" style="1" hidden="1" customWidth="1"/>
    <col min="23" max="23" width="9.140625" style="1" hidden="1" customWidth="1"/>
    <col min="24" max="16384" width="9.140625" style="1" hidden="1"/>
  </cols>
  <sheetData>
    <row r="1" spans="1:22" ht="33" customHeight="1" thickBot="1" x14ac:dyDescent="0.25">
      <c r="C1" s="1"/>
      <c r="M1" s="36"/>
      <c r="N1" s="36"/>
      <c r="O1" s="36"/>
    </row>
    <row r="2" spans="1:22" ht="12.75" customHeight="1" x14ac:dyDescent="0.2">
      <c r="A2" s="7"/>
      <c r="B2" s="45" t="s">
        <v>8</v>
      </c>
      <c r="C2" s="46"/>
      <c r="D2" s="47"/>
      <c r="E2" s="51" t="s">
        <v>9</v>
      </c>
      <c r="F2" s="8" t="s">
        <v>10</v>
      </c>
      <c r="G2" s="9" t="s">
        <v>11</v>
      </c>
      <c r="M2" s="36"/>
      <c r="N2" s="36"/>
      <c r="O2" s="36"/>
    </row>
    <row r="3" spans="1:22" ht="13.5" customHeight="1" thickBot="1" x14ac:dyDescent="0.25">
      <c r="A3" s="7"/>
      <c r="B3" s="48"/>
      <c r="C3" s="49"/>
      <c r="D3" s="50"/>
      <c r="E3" s="48"/>
      <c r="F3" s="10" t="s">
        <v>12</v>
      </c>
      <c r="G3" s="11" t="s">
        <v>13</v>
      </c>
      <c r="M3" s="36"/>
      <c r="N3" s="36"/>
      <c r="O3" s="36"/>
    </row>
    <row r="4" spans="1:22" ht="18" customHeight="1" x14ac:dyDescent="0.25">
      <c r="C4" s="54" t="s">
        <v>14</v>
      </c>
      <c r="D4" s="44"/>
      <c r="E4" s="44"/>
      <c r="F4" s="44"/>
      <c r="G4" s="44"/>
      <c r="H4" s="44"/>
      <c r="I4" s="44"/>
      <c r="J4" s="14"/>
      <c r="K4" s="14"/>
      <c r="L4" s="14"/>
      <c r="M4" s="37"/>
      <c r="N4" s="37"/>
      <c r="O4" s="37"/>
      <c r="P4" s="14"/>
      <c r="Q4" s="14"/>
      <c r="R4" s="6"/>
    </row>
    <row r="5" spans="1:22" ht="46.5" customHeight="1" x14ac:dyDescent="0.2">
      <c r="C5" s="1"/>
      <c r="D5" s="52" t="s">
        <v>55</v>
      </c>
      <c r="E5" s="44"/>
      <c r="F5" s="26" t="s">
        <v>15</v>
      </c>
      <c r="G5" s="25" t="s">
        <v>16</v>
      </c>
      <c r="H5" s="53" t="s">
        <v>54</v>
      </c>
      <c r="I5" s="44"/>
      <c r="K5" s="27"/>
      <c r="L5" s="27"/>
      <c r="M5" s="38"/>
      <c r="N5" s="38"/>
      <c r="O5" s="38"/>
      <c r="P5" s="27"/>
      <c r="R5" s="6"/>
    </row>
    <row r="6" spans="1:22" x14ac:dyDescent="0.2">
      <c r="A6" s="43" t="s">
        <v>17</v>
      </c>
      <c r="B6" s="44"/>
      <c r="C6" s="12">
        <v>0</v>
      </c>
      <c r="D6" s="13" t="s">
        <v>18</v>
      </c>
      <c r="E6" s="34" t="s">
        <v>19</v>
      </c>
      <c r="F6" s="34" t="s">
        <v>20</v>
      </c>
      <c r="G6" s="35" t="s">
        <v>21</v>
      </c>
      <c r="H6" s="34" t="s">
        <v>22</v>
      </c>
      <c r="I6" s="16" t="s">
        <v>23</v>
      </c>
      <c r="J6" s="33" t="s">
        <v>24</v>
      </c>
      <c r="K6" s="33" t="s">
        <v>25</v>
      </c>
      <c r="L6" s="35" t="s">
        <v>26</v>
      </c>
      <c r="M6" s="39" t="s">
        <v>27</v>
      </c>
      <c r="N6" s="39" t="s">
        <v>28</v>
      </c>
      <c r="O6" s="39" t="s">
        <v>29</v>
      </c>
      <c r="P6" s="34"/>
      <c r="Q6" s="34" t="s">
        <v>30</v>
      </c>
    </row>
    <row r="7" spans="1:22" s="30" customFormat="1" x14ac:dyDescent="0.2">
      <c r="C7" s="29"/>
      <c r="D7" s="28">
        <v>301826</v>
      </c>
      <c r="E7" s="29" t="s">
        <v>58</v>
      </c>
      <c r="F7" s="29" t="s">
        <v>62</v>
      </c>
      <c r="G7" s="31">
        <v>106</v>
      </c>
      <c r="H7" s="29" t="s">
        <v>39</v>
      </c>
      <c r="I7" s="32">
        <v>8.7650000000000006</v>
      </c>
      <c r="J7" s="29"/>
      <c r="K7" s="29"/>
      <c r="L7" s="29"/>
      <c r="M7" s="40"/>
      <c r="N7" s="40"/>
      <c r="O7" s="40"/>
      <c r="P7" s="29"/>
      <c r="Q7" s="29"/>
      <c r="R7" s="5"/>
      <c r="S7">
        <f t="shared" ref="S7:S16" si="0">M7/100+N7/10000+O7/1000000</f>
        <v>0</v>
      </c>
      <c r="T7" s="29"/>
      <c r="U7" s="29"/>
      <c r="V7" s="29"/>
    </row>
    <row r="8" spans="1:22" s="30" customFormat="1" x14ac:dyDescent="0.2">
      <c r="A8" s="30">
        <v>5</v>
      </c>
      <c r="B8" s="30" t="s">
        <v>31</v>
      </c>
      <c r="C8" s="29"/>
      <c r="D8" s="28">
        <v>301828</v>
      </c>
      <c r="E8" s="29" t="s">
        <v>53</v>
      </c>
      <c r="F8" s="29" t="s">
        <v>62</v>
      </c>
      <c r="G8" s="31">
        <v>107</v>
      </c>
      <c r="H8" s="29" t="s">
        <v>33</v>
      </c>
      <c r="I8" s="32">
        <v>9.02</v>
      </c>
      <c r="J8" s="29">
        <v>223</v>
      </c>
      <c r="K8" s="29">
        <v>230</v>
      </c>
      <c r="L8" s="29">
        <f t="shared" ref="L8" si="1">IF(K8&lt;&gt;"",J8+K8,IF(J8&lt;&gt;"",J8,""))</f>
        <v>453</v>
      </c>
      <c r="M8" s="40"/>
      <c r="N8" s="40"/>
      <c r="O8" s="40"/>
      <c r="P8" s="29"/>
      <c r="Q8" s="29"/>
      <c r="R8" s="5"/>
      <c r="S8"/>
      <c r="T8" s="29"/>
      <c r="U8" s="29"/>
      <c r="V8" s="29"/>
    </row>
    <row r="9" spans="1:22" x14ac:dyDescent="0.2">
      <c r="A9" s="30">
        <v>9</v>
      </c>
      <c r="B9" s="30" t="s">
        <v>31</v>
      </c>
      <c r="C9" s="29"/>
      <c r="D9" s="28">
        <v>301831</v>
      </c>
      <c r="E9" s="29" t="s">
        <v>53</v>
      </c>
      <c r="F9" s="29" t="s">
        <v>62</v>
      </c>
      <c r="G9" s="31">
        <v>107</v>
      </c>
      <c r="H9" s="29" t="s">
        <v>33</v>
      </c>
      <c r="I9" s="32">
        <v>8.407</v>
      </c>
      <c r="J9" s="29">
        <v>214</v>
      </c>
      <c r="K9" s="29">
        <v>208</v>
      </c>
      <c r="L9" s="29">
        <f>IF(K9&lt;&gt;"",J9+K9,IF(J9&lt;&gt;"",J9,""))</f>
        <v>422</v>
      </c>
      <c r="M9" s="40"/>
      <c r="N9" s="40"/>
      <c r="O9" s="40"/>
      <c r="P9" s="29"/>
      <c r="Q9" s="29"/>
      <c r="S9">
        <f>M9/100+N9/10000+O9/1000000</f>
        <v>0</v>
      </c>
    </row>
    <row r="10" spans="1:22" x14ac:dyDescent="0.2">
      <c r="A10" s="30">
        <v>9</v>
      </c>
      <c r="B10" s="30" t="s">
        <v>56</v>
      </c>
      <c r="C10" s="29"/>
      <c r="D10" s="28">
        <v>301834</v>
      </c>
      <c r="E10" s="29" t="s">
        <v>53</v>
      </c>
      <c r="F10" s="29" t="s">
        <v>62</v>
      </c>
      <c r="G10" s="31">
        <v>107</v>
      </c>
      <c r="H10" s="29" t="s">
        <v>33</v>
      </c>
      <c r="I10" s="32">
        <v>8.407</v>
      </c>
      <c r="J10" s="29">
        <v>214</v>
      </c>
      <c r="K10" s="29">
        <v>208</v>
      </c>
      <c r="L10" s="29">
        <f>IF(K10&lt;&gt;"",J10+K10,IF(J10&lt;&gt;"",J10,""))</f>
        <v>422</v>
      </c>
      <c r="M10" s="40"/>
      <c r="N10" s="40"/>
      <c r="O10" s="40"/>
      <c r="P10" s="29"/>
      <c r="Q10" s="29"/>
      <c r="S10">
        <f>M10/100+N10/10000+O10/1000000</f>
        <v>0</v>
      </c>
    </row>
    <row r="11" spans="1:22" s="30" customFormat="1" x14ac:dyDescent="0.2">
      <c r="A11" s="30">
        <v>3</v>
      </c>
      <c r="B11" s="30" t="s">
        <v>31</v>
      </c>
      <c r="C11" s="29"/>
      <c r="D11" s="28">
        <v>301837</v>
      </c>
      <c r="E11" s="29" t="s">
        <v>58</v>
      </c>
      <c r="F11" s="29" t="s">
        <v>62</v>
      </c>
      <c r="G11" s="31">
        <v>107</v>
      </c>
      <c r="H11" s="29" t="s">
        <v>33</v>
      </c>
      <c r="I11" s="32">
        <v>9.1069999999999993</v>
      </c>
      <c r="J11" s="29">
        <v>227</v>
      </c>
      <c r="K11" s="29">
        <v>224</v>
      </c>
      <c r="L11" s="29">
        <f t="shared" ref="L11:L15" si="2">IF(K11&lt;&gt;"",J11+K11,IF(J11&lt;&gt;"",J11,""))</f>
        <v>451</v>
      </c>
      <c r="M11" s="40">
        <v>20</v>
      </c>
      <c r="N11" s="40">
        <v>19</v>
      </c>
      <c r="O11" s="40">
        <v>8</v>
      </c>
      <c r="P11" s="29"/>
      <c r="Q11" s="29"/>
      <c r="R11" s="5"/>
      <c r="S11">
        <f t="shared" si="0"/>
        <v>0.20190800000000003</v>
      </c>
      <c r="T11" s="29"/>
      <c r="U11" s="29"/>
      <c r="V11" s="29"/>
    </row>
    <row r="12" spans="1:22" x14ac:dyDescent="0.2">
      <c r="A12" s="30">
        <v>7</v>
      </c>
      <c r="B12" s="30" t="s">
        <v>31</v>
      </c>
      <c r="C12" s="29"/>
      <c r="D12" s="28">
        <v>301840</v>
      </c>
      <c r="E12" s="29" t="s">
        <v>53</v>
      </c>
      <c r="F12" s="29" t="s">
        <v>62</v>
      </c>
      <c r="G12" s="31">
        <v>107</v>
      </c>
      <c r="H12" s="29" t="s">
        <v>33</v>
      </c>
      <c r="I12" s="32">
        <v>8.7729999999999997</v>
      </c>
      <c r="J12" s="29">
        <v>225</v>
      </c>
      <c r="K12" s="29">
        <v>226</v>
      </c>
      <c r="L12" s="29">
        <f t="shared" si="2"/>
        <v>451</v>
      </c>
      <c r="M12" s="40">
        <v>20</v>
      </c>
      <c r="N12" s="40">
        <v>19</v>
      </c>
      <c r="O12" s="40">
        <v>7</v>
      </c>
      <c r="P12" s="29"/>
      <c r="Q12" s="29"/>
      <c r="S12">
        <f t="shared" si="0"/>
        <v>0.20190700000000003</v>
      </c>
    </row>
    <row r="13" spans="1:22" x14ac:dyDescent="0.2">
      <c r="A13" s="30">
        <v>6</v>
      </c>
      <c r="B13" s="30" t="s">
        <v>31</v>
      </c>
      <c r="C13" s="29"/>
      <c r="D13" s="28">
        <v>301842</v>
      </c>
      <c r="E13" s="29" t="s">
        <v>53</v>
      </c>
      <c r="F13" s="29" t="s">
        <v>62</v>
      </c>
      <c r="G13" s="31">
        <v>106</v>
      </c>
      <c r="H13" s="29" t="s">
        <v>33</v>
      </c>
      <c r="I13" s="32">
        <v>8.8930000000000007</v>
      </c>
      <c r="J13" s="29">
        <v>207</v>
      </c>
      <c r="K13" s="29">
        <v>206</v>
      </c>
      <c r="L13" s="29">
        <f t="shared" si="2"/>
        <v>413</v>
      </c>
      <c r="M13" s="40"/>
      <c r="N13" s="40"/>
      <c r="O13" s="40" t="s">
        <v>59</v>
      </c>
      <c r="P13" s="29"/>
      <c r="Q13" s="29"/>
      <c r="S13" t="e">
        <f t="shared" si="0"/>
        <v>#VALUE!</v>
      </c>
    </row>
    <row r="14" spans="1:22" x14ac:dyDescent="0.2">
      <c r="A14" s="30">
        <v>6</v>
      </c>
      <c r="B14" s="30" t="s">
        <v>56</v>
      </c>
      <c r="C14" s="29"/>
      <c r="D14" s="28">
        <v>301844</v>
      </c>
      <c r="E14" s="29" t="s">
        <v>53</v>
      </c>
      <c r="F14" s="29" t="s">
        <v>62</v>
      </c>
      <c r="G14" s="31">
        <v>106</v>
      </c>
      <c r="H14" s="29" t="s">
        <v>32</v>
      </c>
      <c r="I14" s="32">
        <v>8.8919999999999995</v>
      </c>
      <c r="J14" s="29"/>
      <c r="K14" s="29"/>
      <c r="L14" s="29"/>
      <c r="M14" s="40"/>
      <c r="N14" s="40"/>
      <c r="O14" s="40"/>
      <c r="P14" s="29"/>
      <c r="Q14" s="29"/>
      <c r="S14"/>
    </row>
    <row r="15" spans="1:22" x14ac:dyDescent="0.2">
      <c r="A15" s="29">
        <v>1</v>
      </c>
      <c r="B15" s="29" t="s">
        <v>31</v>
      </c>
      <c r="C15" s="29"/>
      <c r="D15" s="28">
        <v>301845</v>
      </c>
      <c r="E15" s="29" t="s">
        <v>53</v>
      </c>
      <c r="F15" s="29" t="s">
        <v>62</v>
      </c>
      <c r="G15" s="31">
        <v>108</v>
      </c>
      <c r="H15" s="29" t="s">
        <v>32</v>
      </c>
      <c r="I15" s="32">
        <v>9.173</v>
      </c>
      <c r="J15" s="29">
        <v>0</v>
      </c>
      <c r="K15" s="29">
        <v>0</v>
      </c>
      <c r="L15" s="29">
        <f t="shared" si="2"/>
        <v>0</v>
      </c>
      <c r="M15" s="40"/>
      <c r="N15" s="40"/>
      <c r="O15" s="40"/>
      <c r="P15" s="29"/>
      <c r="Q15" s="29"/>
      <c r="R15" s="29"/>
      <c r="S15" s="29">
        <f t="shared" si="0"/>
        <v>0</v>
      </c>
    </row>
    <row r="16" spans="1:22" x14ac:dyDescent="0.2">
      <c r="A16" s="29">
        <v>2</v>
      </c>
      <c r="B16" s="29" t="s">
        <v>31</v>
      </c>
      <c r="C16" s="29"/>
      <c r="D16" s="28">
        <v>301849</v>
      </c>
      <c r="E16" s="29" t="s">
        <v>53</v>
      </c>
      <c r="F16" s="29" t="s">
        <v>62</v>
      </c>
      <c r="G16" s="31">
        <v>108</v>
      </c>
      <c r="H16" s="29" t="s">
        <v>32</v>
      </c>
      <c r="I16" s="32">
        <v>9.16</v>
      </c>
      <c r="J16" s="29" t="s">
        <v>60</v>
      </c>
      <c r="K16" s="29" t="s">
        <v>60</v>
      </c>
      <c r="L16" s="29"/>
      <c r="M16" s="40"/>
      <c r="N16" s="40"/>
      <c r="O16" s="40"/>
      <c r="P16" s="29"/>
      <c r="Q16" s="29"/>
      <c r="R16" s="29"/>
      <c r="S16" s="29">
        <f t="shared" si="0"/>
        <v>0</v>
      </c>
    </row>
    <row r="17" spans="1:19" x14ac:dyDescent="0.2">
      <c r="A17" s="30">
        <v>4</v>
      </c>
      <c r="B17" s="30" t="s">
        <v>56</v>
      </c>
      <c r="C17" s="29"/>
      <c r="D17" s="28">
        <v>123456</v>
      </c>
      <c r="E17" s="29" t="s">
        <v>57</v>
      </c>
      <c r="F17" s="29" t="s">
        <v>62</v>
      </c>
      <c r="G17" s="31">
        <v>108</v>
      </c>
      <c r="H17" s="29" t="s">
        <v>32</v>
      </c>
      <c r="I17" s="32">
        <v>5.6779999999999999</v>
      </c>
      <c r="J17" s="29"/>
      <c r="K17" s="29"/>
      <c r="L17" s="29"/>
      <c r="M17" s="40"/>
      <c r="N17" s="40"/>
      <c r="O17" s="40"/>
      <c r="P17" s="29"/>
      <c r="Q17" s="29"/>
      <c r="S17">
        <f t="shared" ref="S17:S18" si="3">M17/100+N17/10000+O17/1000000</f>
        <v>0</v>
      </c>
    </row>
    <row r="18" spans="1:19" x14ac:dyDescent="0.2">
      <c r="A18" s="30"/>
      <c r="B18" s="30"/>
      <c r="C18" s="29"/>
      <c r="D18" s="28"/>
      <c r="E18" s="29"/>
      <c r="F18" s="29"/>
      <c r="G18" s="31"/>
      <c r="H18" s="29"/>
      <c r="I18" s="32"/>
      <c r="J18" s="29"/>
      <c r="K18" s="29"/>
      <c r="L18" s="29"/>
      <c r="M18" s="40"/>
      <c r="N18" s="40"/>
      <c r="O18" s="40"/>
      <c r="P18" s="29"/>
      <c r="Q18" s="29"/>
      <c r="S18">
        <f t="shared" si="3"/>
        <v>0</v>
      </c>
    </row>
    <row r="19" spans="1:19" x14ac:dyDescent="0.2">
      <c r="A19" s="30"/>
      <c r="B19" s="30"/>
      <c r="C19" s="29"/>
      <c r="D19" s="28"/>
      <c r="E19" s="29"/>
      <c r="F19" s="29"/>
      <c r="G19" s="31"/>
      <c r="H19" s="29"/>
      <c r="I19" s="32"/>
      <c r="J19" s="29"/>
      <c r="K19" s="29"/>
      <c r="L19" s="29" t="str">
        <f t="shared" ref="L19:L33" si="4">IF(K19&lt;&gt;"",J19+K19,IF(J19&lt;&gt;"",J19,""))</f>
        <v/>
      </c>
      <c r="M19" s="40"/>
      <c r="N19" s="40"/>
      <c r="O19" s="40"/>
      <c r="P19" s="29"/>
      <c r="Q19" s="29"/>
      <c r="S19">
        <f t="shared" ref="S19:S33" si="5">M19/100+N19/10000+O19/1000000</f>
        <v>0</v>
      </c>
    </row>
    <row r="20" spans="1:19" x14ac:dyDescent="0.2">
      <c r="A20" s="30" t="s">
        <v>61</v>
      </c>
      <c r="B20" s="30"/>
      <c r="C20" s="29"/>
      <c r="D20" s="28"/>
      <c r="E20" s="29"/>
      <c r="F20" s="29"/>
      <c r="G20" s="31"/>
      <c r="H20" s="29"/>
      <c r="I20" s="32"/>
      <c r="J20" s="29"/>
      <c r="K20" s="29"/>
      <c r="L20" s="29" t="str">
        <f t="shared" si="4"/>
        <v/>
      </c>
      <c r="M20" s="40"/>
      <c r="N20" s="40"/>
      <c r="O20" s="40"/>
      <c r="P20" s="29"/>
      <c r="Q20" s="29"/>
      <c r="S20">
        <f t="shared" si="5"/>
        <v>0</v>
      </c>
    </row>
    <row r="21" spans="1:19" x14ac:dyDescent="0.2">
      <c r="A21" s="30"/>
      <c r="B21" s="30"/>
      <c r="C21" s="29"/>
      <c r="D21" s="28">
        <v>301818</v>
      </c>
      <c r="E21" s="29" t="s">
        <v>53</v>
      </c>
      <c r="F21" s="29" t="s">
        <v>62</v>
      </c>
      <c r="G21" s="31">
        <v>108</v>
      </c>
      <c r="H21" s="29" t="s">
        <v>33</v>
      </c>
      <c r="I21" s="32">
        <v>9.02</v>
      </c>
      <c r="J21" s="29">
        <v>223</v>
      </c>
      <c r="K21" s="29">
        <v>230</v>
      </c>
      <c r="L21" s="29">
        <f t="shared" si="4"/>
        <v>453</v>
      </c>
      <c r="M21" s="40"/>
      <c r="N21" s="40"/>
      <c r="O21" s="40"/>
      <c r="P21" s="29"/>
      <c r="Q21" s="29"/>
      <c r="S21">
        <f t="shared" si="5"/>
        <v>0</v>
      </c>
    </row>
    <row r="22" spans="1:19" x14ac:dyDescent="0.2">
      <c r="A22" s="30"/>
      <c r="B22" s="30"/>
      <c r="C22" s="29"/>
      <c r="D22" s="28">
        <v>301822</v>
      </c>
      <c r="E22" s="29" t="s">
        <v>53</v>
      </c>
      <c r="F22" s="29" t="s">
        <v>62</v>
      </c>
      <c r="G22" s="31">
        <v>108</v>
      </c>
      <c r="H22" s="29" t="s">
        <v>33</v>
      </c>
      <c r="I22" s="32">
        <v>8.407</v>
      </c>
      <c r="J22" s="29">
        <v>214</v>
      </c>
      <c r="K22" s="29">
        <v>208</v>
      </c>
      <c r="L22" s="29">
        <f>IF(K22&lt;&gt;"",J22+K22,IF(J22&lt;&gt;"",J22,""))</f>
        <v>422</v>
      </c>
      <c r="M22" s="40"/>
      <c r="N22" s="40"/>
      <c r="O22" s="40"/>
      <c r="P22" s="29"/>
      <c r="Q22" s="29"/>
      <c r="S22">
        <f t="shared" si="5"/>
        <v>0</v>
      </c>
    </row>
    <row r="23" spans="1:19" x14ac:dyDescent="0.2">
      <c r="A23" s="30"/>
      <c r="B23" s="30"/>
      <c r="C23" s="29"/>
      <c r="D23" s="28"/>
      <c r="E23" s="29"/>
      <c r="F23" s="29"/>
      <c r="G23" s="31"/>
      <c r="H23" s="29"/>
      <c r="I23" s="32"/>
      <c r="J23" s="29"/>
      <c r="K23" s="29"/>
      <c r="L23" s="29" t="str">
        <f t="shared" si="4"/>
        <v/>
      </c>
      <c r="M23" s="40"/>
      <c r="N23" s="40"/>
      <c r="O23" s="40"/>
      <c r="P23" s="29"/>
      <c r="Q23" s="29"/>
      <c r="S23">
        <f t="shared" si="5"/>
        <v>0</v>
      </c>
    </row>
    <row r="24" spans="1:19" x14ac:dyDescent="0.2">
      <c r="A24" s="30"/>
      <c r="B24" s="30"/>
      <c r="C24" s="29"/>
      <c r="D24" s="28"/>
      <c r="E24" s="29"/>
      <c r="F24" s="29"/>
      <c r="G24" s="31"/>
      <c r="H24" s="29"/>
      <c r="I24" s="32"/>
      <c r="J24" s="29"/>
      <c r="K24" s="29"/>
      <c r="L24" s="29" t="str">
        <f t="shared" si="4"/>
        <v/>
      </c>
      <c r="M24" s="40"/>
      <c r="N24" s="40"/>
      <c r="O24" s="40"/>
      <c r="P24" s="29"/>
      <c r="Q24" s="29"/>
      <c r="S24">
        <f t="shared" si="5"/>
        <v>0</v>
      </c>
    </row>
    <row r="25" spans="1:19" x14ac:dyDescent="0.2">
      <c r="A25" s="30"/>
      <c r="B25" s="30"/>
      <c r="C25" s="29"/>
      <c r="D25" s="28"/>
      <c r="E25" s="29"/>
      <c r="F25" s="29"/>
      <c r="G25" s="31"/>
      <c r="H25" s="29"/>
      <c r="I25" s="32"/>
      <c r="J25" s="29"/>
      <c r="K25" s="29"/>
      <c r="L25" s="29" t="str">
        <f t="shared" si="4"/>
        <v/>
      </c>
      <c r="M25" s="40"/>
      <c r="N25" s="40"/>
      <c r="O25" s="40"/>
      <c r="P25" s="29"/>
      <c r="Q25" s="29"/>
      <c r="S25">
        <f t="shared" si="5"/>
        <v>0</v>
      </c>
    </row>
    <row r="26" spans="1:19" x14ac:dyDescent="0.2">
      <c r="A26" s="30"/>
      <c r="B26" s="4"/>
      <c r="C26" s="29"/>
      <c r="D26" s="23"/>
      <c r="G26" s="24"/>
      <c r="I26" s="17"/>
      <c r="L26" s="29" t="str">
        <f t="shared" si="4"/>
        <v/>
      </c>
      <c r="M26" s="36"/>
      <c r="N26" s="36"/>
      <c r="O26" s="36"/>
      <c r="S26">
        <f t="shared" si="5"/>
        <v>0</v>
      </c>
    </row>
    <row r="27" spans="1:19" x14ac:dyDescent="0.2">
      <c r="A27" s="30"/>
      <c r="B27" s="4"/>
      <c r="C27" s="29"/>
      <c r="D27" s="23"/>
      <c r="G27" s="24"/>
      <c r="I27" s="17"/>
      <c r="L27" s="29" t="str">
        <f t="shared" si="4"/>
        <v/>
      </c>
      <c r="M27" s="36"/>
      <c r="N27" s="36"/>
      <c r="O27" s="36"/>
      <c r="S27">
        <f t="shared" si="5"/>
        <v>0</v>
      </c>
    </row>
    <row r="28" spans="1:19" x14ac:dyDescent="0.2">
      <c r="A28" s="30"/>
      <c r="B28" s="4"/>
      <c r="C28" s="29"/>
      <c r="D28" s="23"/>
      <c r="G28" s="24"/>
      <c r="I28" s="17"/>
      <c r="L28" s="29" t="str">
        <f t="shared" si="4"/>
        <v/>
      </c>
      <c r="M28" s="36"/>
      <c r="N28" s="36"/>
      <c r="O28" s="36"/>
      <c r="S28">
        <f t="shared" si="5"/>
        <v>0</v>
      </c>
    </row>
    <row r="29" spans="1:19" x14ac:dyDescent="0.2">
      <c r="A29" s="30"/>
      <c r="B29" s="4"/>
      <c r="C29" s="29"/>
      <c r="D29" s="23"/>
      <c r="G29" s="24"/>
      <c r="I29" s="17"/>
      <c r="L29" s="29" t="str">
        <f t="shared" si="4"/>
        <v/>
      </c>
      <c r="M29" s="36"/>
      <c r="N29" s="36"/>
      <c r="O29" s="36"/>
      <c r="S29">
        <f t="shared" si="5"/>
        <v>0</v>
      </c>
    </row>
    <row r="30" spans="1:19" x14ac:dyDescent="0.2">
      <c r="A30" s="30"/>
      <c r="B30" s="4"/>
      <c r="C30" s="29"/>
      <c r="D30" s="23"/>
      <c r="G30" s="24"/>
      <c r="I30" s="17"/>
      <c r="L30" s="29" t="str">
        <f t="shared" si="4"/>
        <v/>
      </c>
      <c r="M30" s="36"/>
      <c r="N30" s="36"/>
      <c r="O30" s="36"/>
      <c r="S30">
        <f t="shared" si="5"/>
        <v>0</v>
      </c>
    </row>
    <row r="31" spans="1:19" x14ac:dyDescent="0.2">
      <c r="A31" s="30"/>
      <c r="B31" s="4"/>
      <c r="C31" s="29"/>
      <c r="D31" s="23"/>
      <c r="G31" s="24"/>
      <c r="I31" s="17"/>
      <c r="L31" s="29" t="str">
        <f t="shared" si="4"/>
        <v/>
      </c>
      <c r="M31" s="36"/>
      <c r="N31" s="36"/>
      <c r="O31" s="36"/>
      <c r="S31">
        <f t="shared" si="5"/>
        <v>0</v>
      </c>
    </row>
    <row r="32" spans="1:19" x14ac:dyDescent="0.2">
      <c r="A32" s="30"/>
      <c r="B32" s="4"/>
      <c r="C32" s="29"/>
      <c r="D32" s="23"/>
      <c r="G32" s="24"/>
      <c r="I32" s="17"/>
      <c r="L32" s="29" t="str">
        <f t="shared" si="4"/>
        <v/>
      </c>
      <c r="M32" s="36"/>
      <c r="N32" s="36"/>
      <c r="O32" s="36"/>
      <c r="S32">
        <f t="shared" si="5"/>
        <v>0</v>
      </c>
    </row>
    <row r="33" spans="1:19" x14ac:dyDescent="0.2">
      <c r="A33" s="30"/>
      <c r="B33" s="4"/>
      <c r="C33" s="29"/>
      <c r="D33" s="23"/>
      <c r="G33" s="24"/>
      <c r="I33" s="17"/>
      <c r="L33" s="29" t="str">
        <f t="shared" si="4"/>
        <v/>
      </c>
      <c r="M33" s="36"/>
      <c r="N33" s="36"/>
      <c r="O33" s="36"/>
      <c r="S33">
        <f t="shared" si="5"/>
        <v>0</v>
      </c>
    </row>
    <row r="34" spans="1:19" x14ac:dyDescent="0.2">
      <c r="A34" s="4"/>
      <c r="B34" s="4"/>
      <c r="C34" s="29"/>
      <c r="D34" s="23"/>
      <c r="G34" s="24"/>
      <c r="I34" s="17"/>
      <c r="L34" s="29"/>
      <c r="M34" s="36"/>
      <c r="N34" s="36"/>
      <c r="O34" s="36"/>
    </row>
    <row r="35" spans="1:19" x14ac:dyDescent="0.2">
      <c r="A35" s="30" t="s">
        <v>35</v>
      </c>
      <c r="D35" s="23"/>
      <c r="G35" s="24"/>
      <c r="I35" s="17"/>
      <c r="L35" s="29"/>
      <c r="M35" s="36"/>
      <c r="N35" s="36"/>
      <c r="O35" s="36"/>
    </row>
    <row r="36" spans="1:19" x14ac:dyDescent="0.2">
      <c r="A36" s="4"/>
      <c r="B36" s="4"/>
      <c r="D36" s="23"/>
      <c r="G36" s="24"/>
      <c r="I36" s="17"/>
      <c r="L36" s="29"/>
      <c r="M36" s="36"/>
      <c r="N36" s="36"/>
      <c r="O36" s="36"/>
    </row>
    <row r="37" spans="1:19" x14ac:dyDescent="0.2">
      <c r="A37" s="30" t="s">
        <v>36</v>
      </c>
      <c r="G37" s="24"/>
      <c r="I37" s="17"/>
      <c r="L37" s="29"/>
      <c r="M37" s="36"/>
      <c r="N37" s="36"/>
      <c r="O37" s="36"/>
    </row>
    <row r="38" spans="1:19" x14ac:dyDescent="0.2">
      <c r="D38" s="13" t="s">
        <v>18</v>
      </c>
      <c r="E38" s="34" t="s">
        <v>19</v>
      </c>
      <c r="F38" s="34" t="s">
        <v>20</v>
      </c>
      <c r="G38" s="35" t="s">
        <v>21</v>
      </c>
      <c r="H38" s="34" t="s">
        <v>22</v>
      </c>
      <c r="I38" s="16" t="s">
        <v>23</v>
      </c>
    </row>
    <row r="39" spans="1:19" x14ac:dyDescent="0.2">
      <c r="D39" s="23">
        <v>113807</v>
      </c>
      <c r="E39" t="s">
        <v>37</v>
      </c>
      <c r="F39" t="s">
        <v>38</v>
      </c>
      <c r="G39" s="24">
        <v>105</v>
      </c>
      <c r="H39" t="s">
        <v>39</v>
      </c>
      <c r="I39" s="42">
        <v>8.4600000000000009</v>
      </c>
    </row>
    <row r="40" spans="1:19" x14ac:dyDescent="0.2">
      <c r="D40" s="23">
        <v>172561</v>
      </c>
      <c r="E40" t="s">
        <v>40</v>
      </c>
      <c r="F40" t="s">
        <v>41</v>
      </c>
      <c r="G40" s="24">
        <v>108</v>
      </c>
      <c r="H40" t="s">
        <v>39</v>
      </c>
      <c r="I40" s="42">
        <v>9.1530000000000005</v>
      </c>
    </row>
    <row r="41" spans="1:19" x14ac:dyDescent="0.2">
      <c r="D41" s="23">
        <v>150732</v>
      </c>
      <c r="E41" t="s">
        <v>42</v>
      </c>
      <c r="F41" t="s">
        <v>43</v>
      </c>
      <c r="G41" s="24">
        <v>108</v>
      </c>
      <c r="H41" t="s">
        <v>39</v>
      </c>
      <c r="I41" s="42">
        <v>9.0470000000000006</v>
      </c>
    </row>
    <row r="42" spans="1:19" x14ac:dyDescent="0.2">
      <c r="D42" s="23">
        <v>162549</v>
      </c>
      <c r="E42" t="s">
        <v>44</v>
      </c>
      <c r="F42" t="s">
        <v>34</v>
      </c>
      <c r="G42" s="24">
        <v>107</v>
      </c>
      <c r="H42" t="s">
        <v>39</v>
      </c>
      <c r="I42" s="42">
        <v>9.0329999999999995</v>
      </c>
    </row>
    <row r="43" spans="1:19" x14ac:dyDescent="0.2">
      <c r="D43" s="23">
        <v>142329</v>
      </c>
      <c r="E43" t="s">
        <v>45</v>
      </c>
      <c r="F43" t="s">
        <v>43</v>
      </c>
      <c r="G43" s="24">
        <v>108</v>
      </c>
      <c r="H43" t="s">
        <v>39</v>
      </c>
      <c r="I43" s="42">
        <v>9.0869999999999997</v>
      </c>
    </row>
    <row r="44" spans="1:19" x14ac:dyDescent="0.2">
      <c r="D44" s="23">
        <v>139698</v>
      </c>
      <c r="E44" t="s">
        <v>46</v>
      </c>
      <c r="F44" t="s">
        <v>41</v>
      </c>
      <c r="G44" s="24">
        <v>108</v>
      </c>
      <c r="H44" t="s">
        <v>39</v>
      </c>
      <c r="I44" s="42">
        <v>8.9670000000000005</v>
      </c>
    </row>
    <row r="45" spans="1:19" x14ac:dyDescent="0.2">
      <c r="D45" s="23">
        <v>172796</v>
      </c>
      <c r="E45" t="s">
        <v>47</v>
      </c>
      <c r="F45" t="s">
        <v>48</v>
      </c>
      <c r="G45" s="24">
        <v>108</v>
      </c>
      <c r="H45" t="s">
        <v>39</v>
      </c>
      <c r="I45" s="42">
        <v>8.173</v>
      </c>
    </row>
    <row r="46" spans="1:19" x14ac:dyDescent="0.2">
      <c r="D46" s="23">
        <v>174694</v>
      </c>
      <c r="E46" t="s">
        <v>49</v>
      </c>
      <c r="F46" t="s">
        <v>41</v>
      </c>
      <c r="G46" s="24">
        <v>108</v>
      </c>
      <c r="H46" t="s">
        <v>39</v>
      </c>
      <c r="I46" s="42">
        <v>8.9</v>
      </c>
    </row>
    <row r="47" spans="1:19" x14ac:dyDescent="0.2">
      <c r="D47" s="23">
        <v>153530</v>
      </c>
      <c r="E47" t="s">
        <v>50</v>
      </c>
      <c r="F47" t="s">
        <v>41</v>
      </c>
      <c r="G47" s="24">
        <v>108</v>
      </c>
      <c r="H47" t="s">
        <v>39</v>
      </c>
      <c r="I47" s="42">
        <v>7.9729999999999999</v>
      </c>
    </row>
    <row r="48" spans="1:19" x14ac:dyDescent="0.2">
      <c r="D48" s="23">
        <v>159563</v>
      </c>
      <c r="E48" t="s">
        <v>51</v>
      </c>
      <c r="F48" t="s">
        <v>52</v>
      </c>
      <c r="G48" s="24">
        <v>107</v>
      </c>
      <c r="H48" t="s">
        <v>39</v>
      </c>
      <c r="I48" s="42">
        <v>9.0670000000000002</v>
      </c>
    </row>
  </sheetData>
  <sortState xmlns:xlrd2="http://schemas.microsoft.com/office/spreadsheetml/2017/richdata2" ref="A7:S16">
    <sortCondition descending="1" ref="L7"/>
    <sortCondition descending="1" ref="S7"/>
  </sortState>
  <mergeCells count="6">
    <mergeCell ref="A6:B6"/>
    <mergeCell ref="B2:D3"/>
    <mergeCell ref="E2:E3"/>
    <mergeCell ref="D5:E5"/>
    <mergeCell ref="H5:I5"/>
    <mergeCell ref="C4:I4"/>
  </mergeCells>
  <pageMargins left="0.36" right="0.39" top="0.98" bottom="0.98" header="0.5" footer="0.5"/>
  <pageSetup paperSize="9" scale="58" fitToHeight="1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9</xdr:col>
                    <xdr:colOff>114300</xdr:colOff>
                    <xdr:row>0</xdr:row>
                    <xdr:rowOff>66675</xdr:rowOff>
                  </from>
                  <to>
                    <xdr:col>12</xdr:col>
                    <xdr:colOff>257175</xdr:colOff>
                    <xdr:row>0</xdr:row>
                    <xdr:rowOff>371475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Uitleg</vt:lpstr>
      <vt:lpstr>Wedstrijd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2022-04-27T09:37:25Z</cp:lastPrinted>
  <dcterms:created xsi:type="dcterms:W3CDTF">2000-03-31T19:47:32Z</dcterms:created>
  <dcterms:modified xsi:type="dcterms:W3CDTF">2023-01-25T20:02:23Z</dcterms:modified>
</cp:coreProperties>
</file>